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vpl2\OneDrive\Desktop\Excel workspace\"/>
    </mc:Choice>
  </mc:AlternateContent>
  <xr:revisionPtr revIDLastSave="0" documentId="13_ncr:1_{A538CB93-571F-41C4-BD16-59917EF05FC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UID GENERATION" sheetId="2" r:id="rId1"/>
    <sheet name="STUDENT DATA" sheetId="1" r:id="rId2"/>
    <sheet name="REPORT CARD" sheetId="5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0" i="5" l="1"/>
  <c r="J9" i="5"/>
  <c r="J8" i="5"/>
  <c r="I10" i="5"/>
  <c r="I9" i="5"/>
  <c r="I8" i="5"/>
  <c r="H10" i="5"/>
  <c r="K10" i="5" s="1"/>
  <c r="H9" i="5"/>
  <c r="K9" i="5" s="1"/>
  <c r="H8" i="5"/>
  <c r="K8" i="5" s="1"/>
  <c r="C8" i="5"/>
  <c r="C9" i="5"/>
  <c r="C7" i="5"/>
  <c r="N7" i="5" l="1"/>
  <c r="N8" i="5" s="1"/>
  <c r="K1246" i="1" l="1"/>
  <c r="K180" i="1"/>
  <c r="K1153" i="1"/>
  <c r="K1177" i="1"/>
  <c r="K1451" i="1"/>
  <c r="K852" i="1"/>
  <c r="K446" i="1"/>
  <c r="K1427" i="1"/>
  <c r="K1471" i="1"/>
  <c r="K717" i="1"/>
  <c r="K564" i="1"/>
  <c r="K818" i="1"/>
  <c r="K876" i="1"/>
  <c r="K1316" i="1"/>
  <c r="K1227" i="1"/>
  <c r="K1310" i="1"/>
  <c r="K159" i="1"/>
  <c r="K915" i="1"/>
  <c r="K1139" i="1"/>
  <c r="K1384" i="1"/>
  <c r="K1370" i="1"/>
  <c r="K144" i="1"/>
  <c r="K229" i="1"/>
  <c r="K630" i="1"/>
  <c r="K8" i="1"/>
  <c r="K181" i="1"/>
  <c r="K1436" i="1"/>
  <c r="K1080" i="1"/>
  <c r="K516" i="1"/>
  <c r="K388" i="1"/>
  <c r="K638" i="1"/>
  <c r="K1235" i="1"/>
  <c r="K1105" i="1"/>
  <c r="K185" i="1"/>
  <c r="K591" i="1"/>
  <c r="K721" i="1"/>
  <c r="K439" i="1"/>
  <c r="K440" i="1"/>
  <c r="K370" i="1"/>
  <c r="K127" i="1"/>
  <c r="K1306" i="1"/>
  <c r="K746" i="1"/>
  <c r="K829" i="1"/>
  <c r="K374" i="1"/>
  <c r="K859" i="1"/>
  <c r="K1218" i="1"/>
  <c r="K825" i="1"/>
  <c r="K275" i="1"/>
  <c r="K1154" i="1"/>
  <c r="K1032" i="1"/>
  <c r="K195" i="1"/>
  <c r="K645" i="1"/>
  <c r="K1343" i="1"/>
  <c r="K945" i="1"/>
  <c r="K354" i="1"/>
  <c r="K1485" i="1"/>
  <c r="K839" i="1"/>
  <c r="J77" i="1"/>
  <c r="J609" i="1"/>
  <c r="J26" i="1"/>
  <c r="L26" i="1" s="1"/>
  <c r="J310" i="1"/>
  <c r="L310" i="1" s="1"/>
  <c r="J1137" i="1"/>
  <c r="J236" i="1"/>
  <c r="J1018" i="1"/>
  <c r="J1231" i="1"/>
  <c r="J330" i="1"/>
  <c r="J631" i="1"/>
  <c r="J501" i="1"/>
  <c r="L501" i="1" s="1"/>
  <c r="J973" i="1"/>
  <c r="L973" i="1" s="1"/>
  <c r="J871" i="1"/>
  <c r="J272" i="1"/>
  <c r="J535" i="1"/>
  <c r="J767" i="1"/>
  <c r="J1098" i="1"/>
  <c r="J1399" i="1"/>
  <c r="J687" i="1"/>
  <c r="L687" i="1" s="1"/>
  <c r="J913" i="1"/>
  <c r="L913" i="1" s="1"/>
  <c r="J204" i="1"/>
  <c r="J689" i="1"/>
  <c r="L689" i="1" s="1"/>
  <c r="J1011" i="1"/>
  <c r="L1011" i="1" s="1"/>
  <c r="J1171" i="1"/>
  <c r="J917" i="1"/>
  <c r="J451" i="1"/>
  <c r="J154" i="1"/>
  <c r="L154" i="1" s="1"/>
  <c r="J1211" i="1"/>
  <c r="L1211" i="1" s="1"/>
  <c r="J779" i="1"/>
  <c r="J281" i="1"/>
  <c r="J1220" i="1"/>
  <c r="J1057" i="1"/>
  <c r="J708" i="1"/>
  <c r="J1043" i="1"/>
  <c r="J474" i="1"/>
  <c r="L474" i="1" s="1"/>
  <c r="J1422" i="1"/>
  <c r="L1422" i="1" s="1"/>
  <c r="J551" i="1"/>
  <c r="L551" i="1" s="1"/>
  <c r="J969" i="1"/>
  <c r="J206" i="1"/>
  <c r="J199" i="1"/>
  <c r="J242" i="1"/>
  <c r="J1106" i="1"/>
  <c r="J941" i="1"/>
  <c r="L941" i="1" s="1"/>
  <c r="J696" i="1"/>
  <c r="L696" i="1" s="1"/>
  <c r="J1186" i="1"/>
  <c r="J251" i="1"/>
  <c r="L251" i="1" s="1"/>
  <c r="J786" i="1"/>
  <c r="L786" i="1" s="1"/>
  <c r="J1115" i="1"/>
  <c r="J1426" i="1"/>
  <c r="J22" i="1"/>
  <c r="J1246" i="1"/>
  <c r="L1246" i="1" s="1"/>
  <c r="J1109" i="1"/>
  <c r="L1109" i="1" s="1"/>
  <c r="J135" i="1"/>
  <c r="J1380" i="1"/>
  <c r="J158" i="1"/>
  <c r="J1375" i="1"/>
  <c r="J764" i="1"/>
  <c r="J24" i="1"/>
  <c r="J180" i="1"/>
  <c r="L180" i="1" s="1"/>
  <c r="J261" i="1"/>
  <c r="L261" i="1" s="1"/>
  <c r="J1329" i="1"/>
  <c r="L1329" i="1" s="1"/>
  <c r="J213" i="1"/>
  <c r="J344" i="1"/>
  <c r="J890" i="1"/>
  <c r="J581" i="1"/>
  <c r="J117" i="1"/>
  <c r="J1071" i="1"/>
  <c r="L1071" i="1" s="1"/>
  <c r="J1064" i="1"/>
  <c r="L1064" i="1" s="1"/>
  <c r="J1232" i="1"/>
  <c r="J1504" i="1"/>
  <c r="J1153" i="1"/>
  <c r="L1153" i="1" s="1"/>
  <c r="J1127" i="1"/>
  <c r="J538" i="1"/>
  <c r="J1026" i="1"/>
  <c r="J1405" i="1"/>
  <c r="L1405" i="1" s="1"/>
  <c r="J951" i="1"/>
  <c r="L951" i="1" s="1"/>
  <c r="J94" i="1"/>
  <c r="J306" i="1"/>
  <c r="J1319" i="1"/>
  <c r="J1101" i="1"/>
  <c r="J1313" i="1"/>
  <c r="J1322" i="1"/>
  <c r="J989" i="1"/>
  <c r="L989" i="1" s="1"/>
  <c r="J1122" i="1"/>
  <c r="L1122" i="1" s="1"/>
  <c r="J1352" i="1"/>
  <c r="L1352" i="1" s="1"/>
  <c r="J1056" i="1"/>
  <c r="L1056" i="1" s="1"/>
  <c r="J1008" i="1"/>
  <c r="L1008" i="1" s="1"/>
  <c r="J284" i="1"/>
  <c r="J466" i="1"/>
  <c r="J1017" i="1"/>
  <c r="J1326" i="1"/>
  <c r="L1326" i="1" s="1"/>
  <c r="J618" i="1"/>
  <c r="L618" i="1" s="1"/>
  <c r="J138" i="1"/>
  <c r="J268" i="1"/>
  <c r="J611" i="1"/>
  <c r="J2" i="1"/>
  <c r="J1006" i="1"/>
  <c r="J894" i="1"/>
  <c r="J377" i="1"/>
  <c r="L377" i="1" s="1"/>
  <c r="J14" i="1"/>
  <c r="L14" i="1" s="1"/>
  <c r="J1081" i="1"/>
  <c r="L1081" i="1" s="1"/>
  <c r="J460" i="1"/>
  <c r="J106" i="1"/>
  <c r="J23" i="1"/>
  <c r="J1073" i="1"/>
  <c r="J545" i="1"/>
  <c r="J531" i="1"/>
  <c r="L531" i="1" s="1"/>
  <c r="J346" i="1"/>
  <c r="L346" i="1" s="1"/>
  <c r="J1290" i="1"/>
  <c r="J856" i="1"/>
  <c r="L856" i="1" s="1"/>
  <c r="J584" i="1"/>
  <c r="L584" i="1" s="1"/>
  <c r="J20" i="1"/>
  <c r="J329" i="1"/>
  <c r="J76" i="1"/>
  <c r="J525" i="1"/>
  <c r="L525" i="1" s="1"/>
  <c r="J396" i="1"/>
  <c r="L396" i="1" s="1"/>
  <c r="J1279" i="1"/>
  <c r="J400" i="1"/>
  <c r="J697" i="1"/>
  <c r="J655" i="1"/>
  <c r="J861" i="1"/>
  <c r="J343" i="1"/>
  <c r="J705" i="1"/>
  <c r="L705" i="1" s="1"/>
  <c r="J1177" i="1"/>
  <c r="L1177" i="1" s="1"/>
  <c r="J1451" i="1"/>
  <c r="L1451" i="1" s="1"/>
  <c r="J852" i="1"/>
  <c r="L852" i="1" s="1"/>
  <c r="J404" i="1"/>
  <c r="J870" i="1"/>
  <c r="J176" i="1"/>
  <c r="J526" i="1"/>
  <c r="J35" i="1"/>
  <c r="L35" i="1" s="1"/>
  <c r="J928" i="1"/>
  <c r="L928" i="1" s="1"/>
  <c r="J1273" i="1"/>
  <c r="J1149" i="1"/>
  <c r="J1240" i="1"/>
  <c r="L1240" i="1" s="1"/>
  <c r="J1409" i="1"/>
  <c r="J794" i="1"/>
  <c r="J533" i="1"/>
  <c r="J1280" i="1"/>
  <c r="L1280" i="1" s="1"/>
  <c r="J1239" i="1"/>
  <c r="L1239" i="1" s="1"/>
  <c r="J1468" i="1"/>
  <c r="J301" i="1"/>
  <c r="J314" i="1"/>
  <c r="J498" i="1"/>
  <c r="J1234" i="1"/>
  <c r="J73" i="1"/>
  <c r="J817" i="1"/>
  <c r="L817" i="1" s="1"/>
  <c r="J366" i="1"/>
  <c r="L366" i="1" s="1"/>
  <c r="J1107" i="1"/>
  <c r="L1107" i="1" s="1"/>
  <c r="J1389" i="1"/>
  <c r="L1389" i="1" s="1"/>
  <c r="J754" i="1"/>
  <c r="L754" i="1" s="1"/>
  <c r="J121" i="1"/>
  <c r="J844" i="1"/>
  <c r="J892" i="1"/>
  <c r="J1060" i="1"/>
  <c r="L1060" i="1" s="1"/>
  <c r="J318" i="1"/>
  <c r="L318" i="1" s="1"/>
  <c r="J985" i="1"/>
  <c r="J1367" i="1"/>
  <c r="J66" i="1"/>
  <c r="J1411" i="1"/>
  <c r="J326" i="1"/>
  <c r="J595" i="1"/>
  <c r="J1113" i="1"/>
  <c r="L1113" i="1" s="1"/>
  <c r="J403" i="1"/>
  <c r="L403" i="1" s="1"/>
  <c r="J610" i="1"/>
  <c r="L610" i="1" s="1"/>
  <c r="J364" i="1"/>
  <c r="J395" i="1"/>
  <c r="J473" i="1"/>
  <c r="J1289" i="1"/>
  <c r="J46" i="1"/>
  <c r="J642" i="1"/>
  <c r="L642" i="1" s="1"/>
  <c r="J543" i="1"/>
  <c r="L543" i="1" s="1"/>
  <c r="J317" i="1"/>
  <c r="J667" i="1"/>
  <c r="L667" i="1" s="1"/>
  <c r="J166" i="1"/>
  <c r="L166" i="1" s="1"/>
  <c r="J200" i="1"/>
  <c r="J429" i="1"/>
  <c r="J652" i="1"/>
  <c r="J963" i="1"/>
  <c r="L963" i="1" s="1"/>
  <c r="J679" i="1"/>
  <c r="L679" i="1" s="1"/>
  <c r="J484" i="1"/>
  <c r="J1213" i="1"/>
  <c r="J766" i="1"/>
  <c r="J1418" i="1"/>
  <c r="J1188" i="1"/>
  <c r="J1373" i="1"/>
  <c r="J1446" i="1"/>
  <c r="L1446" i="1" s="1"/>
  <c r="J363" i="1"/>
  <c r="L363" i="1" s="1"/>
  <c r="J446" i="1"/>
  <c r="L446" i="1" s="1"/>
  <c r="J1470" i="1"/>
  <c r="J421" i="1"/>
  <c r="J983" i="1"/>
  <c r="J1009" i="1"/>
  <c r="J1302" i="1"/>
  <c r="J896" i="1"/>
  <c r="L896" i="1" s="1"/>
  <c r="J164" i="1"/>
  <c r="L164" i="1" s="1"/>
  <c r="J1443" i="1"/>
  <c r="J1353" i="1"/>
  <c r="J1276" i="1"/>
  <c r="J1421" i="1"/>
  <c r="J1462" i="1"/>
  <c r="J641" i="1"/>
  <c r="J1427" i="1"/>
  <c r="L1427" i="1" s="1"/>
  <c r="J1471" i="1"/>
  <c r="L1471" i="1" s="1"/>
  <c r="J1092" i="1"/>
  <c r="J1189" i="1"/>
  <c r="J196" i="1"/>
  <c r="J103" i="1"/>
  <c r="J411" i="1"/>
  <c r="J289" i="1"/>
  <c r="J1348" i="1"/>
  <c r="L1348" i="1" s="1"/>
  <c r="J52" i="1"/>
  <c r="L52" i="1" s="1"/>
  <c r="J980" i="1"/>
  <c r="L980" i="1" s="1"/>
  <c r="J165" i="1"/>
  <c r="L165" i="1" s="1"/>
  <c r="J511" i="1"/>
  <c r="L511" i="1" s="1"/>
  <c r="J1121" i="1"/>
  <c r="J770" i="1"/>
  <c r="J967" i="1"/>
  <c r="J321" i="1"/>
  <c r="L321" i="1" s="1"/>
  <c r="J553" i="1"/>
  <c r="L553" i="1" s="1"/>
  <c r="J556" i="1"/>
  <c r="J191" i="1"/>
  <c r="J30" i="1"/>
  <c r="J379" i="1"/>
  <c r="J946" i="1"/>
  <c r="J1425" i="1"/>
  <c r="J1097" i="1"/>
  <c r="L1097" i="1" s="1"/>
  <c r="J532" i="1"/>
  <c r="L532" i="1" s="1"/>
  <c r="J885" i="1"/>
  <c r="L885" i="1" s="1"/>
  <c r="J860" i="1"/>
  <c r="J273" i="1"/>
  <c r="J920" i="1"/>
  <c r="J905" i="1"/>
  <c r="J904" i="1"/>
  <c r="J11" i="1"/>
  <c r="L11" i="1" s="1"/>
  <c r="J1068" i="1"/>
  <c r="L1068" i="1" s="1"/>
  <c r="J256" i="1"/>
  <c r="J10" i="1"/>
  <c r="L10" i="1" s="1"/>
  <c r="J733" i="1"/>
  <c r="L733" i="1" s="1"/>
  <c r="J1141" i="1"/>
  <c r="J970" i="1"/>
  <c r="J715" i="1"/>
  <c r="J806" i="1"/>
  <c r="L806" i="1" s="1"/>
  <c r="J82" i="1"/>
  <c r="L82" i="1" s="1"/>
  <c r="J84" i="1"/>
  <c r="J685" i="1"/>
  <c r="J277" i="1"/>
  <c r="J668" i="1"/>
  <c r="J993" i="1"/>
  <c r="J962" i="1"/>
  <c r="J942" i="1"/>
  <c r="L942" i="1" s="1"/>
  <c r="J1416" i="1"/>
  <c r="L1416" i="1" s="1"/>
  <c r="J235" i="1"/>
  <c r="L235" i="1" s="1"/>
  <c r="J269" i="1"/>
  <c r="L269" i="1" s="1"/>
  <c r="J1157" i="1"/>
  <c r="J233" i="1"/>
  <c r="J355" i="1"/>
  <c r="J872" i="1"/>
  <c r="J633" i="1"/>
  <c r="L633" i="1" s="1"/>
  <c r="J1102" i="1"/>
  <c r="L1102" i="1" s="1"/>
  <c r="J675" i="1"/>
  <c r="J1100" i="1"/>
  <c r="J1495" i="1"/>
  <c r="L1495" i="1" s="1"/>
  <c r="J720" i="1"/>
  <c r="J811" i="1"/>
  <c r="J1501" i="1"/>
  <c r="J717" i="1"/>
  <c r="L717" i="1" s="1"/>
  <c r="J564" i="1"/>
  <c r="L564" i="1" s="1"/>
  <c r="J742" i="1"/>
  <c r="J1033" i="1"/>
  <c r="J555" i="1"/>
  <c r="J1508" i="1"/>
  <c r="J858" i="1"/>
  <c r="J1244" i="1"/>
  <c r="J442" i="1"/>
  <c r="L442" i="1" s="1"/>
  <c r="J682" i="1"/>
  <c r="L682" i="1" s="1"/>
  <c r="J18" i="1"/>
  <c r="L18" i="1" s="1"/>
  <c r="J37" i="1"/>
  <c r="L37" i="1" s="1"/>
  <c r="J563" i="1"/>
  <c r="L563" i="1" s="1"/>
  <c r="J44" i="1"/>
  <c r="J392" i="1"/>
  <c r="J549" i="1"/>
  <c r="J112" i="1"/>
  <c r="L112" i="1" s="1"/>
  <c r="J580" i="1"/>
  <c r="L580" i="1" s="1"/>
  <c r="J864" i="1"/>
  <c r="J1091" i="1"/>
  <c r="J875" i="1"/>
  <c r="J254" i="1"/>
  <c r="J1363" i="1"/>
  <c r="J422" i="1"/>
  <c r="J893" i="1"/>
  <c r="L893" i="1" s="1"/>
  <c r="J1146" i="1"/>
  <c r="L1146" i="1" s="1"/>
  <c r="J459" i="1"/>
  <c r="L459" i="1" s="1"/>
  <c r="J320" i="1"/>
  <c r="J1039" i="1"/>
  <c r="J247" i="1"/>
  <c r="J1500" i="1"/>
  <c r="J1224" i="1"/>
  <c r="J1274" i="1"/>
  <c r="L1274" i="1" s="1"/>
  <c r="J1258" i="1"/>
  <c r="L1258" i="1" s="1"/>
  <c r="J415" i="1"/>
  <c r="J841" i="1"/>
  <c r="L841" i="1" s="1"/>
  <c r="J67" i="1"/>
  <c r="L67" i="1" s="1"/>
  <c r="J706" i="1"/>
  <c r="J1277" i="1"/>
  <c r="J1474" i="1"/>
  <c r="J490" i="1"/>
  <c r="L490" i="1" s="1"/>
  <c r="J217" i="1"/>
  <c r="L217" i="1" s="1"/>
  <c r="J412" i="1"/>
  <c r="J1330" i="1"/>
  <c r="J472" i="1"/>
  <c r="J481" i="1"/>
  <c r="J801" i="1"/>
  <c r="J1331" i="1"/>
  <c r="L1331" i="1" s="1"/>
  <c r="J616" i="1"/>
  <c r="L616" i="1" s="1"/>
  <c r="J691" i="1"/>
  <c r="L691" i="1" s="1"/>
  <c r="J1155" i="1"/>
  <c r="J1192" i="1"/>
  <c r="J1362" i="1"/>
  <c r="J105" i="1"/>
  <c r="J380" i="1"/>
  <c r="J654" i="1"/>
  <c r="L654" i="1" s="1"/>
  <c r="J1355" i="1"/>
  <c r="L1355" i="1" s="1"/>
  <c r="J279" i="1"/>
  <c r="L279" i="1" s="1"/>
  <c r="J772" i="1"/>
  <c r="L772" i="1" s="1"/>
  <c r="J171" i="1"/>
  <c r="L171" i="1" s="1"/>
  <c r="J784" i="1"/>
  <c r="J1275" i="1"/>
  <c r="J1075" i="1"/>
  <c r="J482" i="1"/>
  <c r="L482" i="1" s="1"/>
  <c r="J1252" i="1"/>
  <c r="L1252" i="1" s="1"/>
  <c r="J203" i="1"/>
  <c r="L203" i="1" s="1"/>
  <c r="J1347" i="1"/>
  <c r="J756" i="1"/>
  <c r="L756" i="1" s="1"/>
  <c r="J1181" i="1"/>
  <c r="L1181" i="1" s="1"/>
  <c r="J17" i="1"/>
  <c r="J348" i="1"/>
  <c r="J197" i="1"/>
  <c r="J815" i="1"/>
  <c r="L815" i="1" s="1"/>
  <c r="J360" i="1"/>
  <c r="L360" i="1" s="1"/>
  <c r="J293" i="1"/>
  <c r="J63" i="1"/>
  <c r="J408" i="1"/>
  <c r="J1491" i="1"/>
  <c r="J134" i="1"/>
  <c r="J340" i="1"/>
  <c r="J1387" i="1"/>
  <c r="L1387" i="1" s="1"/>
  <c r="J818" i="1"/>
  <c r="L818" i="1" s="1"/>
  <c r="J163" i="1"/>
  <c r="J956" i="1"/>
  <c r="J1359" i="1"/>
  <c r="J1034" i="1"/>
  <c r="J683" i="1"/>
  <c r="L683" i="1" s="1"/>
  <c r="J367" i="1"/>
  <c r="L367" i="1" s="1"/>
  <c r="J876" i="1"/>
  <c r="L876" i="1" s="1"/>
  <c r="J1490" i="1"/>
  <c r="L1490" i="1" s="1"/>
  <c r="J1287" i="1"/>
  <c r="L1287" i="1" s="1"/>
  <c r="J947" i="1"/>
  <c r="J489" i="1"/>
  <c r="J704" i="1"/>
  <c r="J1296" i="1"/>
  <c r="L1296" i="1" s="1"/>
  <c r="J69" i="1"/>
  <c r="J1316" i="1"/>
  <c r="L1316" i="1" s="1"/>
  <c r="J434" i="1"/>
  <c r="L434" i="1" s="1"/>
  <c r="J757" i="1"/>
  <c r="L757" i="1" s="1"/>
  <c r="J799" i="1"/>
  <c r="L799" i="1" s="1"/>
  <c r="J1135" i="1"/>
  <c r="J518" i="1"/>
  <c r="J1383" i="1"/>
  <c r="L1383" i="1" s="1"/>
  <c r="J479" i="1"/>
  <c r="L479" i="1" s="1"/>
  <c r="J1070" i="1"/>
  <c r="L1070" i="1" s="1"/>
  <c r="J873" i="1"/>
  <c r="L873" i="1" s="1"/>
  <c r="J356" i="1"/>
  <c r="L356" i="1" s="1"/>
  <c r="J319" i="1"/>
  <c r="L319" i="1" s="1"/>
  <c r="J1077" i="1"/>
  <c r="L1077" i="1" s="1"/>
  <c r="J882" i="1"/>
  <c r="J276" i="1"/>
  <c r="L276" i="1" s="1"/>
  <c r="J362" i="1"/>
  <c r="L362" i="1" s="1"/>
  <c r="J278" i="1"/>
  <c r="L278" i="1" s="1"/>
  <c r="J771" i="1"/>
  <c r="L771" i="1" s="1"/>
  <c r="J1482" i="1"/>
  <c r="J840" i="1"/>
  <c r="J1438" i="1"/>
  <c r="J1494" i="1"/>
  <c r="J1502" i="1"/>
  <c r="J981" i="1"/>
  <c r="L981" i="1" s="1"/>
  <c r="J826" i="1"/>
  <c r="L826" i="1" s="1"/>
  <c r="J155" i="1"/>
  <c r="L155" i="1" s="1"/>
  <c r="J510" i="1"/>
  <c r="J787" i="1"/>
  <c r="J267" i="1"/>
  <c r="L267" i="1" s="1"/>
  <c r="J1086" i="1"/>
  <c r="J266" i="1"/>
  <c r="L266" i="1" s="1"/>
  <c r="J1184" i="1"/>
  <c r="L1184" i="1" s="1"/>
  <c r="J1003" i="1"/>
  <c r="L1003" i="1" s="1"/>
  <c r="J231" i="1"/>
  <c r="L231" i="1" s="1"/>
  <c r="J719" i="1"/>
  <c r="J809" i="1"/>
  <c r="J494" i="1"/>
  <c r="J711" i="1"/>
  <c r="J244" i="1"/>
  <c r="L244" i="1" s="1"/>
  <c r="J986" i="1"/>
  <c r="L986" i="1" s="1"/>
  <c r="J524" i="1"/>
  <c r="L524" i="1" s="1"/>
  <c r="J31" i="1"/>
  <c r="L31" i="1" s="1"/>
  <c r="J260" i="1"/>
  <c r="J1298" i="1"/>
  <c r="J1025" i="1"/>
  <c r="J1165" i="1"/>
  <c r="J877" i="1"/>
  <c r="J1125" i="1"/>
  <c r="J863" i="1"/>
  <c r="L863" i="1" s="1"/>
  <c r="J1227" i="1"/>
  <c r="L1227" i="1" s="1"/>
  <c r="J745" i="1"/>
  <c r="J583" i="1"/>
  <c r="J977" i="1"/>
  <c r="J703" i="1"/>
  <c r="J847" i="1"/>
  <c r="L847" i="1" s="1"/>
  <c r="J572" i="1"/>
  <c r="L572" i="1" s="1"/>
  <c r="J1310" i="1"/>
  <c r="L1310" i="1" s="1"/>
  <c r="J159" i="1"/>
  <c r="L159" i="1" s="1"/>
  <c r="J651" i="1"/>
  <c r="L651" i="1" s="1"/>
  <c r="J1148" i="1"/>
  <c r="J322" i="1"/>
  <c r="J578" i="1"/>
  <c r="J1483" i="1"/>
  <c r="L1483" i="1" s="1"/>
  <c r="J1166" i="1"/>
  <c r="J507" i="1"/>
  <c r="L507" i="1" s="1"/>
  <c r="J173" i="1"/>
  <c r="L173" i="1" s="1"/>
  <c r="J386" i="1"/>
  <c r="L386" i="1" s="1"/>
  <c r="J130" i="1"/>
  <c r="L130" i="1" s="1"/>
  <c r="J1325" i="1"/>
  <c r="J1217" i="1"/>
  <c r="J294" i="1"/>
  <c r="L294" i="1" s="1"/>
  <c r="J663" i="1"/>
  <c r="L663" i="1" s="1"/>
  <c r="J1346" i="1"/>
  <c r="L1346" i="1" s="1"/>
  <c r="J450" i="1"/>
  <c r="L450" i="1" s="1"/>
  <c r="J590" i="1"/>
  <c r="L590" i="1" s="1"/>
  <c r="J464" i="1"/>
  <c r="L464" i="1" s="1"/>
  <c r="J313" i="1"/>
  <c r="J1167" i="1"/>
  <c r="J1150" i="1"/>
  <c r="L1150" i="1" s="1"/>
  <c r="J608" i="1"/>
  <c r="L608" i="1" s="1"/>
  <c r="J1285" i="1"/>
  <c r="L1285" i="1" s="1"/>
  <c r="J357" i="1"/>
  <c r="L357" i="1" s="1"/>
  <c r="J1256" i="1"/>
  <c r="J376" i="1"/>
  <c r="L376" i="1" s="1"/>
  <c r="J575" i="1"/>
  <c r="L575" i="1" s="1"/>
  <c r="J522" i="1"/>
  <c r="J1004" i="1"/>
  <c r="J96" i="1"/>
  <c r="L96" i="1" s="1"/>
  <c r="J1180" i="1"/>
  <c r="L1180" i="1" s="1"/>
  <c r="J1094" i="1"/>
  <c r="L1094" i="1" s="1"/>
  <c r="J107" i="1"/>
  <c r="J124" i="1"/>
  <c r="J401" i="1"/>
  <c r="L401" i="1" s="1"/>
  <c r="J984" i="1"/>
  <c r="J359" i="1"/>
  <c r="J816" i="1"/>
  <c r="L816" i="1" s="1"/>
  <c r="J628" i="1"/>
  <c r="L628" i="1" s="1"/>
  <c r="J1142" i="1"/>
  <c r="L1142" i="1" s="1"/>
  <c r="J1314" i="1"/>
  <c r="J417" i="1"/>
  <c r="J137" i="1"/>
  <c r="J131" i="1"/>
  <c r="J846" i="1"/>
  <c r="L846" i="1" s="1"/>
  <c r="J468" i="1"/>
  <c r="L468" i="1" s="1"/>
  <c r="J915" i="1"/>
  <c r="L915" i="1" s="1"/>
  <c r="J686" i="1"/>
  <c r="L686" i="1" s="1"/>
  <c r="J114" i="1"/>
  <c r="J371" i="1"/>
  <c r="J734" i="1"/>
  <c r="J432" i="1"/>
  <c r="J849" i="1"/>
  <c r="L849" i="1" s="1"/>
  <c r="J1067" i="1"/>
  <c r="J577" i="1"/>
  <c r="L577" i="1" s="1"/>
  <c r="J698" i="1"/>
  <c r="L698" i="1" s="1"/>
  <c r="J1144" i="1"/>
  <c r="J814" i="1"/>
  <c r="J1394" i="1"/>
  <c r="J1293" i="1"/>
  <c r="J1139" i="1"/>
  <c r="L1139" i="1" s="1"/>
  <c r="J707" i="1"/>
  <c r="L707" i="1" s="1"/>
  <c r="J1384" i="1"/>
  <c r="L1384" i="1" s="1"/>
  <c r="J192" i="1"/>
  <c r="L192" i="1" s="1"/>
  <c r="J780" i="1"/>
  <c r="L780" i="1" s="1"/>
  <c r="J1108" i="1"/>
  <c r="J1332" i="1"/>
  <c r="J88" i="1"/>
  <c r="J959" i="1"/>
  <c r="L959" i="1" s="1"/>
  <c r="J1000" i="1"/>
  <c r="L1000" i="1" s="1"/>
  <c r="J1178" i="1"/>
  <c r="L1178" i="1" s="1"/>
  <c r="J48" i="1"/>
  <c r="L48" i="1" s="1"/>
  <c r="J175" i="1"/>
  <c r="L175" i="1" s="1"/>
  <c r="J250" i="1"/>
  <c r="L250" i="1" s="1"/>
  <c r="J1183" i="1"/>
  <c r="J1461" i="1"/>
  <c r="J259" i="1"/>
  <c r="L259" i="1" s="1"/>
  <c r="J1464" i="1"/>
  <c r="L1464" i="1" s="1"/>
  <c r="J1085" i="1"/>
  <c r="L1085" i="1" s="1"/>
  <c r="J405" i="1"/>
  <c r="L405" i="1" s="1"/>
  <c r="J1120" i="1"/>
  <c r="L1120" i="1" s="1"/>
  <c r="J1143" i="1"/>
  <c r="L1143" i="1" s="1"/>
  <c r="J568" i="1"/>
  <c r="L568" i="1" s="1"/>
  <c r="J750" i="1"/>
  <c r="J361" i="1"/>
  <c r="L361" i="1" s="1"/>
  <c r="J239" i="1"/>
  <c r="L239" i="1" s="1"/>
  <c r="J565" i="1"/>
  <c r="L565" i="1" s="1"/>
  <c r="J345" i="1"/>
  <c r="L345" i="1" s="1"/>
  <c r="J232" i="1"/>
  <c r="J659" i="1"/>
  <c r="L659" i="1" s="1"/>
  <c r="J693" i="1"/>
  <c r="L693" i="1" s="1"/>
  <c r="J328" i="1"/>
  <c r="J972" i="1"/>
  <c r="L972" i="1" s="1"/>
  <c r="J80" i="1"/>
  <c r="L80" i="1" s="1"/>
  <c r="J540" i="1"/>
  <c r="L540" i="1" s="1"/>
  <c r="J802" i="1"/>
  <c r="L802" i="1" s="1"/>
  <c r="J1364" i="1"/>
  <c r="J36" i="1"/>
  <c r="J43" i="1"/>
  <c r="L43" i="1" s="1"/>
  <c r="J677" i="1"/>
  <c r="J1386" i="1"/>
  <c r="L1386" i="1" s="1"/>
  <c r="J1472" i="1"/>
  <c r="J1083" i="1"/>
  <c r="L1083" i="1" s="1"/>
  <c r="J1090" i="1"/>
  <c r="L1090" i="1" s="1"/>
  <c r="J457" i="1"/>
  <c r="J414" i="1"/>
  <c r="J1458" i="1"/>
  <c r="J725" i="1"/>
  <c r="J1216" i="1"/>
  <c r="J174" i="1"/>
  <c r="J513" i="1"/>
  <c r="L513" i="1" s="1"/>
  <c r="J594" i="1"/>
  <c r="L594" i="1" s="1"/>
  <c r="J587" i="1"/>
  <c r="J636" i="1"/>
  <c r="J50" i="1"/>
  <c r="J1506" i="1"/>
  <c r="J731" i="1"/>
  <c r="L731" i="1" s="1"/>
  <c r="J128" i="1"/>
  <c r="L128" i="1" s="1"/>
  <c r="J1370" i="1"/>
  <c r="L1370" i="1" s="1"/>
  <c r="J144" i="1"/>
  <c r="L144" i="1" s="1"/>
  <c r="J1337" i="1"/>
  <c r="J1253" i="1"/>
  <c r="J1233" i="1"/>
  <c r="J1334" i="1"/>
  <c r="J327" i="1"/>
  <c r="J965" i="1"/>
  <c r="J229" i="1"/>
  <c r="L229" i="1" s="1"/>
  <c r="J1442" i="1"/>
  <c r="L1442" i="1" s="1"/>
  <c r="J172" i="1"/>
  <c r="L172" i="1" s="1"/>
  <c r="J576" i="1"/>
  <c r="J469" i="1"/>
  <c r="J749" i="1"/>
  <c r="J561" i="1"/>
  <c r="L561" i="1" s="1"/>
  <c r="J274" i="1"/>
  <c r="L274" i="1" s="1"/>
  <c r="J530" i="1"/>
  <c r="L530" i="1" s="1"/>
  <c r="J323" i="1"/>
  <c r="L323" i="1" s="1"/>
  <c r="J943" i="1"/>
  <c r="L943" i="1" s="1"/>
  <c r="J1454" i="1"/>
  <c r="L1454" i="1" s="1"/>
  <c r="J546" i="1"/>
  <c r="J224" i="1"/>
  <c r="J214" i="1"/>
  <c r="L214" i="1" s="1"/>
  <c r="J1197" i="1"/>
  <c r="L1197" i="1" s="1"/>
  <c r="J431" i="1"/>
  <c r="L431" i="1" s="1"/>
  <c r="J832" i="1"/>
  <c r="L832" i="1" s="1"/>
  <c r="J898" i="1"/>
  <c r="L898" i="1" s="1"/>
  <c r="J198" i="1"/>
  <c r="L198" i="1" s="1"/>
  <c r="J669" i="1"/>
  <c r="L669" i="1" s="1"/>
  <c r="J777" i="1"/>
  <c r="J819" i="1"/>
  <c r="L819" i="1" s="1"/>
  <c r="J1219" i="1"/>
  <c r="L1219" i="1" s="1"/>
  <c r="J1345" i="1"/>
  <c r="L1345" i="1" s="1"/>
  <c r="J309" i="1"/>
  <c r="L309" i="1" s="1"/>
  <c r="J726" i="1"/>
  <c r="J1307" i="1"/>
  <c r="J1507" i="1"/>
  <c r="J737" i="1"/>
  <c r="J588" i="1"/>
  <c r="L588" i="1" s="1"/>
  <c r="J456" i="1"/>
  <c r="L456" i="1" s="1"/>
  <c r="J1061" i="1"/>
  <c r="L1061" i="1" s="1"/>
  <c r="J1179" i="1"/>
  <c r="L1179" i="1" s="1"/>
  <c r="J974" i="1"/>
  <c r="J888" i="1"/>
  <c r="J1111" i="1"/>
  <c r="L1111" i="1" s="1"/>
  <c r="J1243" i="1"/>
  <c r="J632" i="1"/>
  <c r="L632" i="1" s="1"/>
  <c r="J424" i="1"/>
  <c r="L424" i="1" s="1"/>
  <c r="J646" i="1"/>
  <c r="L646" i="1" s="1"/>
  <c r="J612" i="1"/>
  <c r="L612" i="1" s="1"/>
  <c r="J1236" i="1"/>
  <c r="J51" i="1"/>
  <c r="J410" i="1"/>
  <c r="J113" i="1"/>
  <c r="J723" i="1"/>
  <c r="L723" i="1" s="1"/>
  <c r="J914" i="1"/>
  <c r="J1430" i="1"/>
  <c r="L1430" i="1" s="1"/>
  <c r="J123" i="1"/>
  <c r="L123" i="1" s="1"/>
  <c r="J1486" i="1"/>
  <c r="J931" i="1"/>
  <c r="J803" i="1"/>
  <c r="J1339" i="1"/>
  <c r="J1432" i="1"/>
  <c r="J1403" i="1"/>
  <c r="L1403" i="1" s="1"/>
  <c r="J630" i="1"/>
  <c r="L630" i="1" s="1"/>
  <c r="J8" i="1"/>
  <c r="L8" i="1" s="1"/>
  <c r="J1465" i="1"/>
  <c r="J897" i="1"/>
  <c r="J923" i="1"/>
  <c r="J1063" i="1"/>
  <c r="J449" i="1"/>
  <c r="L449" i="1" s="1"/>
  <c r="J637" i="1"/>
  <c r="L637" i="1" s="1"/>
  <c r="J1283" i="1"/>
  <c r="L1283" i="1" s="1"/>
  <c r="J1222" i="1"/>
  <c r="L1222" i="1" s="1"/>
  <c r="J270" i="1"/>
  <c r="L270" i="1" s="1"/>
  <c r="J21" i="1"/>
  <c r="J1300" i="1"/>
  <c r="J709" i="1"/>
  <c r="J1168" i="1"/>
  <c r="L1168" i="1" s="1"/>
  <c r="J603" i="1"/>
  <c r="L603" i="1" s="1"/>
  <c r="J181" i="1"/>
  <c r="L181" i="1" s="1"/>
  <c r="J755" i="1"/>
  <c r="L755" i="1" s="1"/>
  <c r="J665" i="1"/>
  <c r="L665" i="1" s="1"/>
  <c r="J1201" i="1"/>
  <c r="L1201" i="1" s="1"/>
  <c r="J790" i="1"/>
  <c r="J480" i="1"/>
  <c r="J1010" i="1"/>
  <c r="L1010" i="1" s="1"/>
  <c r="J1419" i="1"/>
  <c r="L1419" i="1" s="1"/>
  <c r="J70" i="1"/>
  <c r="L70" i="1" s="1"/>
  <c r="J529" i="1"/>
  <c r="L529" i="1" s="1"/>
  <c r="J337" i="1"/>
  <c r="L337" i="1" s="1"/>
  <c r="J874" i="1"/>
  <c r="L874" i="1" s="1"/>
  <c r="J1226" i="1"/>
  <c r="J994" i="1"/>
  <c r="J1051" i="1"/>
  <c r="L1051" i="1" s="1"/>
  <c r="J1478" i="1"/>
  <c r="L1478" i="1" s="1"/>
  <c r="J1190" i="1"/>
  <c r="L1190" i="1" s="1"/>
  <c r="J168" i="1"/>
  <c r="L168" i="1" s="1"/>
  <c r="J230" i="1"/>
  <c r="J170" i="1"/>
  <c r="J926" i="1"/>
  <c r="J517" i="1"/>
  <c r="J1415" i="1"/>
  <c r="L1415" i="1" s="1"/>
  <c r="J98" i="1"/>
  <c r="L98" i="1" s="1"/>
  <c r="J1455" i="1"/>
  <c r="L1455" i="1" s="1"/>
  <c r="J93" i="1"/>
  <c r="L93" i="1" s="1"/>
  <c r="J741" i="1"/>
  <c r="J1320" i="1"/>
  <c r="J1038" i="1"/>
  <c r="L1038" i="1" s="1"/>
  <c r="J375" i="1"/>
  <c r="J606" i="1"/>
  <c r="L606" i="1" s="1"/>
  <c r="J1452" i="1"/>
  <c r="L1452" i="1" s="1"/>
  <c r="J358" i="1"/>
  <c r="L358" i="1" s="1"/>
  <c r="J673" i="1"/>
  <c r="L673" i="1" s="1"/>
  <c r="J854" i="1"/>
  <c r="J1260" i="1"/>
  <c r="J389" i="1"/>
  <c r="J1160" i="1"/>
  <c r="J1048" i="1"/>
  <c r="L1048" i="1" s="1"/>
  <c r="J1084" i="1"/>
  <c r="L1084" i="1" s="1"/>
  <c r="J1014" i="1"/>
  <c r="L1014" i="1" s="1"/>
  <c r="J567" i="1"/>
  <c r="L567" i="1" s="1"/>
  <c r="J619" i="1"/>
  <c r="J1021" i="1"/>
  <c r="J287" i="1"/>
  <c r="J189" i="1"/>
  <c r="J303" i="1"/>
  <c r="J1005" i="1"/>
  <c r="J509" i="1"/>
  <c r="L509" i="1" s="1"/>
  <c r="J295" i="1"/>
  <c r="L295" i="1" s="1"/>
  <c r="J592" i="1"/>
  <c r="J169" i="1"/>
  <c r="J879" i="1"/>
  <c r="J822" i="1"/>
  <c r="J1169" i="1"/>
  <c r="L1169" i="1" s="1"/>
  <c r="J42" i="1"/>
  <c r="L42" i="1" s="1"/>
  <c r="J55" i="1"/>
  <c r="L55" i="1" s="1"/>
  <c r="J152" i="1"/>
  <c r="L152" i="1" s="1"/>
  <c r="J1028" i="1"/>
  <c r="L1028" i="1" s="1"/>
  <c r="J582" i="1"/>
  <c r="J1016" i="1"/>
  <c r="J133" i="1"/>
  <c r="J483" i="1"/>
  <c r="L483" i="1" s="1"/>
  <c r="J308" i="1"/>
  <c r="J1436" i="1"/>
  <c r="L1436" i="1" s="1"/>
  <c r="J1080" i="1"/>
  <c r="L1080" i="1" s="1"/>
  <c r="J516" i="1"/>
  <c r="L516" i="1" s="1"/>
  <c r="J162" i="1"/>
  <c r="L162" i="1" s="1"/>
  <c r="J1001" i="1"/>
  <c r="J305" i="1"/>
  <c r="J265" i="1"/>
  <c r="L265" i="1" s="1"/>
  <c r="J1374" i="1"/>
  <c r="L1374" i="1" s="1"/>
  <c r="J350" i="1"/>
  <c r="L350" i="1" s="1"/>
  <c r="J916" i="1"/>
  <c r="L916" i="1" s="1"/>
  <c r="J940" i="1"/>
  <c r="L940" i="1" s="1"/>
  <c r="J515" i="1"/>
  <c r="J1069" i="1"/>
  <c r="J895" i="1"/>
  <c r="J910" i="1"/>
  <c r="L910" i="1" s="1"/>
  <c r="J1357" i="1"/>
  <c r="L1357" i="1" s="1"/>
  <c r="J125" i="1"/>
  <c r="L125" i="1" s="1"/>
  <c r="J1479" i="1"/>
  <c r="L1479" i="1" s="1"/>
  <c r="J1433" i="1"/>
  <c r="J900" i="1"/>
  <c r="L900" i="1" s="1"/>
  <c r="J948" i="1"/>
  <c r="L948" i="1" s="1"/>
  <c r="J1110" i="1"/>
  <c r="J739" i="1"/>
  <c r="J150" i="1"/>
  <c r="L150" i="1" s="1"/>
  <c r="J950" i="1"/>
  <c r="L950" i="1" s="1"/>
  <c r="J1291" i="1"/>
  <c r="L1291" i="1" s="1"/>
  <c r="J1480" i="1"/>
  <c r="J72" i="1"/>
  <c r="J1161" i="1"/>
  <c r="L1161" i="1" s="1"/>
  <c r="J1187" i="1"/>
  <c r="J1044" i="1"/>
  <c r="L1044" i="1" s="1"/>
  <c r="J12" i="1"/>
  <c r="L12" i="1" s="1"/>
  <c r="J769" i="1"/>
  <c r="L769" i="1" s="1"/>
  <c r="J850" i="1"/>
  <c r="L850" i="1" s="1"/>
  <c r="J1414" i="1"/>
  <c r="J944" i="1"/>
  <c r="J521" i="1"/>
  <c r="J857" i="1"/>
  <c r="J552" i="1"/>
  <c r="L552" i="1" s="1"/>
  <c r="J1247" i="1"/>
  <c r="L1247" i="1" s="1"/>
  <c r="J1117" i="1"/>
  <c r="L1117" i="1" s="1"/>
  <c r="J178" i="1"/>
  <c r="L178" i="1" s="1"/>
  <c r="J813" i="1"/>
  <c r="J569" i="1"/>
  <c r="J627" i="1"/>
  <c r="J823" i="1"/>
  <c r="J497" i="1"/>
  <c r="J560" i="1"/>
  <c r="J109" i="1"/>
  <c r="L109" i="1" s="1"/>
  <c r="J1215" i="1"/>
  <c r="L1215" i="1" s="1"/>
  <c r="J1496" i="1"/>
  <c r="J1241" i="1"/>
  <c r="J1448" i="1"/>
  <c r="J1349" i="1"/>
  <c r="J1467" i="1"/>
  <c r="L1467" i="1" s="1"/>
  <c r="J937" i="1"/>
  <c r="L937" i="1" s="1"/>
  <c r="J1408" i="1"/>
  <c r="L1408" i="1" s="1"/>
  <c r="J891" i="1"/>
  <c r="L891" i="1" s="1"/>
  <c r="J1163" i="1"/>
  <c r="L1163" i="1" s="1"/>
  <c r="J758" i="1"/>
  <c r="J729" i="1"/>
  <c r="J1040" i="1"/>
  <c r="J399" i="1"/>
  <c r="L399" i="1" s="1"/>
  <c r="J536" i="1"/>
  <c r="J462" i="1"/>
  <c r="L462" i="1" s="1"/>
  <c r="J1191" i="1"/>
  <c r="L1191" i="1" s="1"/>
  <c r="J388" i="1"/>
  <c r="L388" i="1" s="1"/>
  <c r="J638" i="1"/>
  <c r="L638" i="1" s="1"/>
  <c r="J271" i="1"/>
  <c r="J996" i="1"/>
  <c r="J1225" i="1"/>
  <c r="L1225" i="1" s="1"/>
  <c r="J695" i="1"/>
  <c r="L695" i="1" s="1"/>
  <c r="J791" i="1"/>
  <c r="L791" i="1" s="1"/>
  <c r="J1131" i="1"/>
  <c r="L1131" i="1" s="1"/>
  <c r="J1235" i="1"/>
  <c r="L1235" i="1" s="1"/>
  <c r="J1382" i="1"/>
  <c r="L1382" i="1" s="1"/>
  <c r="J3" i="1"/>
  <c r="L3" i="1" s="1"/>
  <c r="J1402" i="1"/>
  <c r="J384" i="1"/>
  <c r="L384" i="1" s="1"/>
  <c r="J1469" i="1"/>
  <c r="L1469" i="1" s="1"/>
  <c r="J1237" i="1"/>
  <c r="L1237" i="1" s="1"/>
  <c r="J365" i="1"/>
  <c r="L365" i="1" s="1"/>
  <c r="J835" i="1"/>
  <c r="J1270" i="1"/>
  <c r="L1270" i="1" s="1"/>
  <c r="J1444" i="1"/>
  <c r="L1444" i="1" s="1"/>
  <c r="J504" i="1"/>
  <c r="J520" i="1"/>
  <c r="L520" i="1" s="1"/>
  <c r="J881" i="1"/>
  <c r="L881" i="1" s="1"/>
  <c r="J445" i="1"/>
  <c r="L445" i="1" s="1"/>
  <c r="J936" i="1"/>
  <c r="L936" i="1" s="1"/>
  <c r="J75" i="1"/>
  <c r="J102" i="1"/>
  <c r="J1199" i="1"/>
  <c r="L1199" i="1" s="1"/>
  <c r="J1282" i="1"/>
  <c r="J486" i="1"/>
  <c r="J56" i="1"/>
  <c r="J58" i="1"/>
  <c r="L58" i="1" s="1"/>
  <c r="J38" i="1"/>
  <c r="L38" i="1" s="1"/>
  <c r="J1042" i="1"/>
  <c r="J990" i="1"/>
  <c r="J901" i="1"/>
  <c r="J29" i="1"/>
  <c r="J1173" i="1"/>
  <c r="J768" i="1"/>
  <c r="L768" i="1" s="1"/>
  <c r="J1466" i="1"/>
  <c r="L1466" i="1" s="1"/>
  <c r="J648" i="1"/>
  <c r="L648" i="1" s="1"/>
  <c r="J617" i="1"/>
  <c r="J1221" i="1"/>
  <c r="J1214" i="1"/>
  <c r="J187" i="1"/>
  <c r="J523" i="1"/>
  <c r="L523" i="1" s="1"/>
  <c r="J471" i="1"/>
  <c r="L471" i="1" s="1"/>
  <c r="J1333" i="1"/>
  <c r="L1333" i="1" s="1"/>
  <c r="J1124" i="1"/>
  <c r="L1124" i="1" s="1"/>
  <c r="J1059" i="1"/>
  <c r="J1202" i="1"/>
  <c r="J136" i="1"/>
  <c r="J1104" i="1"/>
  <c r="J671" i="1"/>
  <c r="J534" i="1"/>
  <c r="J995" i="1"/>
  <c r="L995" i="1" s="1"/>
  <c r="J736" i="1"/>
  <c r="L736" i="1" s="1"/>
  <c r="J1105" i="1"/>
  <c r="L1105" i="1" s="1"/>
  <c r="J666" i="1"/>
  <c r="J455" i="1"/>
  <c r="J435" i="1"/>
  <c r="J938" i="1"/>
  <c r="L938" i="1" s="1"/>
  <c r="J108" i="1"/>
  <c r="L108" i="1" s="1"/>
  <c r="J185" i="1"/>
  <c r="L185" i="1" s="1"/>
  <c r="J1379" i="1"/>
  <c r="L1379" i="1" s="1"/>
  <c r="J385" i="1"/>
  <c r="L385" i="1" s="1"/>
  <c r="J542" i="1"/>
  <c r="L542" i="1" s="1"/>
  <c r="J283" i="1"/>
  <c r="J186" i="1"/>
  <c r="J1401" i="1"/>
  <c r="L1401" i="1" s="1"/>
  <c r="J1103" i="1"/>
  <c r="L1103" i="1" s="1"/>
  <c r="J1263" i="1"/>
  <c r="L1263" i="1" s="1"/>
  <c r="J1095" i="1"/>
  <c r="L1095" i="1" s="1"/>
  <c r="J153" i="1"/>
  <c r="L153" i="1" s="1"/>
  <c r="J333" i="1"/>
  <c r="L333" i="1" s="1"/>
  <c r="J190" i="1"/>
  <c r="L190" i="1" s="1"/>
  <c r="J146" i="1"/>
  <c r="J1029" i="1"/>
  <c r="L1029" i="1" s="1"/>
  <c r="J407" i="1"/>
  <c r="L407" i="1" s="1"/>
  <c r="J79" i="1"/>
  <c r="L79" i="1" s="1"/>
  <c r="J1207" i="1"/>
  <c r="L1207" i="1" s="1"/>
  <c r="J1140" i="1"/>
  <c r="J1012" i="1"/>
  <c r="J1208" i="1"/>
  <c r="L1208" i="1" s="1"/>
  <c r="J45" i="1"/>
  <c r="J16" i="1"/>
  <c r="L16" i="1" s="1"/>
  <c r="J1245" i="1"/>
  <c r="L1245" i="1" s="1"/>
  <c r="J899" i="1"/>
  <c r="L899" i="1" s="1"/>
  <c r="J57" i="1"/>
  <c r="L57" i="1" s="1"/>
  <c r="J508" i="1"/>
  <c r="J690" i="1"/>
  <c r="J591" i="1"/>
  <c r="L591" i="1" s="1"/>
  <c r="J338" i="1"/>
  <c r="J13" i="1"/>
  <c r="L13" i="1" s="1"/>
  <c r="J834" i="1"/>
  <c r="L834" i="1" s="1"/>
  <c r="J402" i="1"/>
  <c r="L402" i="1" s="1"/>
  <c r="J512" i="1"/>
  <c r="L512" i="1" s="1"/>
  <c r="J1292" i="1"/>
  <c r="J732" i="1"/>
  <c r="J743" i="1"/>
  <c r="J142" i="1"/>
  <c r="J1305" i="1"/>
  <c r="J644" i="1"/>
  <c r="J430" i="1"/>
  <c r="L430" i="1" s="1"/>
  <c r="J571" i="1"/>
  <c r="L571" i="1" s="1"/>
  <c r="J1174" i="1"/>
  <c r="J149" i="1"/>
  <c r="J487" i="1"/>
  <c r="J1204" i="1"/>
  <c r="J111" i="1"/>
  <c r="L111" i="1" s="1"/>
  <c r="J1317" i="1"/>
  <c r="L1317" i="1" s="1"/>
  <c r="J730" i="1"/>
  <c r="L730" i="1" s="1"/>
  <c r="J240" i="1"/>
  <c r="L240" i="1" s="1"/>
  <c r="J406" i="1"/>
  <c r="J1308" i="1"/>
  <c r="J1278" i="1"/>
  <c r="J304" i="1"/>
  <c r="J1096" i="1"/>
  <c r="L1096" i="1" s="1"/>
  <c r="J500" i="1"/>
  <c r="J54" i="1"/>
  <c r="L54" i="1" s="1"/>
  <c r="J598" i="1"/>
  <c r="L598" i="1" s="1"/>
  <c r="J982" i="1"/>
  <c r="L982" i="1" s="1"/>
  <c r="J681" i="1"/>
  <c r="J837" i="1"/>
  <c r="J949" i="1"/>
  <c r="J139" i="1"/>
  <c r="L139" i="1" s="1"/>
  <c r="J906" i="1"/>
  <c r="L906" i="1" s="1"/>
  <c r="J1024" i="1"/>
  <c r="L1024" i="1" s="1"/>
  <c r="J604" i="1"/>
  <c r="L604" i="1" s="1"/>
  <c r="J1210" i="1"/>
  <c r="L1210" i="1" s="1"/>
  <c r="J622" i="1"/>
  <c r="L622" i="1" s="1"/>
  <c r="J312" i="1"/>
  <c r="J657" i="1"/>
  <c r="J1505" i="1"/>
  <c r="L1505" i="1" s="1"/>
  <c r="J475" i="1"/>
  <c r="L475" i="1" s="1"/>
  <c r="J452" i="1"/>
  <c r="L452" i="1" s="1"/>
  <c r="J59" i="1"/>
  <c r="L59" i="1" s="1"/>
  <c r="J721" i="1"/>
  <c r="L721" i="1" s="1"/>
  <c r="J960" i="1"/>
  <c r="J1126" i="1"/>
  <c r="J1251" i="1"/>
  <c r="J605" i="1"/>
  <c r="L605" i="1" s="1"/>
  <c r="J211" i="1"/>
  <c r="L211" i="1" s="1"/>
  <c r="J1145" i="1"/>
  <c r="L1145" i="1" s="1"/>
  <c r="J783" i="1"/>
  <c r="L783" i="1" s="1"/>
  <c r="J1492" i="1"/>
  <c r="J1484" i="1"/>
  <c r="J579" i="1"/>
  <c r="L579" i="1" s="1"/>
  <c r="J9" i="1"/>
  <c r="J961" i="1"/>
  <c r="L961" i="1" s="1"/>
  <c r="J61" i="1"/>
  <c r="L61" i="1" s="1"/>
  <c r="J975" i="1"/>
  <c r="L975" i="1" s="1"/>
  <c r="J724" i="1"/>
  <c r="L724" i="1" s="1"/>
  <c r="J1435" i="1"/>
  <c r="J700" i="1"/>
  <c r="J262" i="1"/>
  <c r="L262" i="1" s="1"/>
  <c r="J1376" i="1"/>
  <c r="J1128" i="1"/>
  <c r="L1128" i="1" s="1"/>
  <c r="J1118" i="1"/>
  <c r="L1118" i="1" s="1"/>
  <c r="J1417" i="1"/>
  <c r="L1417" i="1" s="1"/>
  <c r="J702" i="1"/>
  <c r="L702" i="1" s="1"/>
  <c r="J1238" i="1"/>
  <c r="J1268" i="1"/>
  <c r="J1413" i="1"/>
  <c r="J101" i="1"/>
  <c r="J100" i="1"/>
  <c r="L100" i="1" s="1"/>
  <c r="J119" i="1"/>
  <c r="J285" i="1"/>
  <c r="L285" i="1" s="1"/>
  <c r="J505" i="1"/>
  <c r="L505" i="1" s="1"/>
  <c r="J1119" i="1"/>
  <c r="J851" i="1"/>
  <c r="J325" i="1"/>
  <c r="J1037" i="1"/>
  <c r="J1162" i="1"/>
  <c r="J586" i="1"/>
  <c r="L586" i="1" s="1"/>
  <c r="J439" i="1"/>
  <c r="L439" i="1" s="1"/>
  <c r="J440" i="1"/>
  <c r="L440" i="1" s="1"/>
  <c r="J934" i="1"/>
  <c r="J1152" i="1"/>
  <c r="J495" i="1"/>
  <c r="J141" i="1"/>
  <c r="J212" i="1"/>
  <c r="L212" i="1" s="1"/>
  <c r="J554" i="1"/>
  <c r="L554" i="1" s="1"/>
  <c r="J68" i="1"/>
  <c r="L68" i="1" s="1"/>
  <c r="J1271" i="1"/>
  <c r="L1271" i="1" s="1"/>
  <c r="J831" i="1"/>
  <c r="L831" i="1" s="1"/>
  <c r="J1074" i="1"/>
  <c r="J193" i="1"/>
  <c r="J1195" i="1"/>
  <c r="J447" i="1"/>
  <c r="L447" i="1" s="1"/>
  <c r="J647" i="1"/>
  <c r="L647" i="1" s="1"/>
  <c r="J979" i="1"/>
  <c r="L979" i="1" s="1"/>
  <c r="J99" i="1"/>
  <c r="L99" i="1" s="1"/>
  <c r="J658" i="1"/>
  <c r="L658" i="1" s="1"/>
  <c r="J1368" i="1"/>
  <c r="L1368" i="1" s="1"/>
  <c r="J47" i="1"/>
  <c r="J353" i="1"/>
  <c r="J467" i="1"/>
  <c r="L467" i="1" s="1"/>
  <c r="J225" i="1"/>
  <c r="L225" i="1" s="1"/>
  <c r="J889" i="1"/>
  <c r="L889" i="1" s="1"/>
  <c r="J602" i="1"/>
  <c r="L602" i="1" s="1"/>
  <c r="J909" i="1"/>
  <c r="L909" i="1" s="1"/>
  <c r="J478" i="1"/>
  <c r="J1133" i="1"/>
  <c r="J1205" i="1"/>
  <c r="J824" i="1"/>
  <c r="L824" i="1" s="1"/>
  <c r="J492" i="1"/>
  <c r="L492" i="1" s="1"/>
  <c r="J1130" i="1"/>
  <c r="L1130" i="1" s="1"/>
  <c r="J886" i="1"/>
  <c r="L886" i="1" s="1"/>
  <c r="J1265" i="1"/>
  <c r="J781" i="1"/>
  <c r="L781" i="1" s="1"/>
  <c r="J1487" i="1"/>
  <c r="L1487" i="1" s="1"/>
  <c r="J1476" i="1"/>
  <c r="J1248" i="1"/>
  <c r="L1248" i="1" s="1"/>
  <c r="J5" i="1"/>
  <c r="L5" i="1" s="1"/>
  <c r="J1396" i="1"/>
  <c r="L1396" i="1" s="1"/>
  <c r="J64" i="1"/>
  <c r="L64" i="1" s="1"/>
  <c r="J1327" i="1"/>
  <c r="J1046" i="1"/>
  <c r="J1457" i="1"/>
  <c r="L1457" i="1" s="1"/>
  <c r="J465" i="1"/>
  <c r="J1475" i="1"/>
  <c r="L1475" i="1" s="1"/>
  <c r="J499" i="1"/>
  <c r="L499" i="1" s="1"/>
  <c r="J1076" i="1"/>
  <c r="L1076" i="1" s="1"/>
  <c r="J1385" i="1"/>
  <c r="L1385" i="1" s="1"/>
  <c r="J33" i="1"/>
  <c r="J252" i="1"/>
  <c r="J1361" i="1"/>
  <c r="J383" i="1"/>
  <c r="J808" i="1"/>
  <c r="L808" i="1" s="1"/>
  <c r="J1309" i="1"/>
  <c r="L1309" i="1" s="1"/>
  <c r="J528" i="1"/>
  <c r="L528" i="1" s="1"/>
  <c r="J1230" i="1"/>
  <c r="L1230" i="1" s="1"/>
  <c r="J237" i="1"/>
  <c r="J1481" i="1"/>
  <c r="J394" i="1"/>
  <c r="J662" i="1"/>
  <c r="J147" i="1"/>
  <c r="J264" i="1"/>
  <c r="J660" i="1"/>
  <c r="L660" i="1" s="1"/>
  <c r="J838" i="1"/>
  <c r="L838" i="1" s="1"/>
  <c r="J83" i="1"/>
  <c r="J785" i="1"/>
  <c r="J664" i="1"/>
  <c r="J862" i="1"/>
  <c r="J335" i="1"/>
  <c r="L335" i="1" s="1"/>
  <c r="J1193" i="1"/>
  <c r="L1193" i="1" s="1"/>
  <c r="J370" i="1"/>
  <c r="L370" i="1" s="1"/>
  <c r="J978" i="1"/>
  <c r="L978" i="1" s="1"/>
  <c r="J964" i="1"/>
  <c r="L964" i="1" s="1"/>
  <c r="J129" i="1"/>
  <c r="J194" i="1"/>
  <c r="J91" i="1"/>
  <c r="J156" i="1"/>
  <c r="L156" i="1" s="1"/>
  <c r="J1284" i="1"/>
  <c r="J207" i="1"/>
  <c r="L207" i="1" s="1"/>
  <c r="J127" i="1"/>
  <c r="L127" i="1" s="1"/>
  <c r="J1306" i="1"/>
  <c r="L1306" i="1" s="1"/>
  <c r="J316" i="1"/>
  <c r="L316" i="1" s="1"/>
  <c r="J179" i="1"/>
  <c r="J1062" i="1"/>
  <c r="J15" i="1"/>
  <c r="L15" i="1" s="1"/>
  <c r="J775" i="1"/>
  <c r="L775" i="1" s="1"/>
  <c r="J1147" i="1"/>
  <c r="L1147" i="1" s="1"/>
  <c r="J506" i="1"/>
  <c r="L506" i="1" s="1"/>
  <c r="J678" i="1"/>
  <c r="L678" i="1" s="1"/>
  <c r="J722" i="1"/>
  <c r="L722" i="1" s="1"/>
  <c r="J87" i="1"/>
  <c r="L87" i="1" s="1"/>
  <c r="J727" i="1"/>
  <c r="J184" i="1"/>
  <c r="L184" i="1" s="1"/>
  <c r="J352" i="1"/>
  <c r="L352" i="1" s="1"/>
  <c r="J1132" i="1"/>
  <c r="L1132" i="1" s="1"/>
  <c r="J423" i="1"/>
  <c r="L423" i="1" s="1"/>
  <c r="J89" i="1"/>
  <c r="J788" i="1"/>
  <c r="L788" i="1" s="1"/>
  <c r="J1493" i="1"/>
  <c r="L1493" i="1" s="1"/>
  <c r="J463" i="1"/>
  <c r="J86" i="1"/>
  <c r="L86" i="1" s="1"/>
  <c r="J1406" i="1"/>
  <c r="L1406" i="1" s="1"/>
  <c r="J1159" i="1"/>
  <c r="L1159" i="1" s="1"/>
  <c r="J1087" i="1"/>
  <c r="L1087" i="1" s="1"/>
  <c r="J1488" i="1"/>
  <c r="J1212" i="1"/>
  <c r="J600" i="1"/>
  <c r="J593" i="1"/>
  <c r="J878" i="1"/>
  <c r="J1441" i="1"/>
  <c r="J1400" i="1"/>
  <c r="L1400" i="1" s="1"/>
  <c r="J670" i="1"/>
  <c r="L670" i="1" s="1"/>
  <c r="J485" i="1"/>
  <c r="J867" i="1"/>
  <c r="J629" i="1"/>
  <c r="J842" i="1"/>
  <c r="J1052" i="1"/>
  <c r="L1052" i="1" s="1"/>
  <c r="J208" i="1"/>
  <c r="L208" i="1" s="1"/>
  <c r="J968" i="1"/>
  <c r="L968" i="1" s="1"/>
  <c r="J976" i="1"/>
  <c r="L976" i="1" s="1"/>
  <c r="J932" i="1"/>
  <c r="J444" i="1"/>
  <c r="J85" i="1"/>
  <c r="J53" i="1"/>
  <c r="J288" i="1"/>
  <c r="L288" i="1" s="1"/>
  <c r="J1164" i="1"/>
  <c r="L1164" i="1" s="1"/>
  <c r="J1321" i="1"/>
  <c r="L1321" i="1" s="1"/>
  <c r="J1299" i="1"/>
  <c r="L1299" i="1" s="1"/>
  <c r="J999" i="1"/>
  <c r="J1412" i="1"/>
  <c r="J1035" i="1"/>
  <c r="J933" i="1"/>
  <c r="J315" i="1"/>
  <c r="J1369" i="1"/>
  <c r="L1369" i="1" s="1"/>
  <c r="J774" i="1"/>
  <c r="L774" i="1" s="1"/>
  <c r="J746" i="1"/>
  <c r="L746" i="1" s="1"/>
  <c r="J829" i="1"/>
  <c r="L829" i="1" s="1"/>
  <c r="J476" i="1"/>
  <c r="J1136" i="1"/>
  <c r="J1463" i="1"/>
  <c r="J1431" i="1"/>
  <c r="L1431" i="1" s="1"/>
  <c r="J41" i="1"/>
  <c r="L41" i="1" s="1"/>
  <c r="J372" i="1"/>
  <c r="L372" i="1" s="1"/>
  <c r="J1297" i="1"/>
  <c r="L1297" i="1" s="1"/>
  <c r="J955" i="1"/>
  <c r="L955" i="1" s="1"/>
  <c r="J912" i="1"/>
  <c r="L912" i="1" s="1"/>
  <c r="J613" i="1"/>
  <c r="J1228" i="1"/>
  <c r="J541" i="1"/>
  <c r="L541" i="1" s="1"/>
  <c r="J219" i="1"/>
  <c r="L219" i="1" s="1"/>
  <c r="J778" i="1"/>
  <c r="L778" i="1" s="1"/>
  <c r="J1397" i="1"/>
  <c r="L1397" i="1" s="1"/>
  <c r="J441" i="1"/>
  <c r="L441" i="1" s="1"/>
  <c r="J1027" i="1"/>
  <c r="L1027" i="1" s="1"/>
  <c r="J1311" i="1"/>
  <c r="L1311" i="1" s="1"/>
  <c r="J821" i="1"/>
  <c r="J332" i="1"/>
  <c r="L332" i="1" s="1"/>
  <c r="J126" i="1"/>
  <c r="L126" i="1" s="1"/>
  <c r="J639" i="1"/>
  <c r="L639" i="1" s="1"/>
  <c r="J373" i="1"/>
  <c r="L373" i="1" s="1"/>
  <c r="J300" i="1"/>
  <c r="J1378" i="1"/>
  <c r="L1378" i="1" s="1"/>
  <c r="J425" i="1"/>
  <c r="L425" i="1" s="1"/>
  <c r="J257" i="1"/>
  <c r="J773" i="1"/>
  <c r="L773" i="1" s="1"/>
  <c r="J382" i="1"/>
  <c r="L382" i="1" s="1"/>
  <c r="J349" i="1"/>
  <c r="L349" i="1" s="1"/>
  <c r="J573" i="1"/>
  <c r="L573" i="1" s="1"/>
  <c r="J132" i="1"/>
  <c r="J74" i="1"/>
  <c r="J374" i="1"/>
  <c r="L374" i="1" s="1"/>
  <c r="J1354" i="1"/>
  <c r="J299" i="1"/>
  <c r="L299" i="1" s="1"/>
  <c r="J140" i="1"/>
  <c r="J1112" i="1"/>
  <c r="L1112" i="1" s="1"/>
  <c r="J387" i="1"/>
  <c r="L387" i="1" s="1"/>
  <c r="J930" i="1"/>
  <c r="J1022" i="1"/>
  <c r="J903" i="1"/>
  <c r="J1390" i="1"/>
  <c r="J1398" i="1"/>
  <c r="J393" i="1"/>
  <c r="J527" i="1"/>
  <c r="L527" i="1" s="1"/>
  <c r="J1036" i="1"/>
  <c r="L1036" i="1" s="1"/>
  <c r="J161" i="1"/>
  <c r="J751" i="1"/>
  <c r="J427" i="1"/>
  <c r="J557" i="1"/>
  <c r="J1007" i="1"/>
  <c r="L1007" i="1" s="1"/>
  <c r="J1338" i="1"/>
  <c r="L1338" i="1" s="1"/>
  <c r="J1503" i="1"/>
  <c r="L1503" i="1" s="1"/>
  <c r="J1129" i="1"/>
  <c r="L1129" i="1" s="1"/>
  <c r="J1254" i="1"/>
  <c r="J997" i="1"/>
  <c r="J514" i="1"/>
  <c r="J1281" i="1"/>
  <c r="J1437" i="1"/>
  <c r="J735" i="1"/>
  <c r="J1055" i="1"/>
  <c r="L1055" i="1" s="1"/>
  <c r="J796" i="1"/>
  <c r="L796" i="1" s="1"/>
  <c r="J215" i="1"/>
  <c r="L215" i="1" s="1"/>
  <c r="J661" i="1"/>
  <c r="J1176" i="1"/>
  <c r="J1045" i="1"/>
  <c r="J653" i="1"/>
  <c r="L653" i="1" s="1"/>
  <c r="J958" i="1"/>
  <c r="L958" i="1" s="1"/>
  <c r="J859" i="1"/>
  <c r="L859" i="1" s="1"/>
  <c r="J1218" i="1"/>
  <c r="L1218" i="1" s="1"/>
  <c r="J458" i="1"/>
  <c r="L458" i="1" s="1"/>
  <c r="J1050" i="1"/>
  <c r="L1050" i="1" s="1"/>
  <c r="J714" i="1"/>
  <c r="J830" i="1"/>
  <c r="J820" i="1"/>
  <c r="L820" i="1" s="1"/>
  <c r="J625" i="1"/>
  <c r="L625" i="1" s="1"/>
  <c r="J331" i="1"/>
  <c r="L331" i="1" s="1"/>
  <c r="J765" i="1"/>
  <c r="L765" i="1" s="1"/>
  <c r="J1261" i="1"/>
  <c r="L1261" i="1" s="1"/>
  <c r="J223" i="1"/>
  <c r="J570" i="1"/>
  <c r="J419" i="1"/>
  <c r="J307" i="1"/>
  <c r="L307" i="1" s="1"/>
  <c r="J324" i="1"/>
  <c r="L324" i="1" s="1"/>
  <c r="J748" i="1"/>
  <c r="L748" i="1" s="1"/>
  <c r="J428" i="1"/>
  <c r="L428" i="1" s="1"/>
  <c r="J1031" i="1"/>
  <c r="J684" i="1"/>
  <c r="L684" i="1" s="1"/>
  <c r="J1082" i="1"/>
  <c r="L1082" i="1" s="1"/>
  <c r="J1372" i="1"/>
  <c r="J1209" i="1"/>
  <c r="L1209" i="1" s="1"/>
  <c r="J869" i="1"/>
  <c r="L869" i="1" s="1"/>
  <c r="J311" i="1"/>
  <c r="L311" i="1" s="1"/>
  <c r="J621" i="1"/>
  <c r="L621" i="1" s="1"/>
  <c r="J887" i="1"/>
  <c r="J436" i="1"/>
  <c r="J1079" i="1"/>
  <c r="L1079" i="1" s="1"/>
  <c r="J911" i="1"/>
  <c r="J241" i="1"/>
  <c r="L241" i="1" s="1"/>
  <c r="J810" i="1"/>
  <c r="L810" i="1" s="1"/>
  <c r="J713" i="1"/>
  <c r="L713" i="1" s="1"/>
  <c r="J792" i="1"/>
  <c r="L792" i="1" s="1"/>
  <c r="J6" i="1"/>
  <c r="J966" i="1"/>
  <c r="J624" i="1"/>
  <c r="J694" i="1"/>
  <c r="J1229" i="1"/>
  <c r="J738" i="1"/>
  <c r="J1459" i="1"/>
  <c r="L1459" i="1" s="1"/>
  <c r="J104" i="1"/>
  <c r="L104" i="1" s="1"/>
  <c r="J744" i="1"/>
  <c r="J81" i="1"/>
  <c r="J1439" i="1"/>
  <c r="J1424" i="1"/>
  <c r="J1134" i="1"/>
  <c r="L1134" i="1" s="1"/>
  <c r="J1358" i="1"/>
  <c r="L1358" i="1" s="1"/>
  <c r="J825" i="1"/>
  <c r="L825" i="1" s="1"/>
  <c r="J218" i="1"/>
  <c r="L218" i="1" s="1"/>
  <c r="J1196" i="1"/>
  <c r="J1020" i="1"/>
  <c r="J718" i="1"/>
  <c r="J701" i="1"/>
  <c r="J710" i="1"/>
  <c r="L710" i="1" s="1"/>
  <c r="J927" i="1"/>
  <c r="J62" i="1"/>
  <c r="L62" i="1" s="1"/>
  <c r="J597" i="1"/>
  <c r="L597" i="1" s="1"/>
  <c r="J1392" i="1"/>
  <c r="L1392" i="1" s="1"/>
  <c r="J1429" i="1"/>
  <c r="J381" i="1"/>
  <c r="J1030" i="1"/>
  <c r="J935" i="1"/>
  <c r="L935" i="1" s="1"/>
  <c r="J347" i="1"/>
  <c r="L347" i="1" s="1"/>
  <c r="J908" i="1"/>
  <c r="L908" i="1" s="1"/>
  <c r="J674" i="1"/>
  <c r="L674" i="1" s="1"/>
  <c r="J1295" i="1"/>
  <c r="L1295" i="1" s="1"/>
  <c r="J1170" i="1"/>
  <c r="J160" i="1"/>
  <c r="J39" i="1"/>
  <c r="J1185" i="1"/>
  <c r="L1185" i="1" s="1"/>
  <c r="J805" i="1"/>
  <c r="L805" i="1" s="1"/>
  <c r="J226" i="1"/>
  <c r="L226" i="1" s="1"/>
  <c r="J1002" i="1"/>
  <c r="L1002" i="1" s="1"/>
  <c r="J228" i="1"/>
  <c r="L228" i="1" s="1"/>
  <c r="J1023" i="1"/>
  <c r="J246" i="1"/>
  <c r="L246" i="1" s="1"/>
  <c r="J1158" i="1"/>
  <c r="J762" i="1"/>
  <c r="L762" i="1" s="1"/>
  <c r="J1328" i="1"/>
  <c r="L1328" i="1" s="1"/>
  <c r="J1371" i="1"/>
  <c r="L1371" i="1" s="1"/>
  <c r="J339" i="1"/>
  <c r="L339" i="1" s="1"/>
  <c r="J1360" i="1"/>
  <c r="J461" i="1"/>
  <c r="L461" i="1" s="1"/>
  <c r="J1477" i="1"/>
  <c r="L1477" i="1" s="1"/>
  <c r="J1404" i="1"/>
  <c r="J562" i="1"/>
  <c r="L562" i="1" s="1"/>
  <c r="J1264" i="1"/>
  <c r="L1264" i="1" s="1"/>
  <c r="J28" i="1"/>
  <c r="L28" i="1" s="1"/>
  <c r="J953" i="1"/>
  <c r="L953" i="1" s="1"/>
  <c r="J649" i="1"/>
  <c r="J1341" i="1"/>
  <c r="J1200" i="1"/>
  <c r="L1200" i="1" s="1"/>
  <c r="J971" i="1"/>
  <c r="J1065" i="1"/>
  <c r="L1065" i="1" s="1"/>
  <c r="J712" i="1"/>
  <c r="L712" i="1" s="1"/>
  <c r="J292" i="1"/>
  <c r="L292" i="1" s="1"/>
  <c r="J991" i="1"/>
  <c r="L991" i="1" s="1"/>
  <c r="J907" i="1"/>
  <c r="J866" i="1"/>
  <c r="J650" i="1"/>
  <c r="J336" i="1"/>
  <c r="J409" i="1"/>
  <c r="L409" i="1" s="1"/>
  <c r="J238" i="1"/>
  <c r="J416" i="1"/>
  <c r="L416" i="1" s="1"/>
  <c r="J782" i="1"/>
  <c r="L782" i="1" s="1"/>
  <c r="J7" i="1"/>
  <c r="J558" i="1"/>
  <c r="J1066" i="1"/>
  <c r="J25" i="1"/>
  <c r="J615" i="1"/>
  <c r="J789" i="1"/>
  <c r="L789" i="1" s="1"/>
  <c r="J275" i="1"/>
  <c r="L275" i="1" s="1"/>
  <c r="J1154" i="1"/>
  <c r="L1154" i="1" s="1"/>
  <c r="J1049" i="1"/>
  <c r="J1262" i="1"/>
  <c r="J1013" i="1"/>
  <c r="J60" i="1"/>
  <c r="J1420" i="1"/>
  <c r="L1420" i="1" s="1"/>
  <c r="J574" i="1"/>
  <c r="L574" i="1" s="1"/>
  <c r="J1259" i="1"/>
  <c r="L1259" i="1" s="1"/>
  <c r="J640" i="1"/>
  <c r="L640" i="1" s="1"/>
  <c r="J1250" i="1"/>
  <c r="L1250" i="1" s="1"/>
  <c r="J368" i="1"/>
  <c r="J115" i="1"/>
  <c r="J1266" i="1"/>
  <c r="J157" i="1"/>
  <c r="L157" i="1" s="1"/>
  <c r="J1423" i="1"/>
  <c r="J1032" i="1"/>
  <c r="L1032" i="1" s="1"/>
  <c r="J1058" i="1"/>
  <c r="L1058" i="1" s="1"/>
  <c r="J804" i="1"/>
  <c r="L804" i="1" s="1"/>
  <c r="J1072" i="1"/>
  <c r="L1072" i="1" s="1"/>
  <c r="J493" i="1"/>
  <c r="J1182" i="1"/>
  <c r="J952" i="1"/>
  <c r="L952" i="1" s="1"/>
  <c r="J201" i="1"/>
  <c r="L201" i="1" s="1"/>
  <c r="J143" i="1"/>
  <c r="L143" i="1" s="1"/>
  <c r="J253" i="1"/>
  <c r="L253" i="1" s="1"/>
  <c r="J795" i="1"/>
  <c r="L795" i="1" s="1"/>
  <c r="J342" i="1"/>
  <c r="L342" i="1" s="1"/>
  <c r="J1497" i="1"/>
  <c r="L1497" i="1" s="1"/>
  <c r="J623" i="1"/>
  <c r="J1156" i="1"/>
  <c r="L1156" i="1" s="1"/>
  <c r="J868" i="1"/>
  <c r="L868" i="1" s="1"/>
  <c r="J634" i="1"/>
  <c r="L634" i="1" s="1"/>
  <c r="J1449" i="1"/>
  <c r="L1449" i="1" s="1"/>
  <c r="J1456" i="1"/>
  <c r="J1365" i="1"/>
  <c r="L1365" i="1" s="1"/>
  <c r="J221" i="1"/>
  <c r="L221" i="1" s="1"/>
  <c r="J443" i="1"/>
  <c r="J793" i="1"/>
  <c r="J918" i="1"/>
  <c r="L918" i="1" s="1"/>
  <c r="J922" i="1"/>
  <c r="L922" i="1" s="1"/>
  <c r="J341" i="1"/>
  <c r="L341" i="1" s="1"/>
  <c r="J759" i="1"/>
  <c r="J97" i="1"/>
  <c r="J939" i="1"/>
  <c r="J448" i="1"/>
  <c r="J752" i="1"/>
  <c r="J1393" i="1"/>
  <c r="L1393" i="1" s="1"/>
  <c r="J1489" i="1"/>
  <c r="L1489" i="1" s="1"/>
  <c r="J1453" i="1"/>
  <c r="L1453" i="1" s="1"/>
  <c r="J1288" i="1"/>
  <c r="J753" i="1"/>
  <c r="J1315" i="1"/>
  <c r="J1123" i="1"/>
  <c r="J728" i="1"/>
  <c r="L728" i="1" s="1"/>
  <c r="J1445" i="1"/>
  <c r="L1445" i="1" s="1"/>
  <c r="J1318" i="1"/>
  <c r="L1318" i="1" s="1"/>
  <c r="J398" i="1"/>
  <c r="L398" i="1" s="1"/>
  <c r="J49" i="1"/>
  <c r="J1093" i="1"/>
  <c r="J391" i="1"/>
  <c r="J1255" i="1"/>
  <c r="J620" i="1"/>
  <c r="L620" i="1" s="1"/>
  <c r="J1428" i="1"/>
  <c r="J1312" i="1"/>
  <c r="L1312" i="1" s="1"/>
  <c r="J296" i="1"/>
  <c r="L296" i="1" s="1"/>
  <c r="J110" i="1"/>
  <c r="J116" i="1"/>
  <c r="J177" i="1"/>
  <c r="J924" i="1"/>
  <c r="J477" i="1"/>
  <c r="L477" i="1" s="1"/>
  <c r="J1099" i="1"/>
  <c r="L1099" i="1" s="1"/>
  <c r="J195" i="1"/>
  <c r="L195" i="1" s="1"/>
  <c r="J645" i="1"/>
  <c r="L645" i="1" s="1"/>
  <c r="J1343" i="1"/>
  <c r="L1343" i="1" s="1"/>
  <c r="J1172" i="1"/>
  <c r="J1138" i="1"/>
  <c r="J282" i="1"/>
  <c r="J120" i="1"/>
  <c r="L120" i="1" s="1"/>
  <c r="J258" i="1"/>
  <c r="J1447" i="1"/>
  <c r="L1447" i="1" s="1"/>
  <c r="J1303" i="1"/>
  <c r="L1303" i="1" s="1"/>
  <c r="J95" i="1"/>
  <c r="L95" i="1" s="1"/>
  <c r="J202" i="1"/>
  <c r="L202" i="1" s="1"/>
  <c r="J209" i="1"/>
  <c r="J692" i="1"/>
  <c r="J1324" i="1"/>
  <c r="L1324" i="1" s="1"/>
  <c r="J559" i="1"/>
  <c r="L559" i="1" s="1"/>
  <c r="J656" i="1"/>
  <c r="L656" i="1" s="1"/>
  <c r="J1450" i="1"/>
  <c r="L1450" i="1" s="1"/>
  <c r="J418" i="1"/>
  <c r="L418" i="1" s="1"/>
  <c r="J807" i="1"/>
  <c r="L807" i="1" s="1"/>
  <c r="J776" i="1"/>
  <c r="L776" i="1" s="1"/>
  <c r="J1498" i="1"/>
  <c r="J1272" i="1"/>
  <c r="L1272" i="1" s="1"/>
  <c r="J378" i="1"/>
  <c r="L378" i="1" s="1"/>
  <c r="J27" i="1"/>
  <c r="L27" i="1" s="1"/>
  <c r="J453" i="1"/>
  <c r="L453" i="1" s="1"/>
  <c r="J800" i="1"/>
  <c r="J599" i="1"/>
  <c r="L599" i="1" s="1"/>
  <c r="J843" i="1"/>
  <c r="L843" i="1" s="1"/>
  <c r="J865" i="1"/>
  <c r="J676" i="1"/>
  <c r="L676" i="1" s="1"/>
  <c r="J1088" i="1"/>
  <c r="L1088" i="1" s="1"/>
  <c r="J1194" i="1"/>
  <c r="L1194" i="1" s="1"/>
  <c r="J548" i="1"/>
  <c r="L548" i="1" s="1"/>
  <c r="J544" i="1"/>
  <c r="J1335" i="1"/>
  <c r="J438" i="1"/>
  <c r="L438" i="1" s="1"/>
  <c r="J761" i="1"/>
  <c r="J601" i="1"/>
  <c r="J1242" i="1"/>
  <c r="J297" i="1"/>
  <c r="L297" i="1" s="1"/>
  <c r="J413" i="1"/>
  <c r="L413" i="1" s="1"/>
  <c r="J550" i="1"/>
  <c r="J957" i="1"/>
  <c r="J243" i="1"/>
  <c r="J589" i="1"/>
  <c r="J151" i="1"/>
  <c r="J78" i="1"/>
  <c r="L78" i="1" s="1"/>
  <c r="J635" i="1"/>
  <c r="L635" i="1" s="1"/>
  <c r="J880" i="1"/>
  <c r="L880" i="1" s="1"/>
  <c r="J1350" i="1"/>
  <c r="J210" i="1"/>
  <c r="J607" i="1"/>
  <c r="J433" i="1"/>
  <c r="L433" i="1" s="1"/>
  <c r="J90" i="1"/>
  <c r="L90" i="1" s="1"/>
  <c r="J1323" i="1"/>
  <c r="L1323" i="1" s="1"/>
  <c r="J1206" i="1"/>
  <c r="L1206" i="1" s="1"/>
  <c r="J1286" i="1"/>
  <c r="L1286" i="1" s="1"/>
  <c r="J216" i="1"/>
  <c r="J1395" i="1"/>
  <c r="J502" i="1"/>
  <c r="J672" i="1"/>
  <c r="J351" i="1"/>
  <c r="J883" i="1"/>
  <c r="L883" i="1" s="1"/>
  <c r="J836" i="1"/>
  <c r="L836" i="1" s="1"/>
  <c r="J118" i="1"/>
  <c r="L118" i="1" s="1"/>
  <c r="J614" i="1"/>
  <c r="J148" i="1"/>
  <c r="J1267" i="1"/>
  <c r="J205" i="1"/>
  <c r="L205" i="1" s="1"/>
  <c r="J369" i="1"/>
  <c r="L369" i="1" s="1"/>
  <c r="J902" i="1"/>
  <c r="L902" i="1" s="1"/>
  <c r="J291" i="1"/>
  <c r="L291" i="1" s="1"/>
  <c r="J183" i="1"/>
  <c r="L183" i="1" s="1"/>
  <c r="J1175" i="1"/>
  <c r="J626" i="1"/>
  <c r="J220" i="1"/>
  <c r="J699" i="1"/>
  <c r="J921" i="1"/>
  <c r="J1269" i="1"/>
  <c r="L1269" i="1" s="1"/>
  <c r="J1019" i="1"/>
  <c r="L1019" i="1" s="1"/>
  <c r="J1388" i="1"/>
  <c r="L1388" i="1" s="1"/>
  <c r="J585" i="1"/>
  <c r="J884" i="1"/>
  <c r="J437" i="1"/>
  <c r="J4" i="1"/>
  <c r="L4" i="1" s="1"/>
  <c r="J454" i="1"/>
  <c r="L454" i="1" s="1"/>
  <c r="J797" i="1"/>
  <c r="L797" i="1" s="1"/>
  <c r="J1151" i="1"/>
  <c r="L1151" i="1" s="1"/>
  <c r="J491" i="1"/>
  <c r="L491" i="1" s="1"/>
  <c r="J747" i="1"/>
  <c r="J537" i="1"/>
  <c r="J833" i="1"/>
  <c r="J92" i="1"/>
  <c r="J248" i="1"/>
  <c r="J988" i="1"/>
  <c r="L988" i="1" s="1"/>
  <c r="J945" i="1"/>
  <c r="L945" i="1" s="1"/>
  <c r="J426" i="1"/>
  <c r="L426" i="1" s="1"/>
  <c r="J1340" i="1"/>
  <c r="J855" i="1"/>
  <c r="J496" i="1"/>
  <c r="J925" i="1"/>
  <c r="L925" i="1" s="1"/>
  <c r="J19" i="1"/>
  <c r="L19" i="1" s="1"/>
  <c r="J845" i="1"/>
  <c r="L845" i="1" s="1"/>
  <c r="J188" i="1"/>
  <c r="L188" i="1" s="1"/>
  <c r="J1366" i="1"/>
  <c r="L1366" i="1" s="1"/>
  <c r="J222" i="1"/>
  <c r="J32" i="1"/>
  <c r="J249" i="1"/>
  <c r="J680" i="1"/>
  <c r="J1114" i="1"/>
  <c r="J566" i="1"/>
  <c r="L566" i="1" s="1"/>
  <c r="J354" i="1"/>
  <c r="L354" i="1" s="1"/>
  <c r="J1041" i="1"/>
  <c r="L1041" i="1" s="1"/>
  <c r="J1015" i="1"/>
  <c r="J596" i="1"/>
  <c r="J1249" i="1"/>
  <c r="J929" i="1"/>
  <c r="L929" i="1" s="1"/>
  <c r="J1377" i="1"/>
  <c r="L1377" i="1" s="1"/>
  <c r="J1391" i="1"/>
  <c r="L1391" i="1" s="1"/>
  <c r="J255" i="1"/>
  <c r="L255" i="1" s="1"/>
  <c r="J1304" i="1"/>
  <c r="L1304" i="1" s="1"/>
  <c r="J827" i="1"/>
  <c r="J290" i="1"/>
  <c r="J390" i="1"/>
  <c r="J420" i="1"/>
  <c r="J763" i="1"/>
  <c r="J167" i="1"/>
  <c r="L167" i="1" s="1"/>
  <c r="J302" i="1"/>
  <c r="L302" i="1" s="1"/>
  <c r="J1089" i="1"/>
  <c r="L1089" i="1" s="1"/>
  <c r="J1203" i="1"/>
  <c r="J919" i="1"/>
  <c r="J987" i="1"/>
  <c r="J688" i="1"/>
  <c r="L688" i="1" s="1"/>
  <c r="J643" i="1"/>
  <c r="L643" i="1" s="1"/>
  <c r="J1047" i="1"/>
  <c r="L1047" i="1" s="1"/>
  <c r="J716" i="1"/>
  <c r="L716" i="1" s="1"/>
  <c r="J397" i="1"/>
  <c r="L397" i="1" s="1"/>
  <c r="J1116" i="1"/>
  <c r="J1381" i="1"/>
  <c r="J286" i="1"/>
  <c r="J182" i="1"/>
  <c r="J234" i="1"/>
  <c r="J828" i="1"/>
  <c r="L828" i="1" s="1"/>
  <c r="J334" i="1"/>
  <c r="L334" i="1" s="1"/>
  <c r="J1407" i="1"/>
  <c r="L1407" i="1" s="1"/>
  <c r="J263" i="1"/>
  <c r="J760" i="1"/>
  <c r="J1460" i="1"/>
  <c r="J1351" i="1"/>
  <c r="L1351" i="1" s="1"/>
  <c r="J1434" i="1"/>
  <c r="L1434" i="1" s="1"/>
  <c r="J1301" i="1"/>
  <c r="L1301" i="1" s="1"/>
  <c r="J1499" i="1"/>
  <c r="L1499" i="1" s="1"/>
  <c r="J65" i="1"/>
  <c r="L65" i="1" s="1"/>
  <c r="J539" i="1"/>
  <c r="J227" i="1"/>
  <c r="J998" i="1"/>
  <c r="J853" i="1"/>
  <c r="J71" i="1"/>
  <c r="J298" i="1"/>
  <c r="L298" i="1" s="1"/>
  <c r="J547" i="1"/>
  <c r="L547" i="1" s="1"/>
  <c r="J470" i="1"/>
  <c r="L470" i="1" s="1"/>
  <c r="J1053" i="1"/>
  <c r="J503" i="1"/>
  <c r="J122" i="1"/>
  <c r="J954" i="1"/>
  <c r="L954" i="1" s="1"/>
  <c r="J848" i="1"/>
  <c r="L848" i="1" s="1"/>
  <c r="J1440" i="1"/>
  <c r="L1440" i="1" s="1"/>
  <c r="J488" i="1"/>
  <c r="L488" i="1" s="1"/>
  <c r="J812" i="1"/>
  <c r="L812" i="1" s="1"/>
  <c r="J145" i="1"/>
  <c r="J992" i="1"/>
  <c r="J1198" i="1"/>
  <c r="J1223" i="1"/>
  <c r="J34" i="1"/>
  <c r="J280" i="1"/>
  <c r="L280" i="1" s="1"/>
  <c r="J1485" i="1"/>
  <c r="L1485" i="1" s="1"/>
  <c r="J798" i="1"/>
  <c r="L798" i="1" s="1"/>
  <c r="J40" i="1"/>
  <c r="J1356" i="1"/>
  <c r="J1336" i="1"/>
  <c r="J245" i="1"/>
  <c r="L245" i="1" s="1"/>
  <c r="J1342" i="1"/>
  <c r="L1342" i="1" s="1"/>
  <c r="J1344" i="1"/>
  <c r="L1344" i="1" s="1"/>
  <c r="J740" i="1"/>
  <c r="L740" i="1" s="1"/>
  <c r="J1054" i="1"/>
  <c r="L1054" i="1" s="1"/>
  <c r="J1078" i="1"/>
  <c r="J1410" i="1"/>
  <c r="J1473" i="1"/>
  <c r="J519" i="1"/>
  <c r="J1257" i="1"/>
  <c r="J1294" i="1"/>
  <c r="L1294" i="1" s="1"/>
  <c r="J839" i="1"/>
  <c r="L839" i="1" s="1"/>
  <c r="F77" i="1" a="1"/>
  <c r="F77" i="1" s="1"/>
  <c r="F609" i="1" a="1"/>
  <c r="F609" i="1"/>
  <c r="F26" i="1" a="1"/>
  <c r="F26" i="1" s="1"/>
  <c r="F310" i="1" a="1"/>
  <c r="F310" i="1" s="1"/>
  <c r="F1137" i="1" a="1"/>
  <c r="F1137" i="1" s="1"/>
  <c r="F236" i="1" a="1"/>
  <c r="F236" i="1" s="1"/>
  <c r="F1018" i="1" a="1"/>
  <c r="F1018" i="1"/>
  <c r="F1231" i="1" a="1"/>
  <c r="F1231" i="1"/>
  <c r="F330" i="1" a="1"/>
  <c r="F330" i="1" s="1"/>
  <c r="F631" i="1" a="1"/>
  <c r="F631" i="1" s="1"/>
  <c r="F501" i="1" a="1"/>
  <c r="F501" i="1" s="1"/>
  <c r="F973" i="1" a="1"/>
  <c r="F973" i="1" s="1"/>
  <c r="F871" i="1" a="1"/>
  <c r="F871" i="1" s="1"/>
  <c r="F272" i="1" a="1"/>
  <c r="F272" i="1"/>
  <c r="F535" i="1" a="1"/>
  <c r="F535" i="1" s="1"/>
  <c r="F767" i="1" a="1"/>
  <c r="F767" i="1" s="1"/>
  <c r="F1098" i="1" a="1"/>
  <c r="F1098" i="1" s="1"/>
  <c r="F1399" i="1" a="1"/>
  <c r="F1399" i="1" s="1"/>
  <c r="F687" i="1" a="1"/>
  <c r="F687" i="1" s="1"/>
  <c r="F913" i="1" a="1"/>
  <c r="F913" i="1" s="1"/>
  <c r="F204" i="1" a="1"/>
  <c r="F204" i="1" s="1"/>
  <c r="F689" i="1" a="1"/>
  <c r="F689" i="1" s="1"/>
  <c r="F1011" i="1" a="1"/>
  <c r="F1011" i="1" s="1"/>
  <c r="F1171" i="1" a="1"/>
  <c r="F1171" i="1" s="1"/>
  <c r="F917" i="1" a="1"/>
  <c r="F917" i="1" s="1"/>
  <c r="F451" i="1" a="1"/>
  <c r="F451" i="1" s="1"/>
  <c r="F154" i="1" a="1"/>
  <c r="F154" i="1" s="1"/>
  <c r="F1211" i="1" a="1"/>
  <c r="F1211" i="1" s="1"/>
  <c r="F779" i="1" a="1"/>
  <c r="F779" i="1" s="1"/>
  <c r="F281" i="1" a="1"/>
  <c r="F281" i="1" s="1"/>
  <c r="F1220" i="1" a="1"/>
  <c r="F1220" i="1" s="1"/>
  <c r="F1057" i="1" a="1"/>
  <c r="F1057" i="1" s="1"/>
  <c r="F708" i="1" a="1"/>
  <c r="F708" i="1" s="1"/>
  <c r="F1043" i="1" a="1"/>
  <c r="F1043" i="1" s="1"/>
  <c r="F474" i="1" a="1"/>
  <c r="F474" i="1" s="1"/>
  <c r="F1422" i="1" a="1"/>
  <c r="F1422" i="1" s="1"/>
  <c r="F551" i="1" a="1"/>
  <c r="F551" i="1" s="1"/>
  <c r="F969" i="1" a="1"/>
  <c r="F969" i="1" s="1"/>
  <c r="F206" i="1" a="1"/>
  <c r="F206" i="1" s="1"/>
  <c r="F199" i="1" a="1"/>
  <c r="F199" i="1" s="1"/>
  <c r="F242" i="1" a="1"/>
  <c r="F242" i="1" s="1"/>
  <c r="C10" i="5" s="1"/>
  <c r="F1106" i="1" a="1"/>
  <c r="F1106" i="1" s="1"/>
  <c r="F941" i="1" a="1"/>
  <c r="F941" i="1"/>
  <c r="F696" i="1" a="1"/>
  <c r="F696" i="1" s="1"/>
  <c r="F1186" i="1" a="1"/>
  <c r="F1186" i="1" s="1"/>
  <c r="F251" i="1" a="1"/>
  <c r="F251" i="1" s="1"/>
  <c r="F786" i="1" a="1"/>
  <c r="F786" i="1" s="1"/>
  <c r="F1115" i="1" a="1"/>
  <c r="F1115" i="1" s="1"/>
  <c r="F1426" i="1" a="1"/>
  <c r="F1426" i="1" s="1"/>
  <c r="F22" i="1" a="1"/>
  <c r="F22" i="1" s="1"/>
  <c r="F1246" i="1" a="1"/>
  <c r="F1246" i="1" s="1"/>
  <c r="F1109" i="1" a="1"/>
  <c r="F1109" i="1" s="1"/>
  <c r="F135" i="1" a="1"/>
  <c r="F135" i="1" s="1"/>
  <c r="F1380" i="1" a="1"/>
  <c r="F1380" i="1" s="1"/>
  <c r="F158" i="1" a="1"/>
  <c r="F158" i="1" s="1"/>
  <c r="F1375" i="1" a="1"/>
  <c r="F1375" i="1"/>
  <c r="F764" i="1" a="1"/>
  <c r="F764" i="1" s="1"/>
  <c r="F24" i="1" a="1"/>
  <c r="F24" i="1" s="1"/>
  <c r="F180" i="1" a="1"/>
  <c r="F180" i="1" s="1"/>
  <c r="F261" i="1" a="1"/>
  <c r="F261" i="1" s="1"/>
  <c r="F1329" i="1" a="1"/>
  <c r="F1329" i="1" s="1"/>
  <c r="F213" i="1" a="1"/>
  <c r="F213" i="1" s="1"/>
  <c r="F344" i="1" a="1"/>
  <c r="F344" i="1" s="1"/>
  <c r="F890" i="1" a="1"/>
  <c r="F890" i="1" s="1"/>
  <c r="F581" i="1" a="1"/>
  <c r="F581" i="1" s="1"/>
  <c r="F117" i="1" a="1"/>
  <c r="F117" i="1" s="1"/>
  <c r="F1071" i="1" a="1"/>
  <c r="F1071" i="1"/>
  <c r="F1064" i="1" a="1"/>
  <c r="F1064" i="1" s="1"/>
  <c r="F1232" i="1" a="1"/>
  <c r="F1232" i="1" s="1"/>
  <c r="F1504" i="1" a="1"/>
  <c r="F1504" i="1" s="1"/>
  <c r="F1153" i="1" a="1"/>
  <c r="F1153" i="1" s="1"/>
  <c r="F1127" i="1" a="1"/>
  <c r="F1127" i="1" s="1"/>
  <c r="F538" i="1" a="1"/>
  <c r="F538" i="1" s="1"/>
  <c r="F1026" i="1" a="1"/>
  <c r="F1026" i="1" s="1"/>
  <c r="F1405" i="1" a="1"/>
  <c r="F1405" i="1" s="1"/>
  <c r="F951" i="1" a="1"/>
  <c r="F951" i="1" s="1"/>
  <c r="F94" i="1" a="1"/>
  <c r="F94" i="1" s="1"/>
  <c r="F306" i="1" a="1"/>
  <c r="F306" i="1" s="1"/>
  <c r="F1319" i="1" a="1"/>
  <c r="F1319" i="1" s="1"/>
  <c r="F1101" i="1" a="1"/>
  <c r="F1101" i="1" s="1"/>
  <c r="F1313" i="1" a="1"/>
  <c r="F1313" i="1" s="1"/>
  <c r="F1322" i="1" a="1"/>
  <c r="F1322" i="1" s="1"/>
  <c r="F989" i="1" a="1"/>
  <c r="F989" i="1" s="1"/>
  <c r="F1122" i="1" a="1"/>
  <c r="F1122" i="1" s="1"/>
  <c r="F1352" i="1" a="1"/>
  <c r="F1352" i="1" s="1"/>
  <c r="F1056" i="1" a="1"/>
  <c r="F1056" i="1" s="1"/>
  <c r="F1008" i="1" a="1"/>
  <c r="F1008" i="1" s="1"/>
  <c r="F284" i="1" a="1"/>
  <c r="F284" i="1"/>
  <c r="F466" i="1" a="1"/>
  <c r="F466" i="1" s="1"/>
  <c r="F1017" i="1" a="1"/>
  <c r="F1017" i="1" s="1"/>
  <c r="F1326" i="1" a="1"/>
  <c r="F1326" i="1" s="1"/>
  <c r="F618" i="1" a="1"/>
  <c r="F618" i="1" s="1"/>
  <c r="F138" i="1" a="1"/>
  <c r="F138" i="1" s="1"/>
  <c r="F268" i="1" a="1"/>
  <c r="F268" i="1"/>
  <c r="F611" i="1" a="1"/>
  <c r="F611" i="1" s="1"/>
  <c r="F2" i="1" a="1"/>
  <c r="F2" i="1" s="1"/>
  <c r="F1006" i="1" a="1"/>
  <c r="F1006" i="1" s="1"/>
  <c r="F894" i="1" a="1"/>
  <c r="F894" i="1" s="1"/>
  <c r="F377" i="1" a="1"/>
  <c r="F377" i="1" s="1"/>
  <c r="F14" i="1" a="1"/>
  <c r="F14" i="1" s="1"/>
  <c r="F1081" i="1" a="1"/>
  <c r="F1081" i="1" s="1"/>
  <c r="F460" i="1" a="1"/>
  <c r="F460" i="1" s="1"/>
  <c r="F106" i="1" a="1"/>
  <c r="F106" i="1" s="1"/>
  <c r="F23" i="1" a="1"/>
  <c r="F23" i="1" s="1"/>
  <c r="F1073" i="1" a="1"/>
  <c r="F1073" i="1" s="1"/>
  <c r="F545" i="1" a="1"/>
  <c r="F545" i="1" s="1"/>
  <c r="F531" i="1" a="1"/>
  <c r="F531" i="1" s="1"/>
  <c r="F346" i="1" a="1"/>
  <c r="F346" i="1" s="1"/>
  <c r="F1290" i="1" a="1"/>
  <c r="F1290" i="1" s="1"/>
  <c r="F856" i="1" a="1"/>
  <c r="F856" i="1" s="1"/>
  <c r="F584" i="1" a="1"/>
  <c r="F584" i="1" s="1"/>
  <c r="F20" i="1" a="1"/>
  <c r="F20" i="1" s="1"/>
  <c r="F329" i="1" a="1"/>
  <c r="F329" i="1" s="1"/>
  <c r="F76" i="1" a="1"/>
  <c r="F76" i="1" s="1"/>
  <c r="F525" i="1" a="1"/>
  <c r="F525" i="1" s="1"/>
  <c r="F396" i="1" a="1"/>
  <c r="F396" i="1" s="1"/>
  <c r="F1279" i="1" a="1"/>
  <c r="F1279" i="1" s="1"/>
  <c r="F400" i="1" a="1"/>
  <c r="F400" i="1" s="1"/>
  <c r="F697" i="1" a="1"/>
  <c r="F697" i="1" s="1"/>
  <c r="F655" i="1" a="1"/>
  <c r="F655" i="1" s="1"/>
  <c r="F861" i="1" a="1"/>
  <c r="F861" i="1" s="1"/>
  <c r="F343" i="1" a="1"/>
  <c r="F343" i="1" s="1"/>
  <c r="F705" i="1" a="1"/>
  <c r="F705" i="1"/>
  <c r="F1177" i="1" a="1"/>
  <c r="F1177" i="1" s="1"/>
  <c r="F1451" i="1" a="1"/>
  <c r="F1451" i="1" s="1"/>
  <c r="F852" i="1" a="1"/>
  <c r="F852" i="1" s="1"/>
  <c r="F404" i="1" a="1"/>
  <c r="F404" i="1" s="1"/>
  <c r="F870" i="1" a="1"/>
  <c r="F870" i="1" s="1"/>
  <c r="F176" i="1" a="1"/>
  <c r="F176" i="1" s="1"/>
  <c r="F526" i="1" a="1"/>
  <c r="F526" i="1" s="1"/>
  <c r="F35" i="1" a="1"/>
  <c r="F35" i="1" s="1"/>
  <c r="F928" i="1" a="1"/>
  <c r="F928" i="1" s="1"/>
  <c r="F1273" i="1" a="1"/>
  <c r="F1273" i="1" s="1"/>
  <c r="F1149" i="1" a="1"/>
  <c r="F1149" i="1" s="1"/>
  <c r="F1240" i="1" a="1"/>
  <c r="F1240" i="1"/>
  <c r="F1409" i="1" a="1"/>
  <c r="F1409" i="1" s="1"/>
  <c r="F794" i="1" a="1"/>
  <c r="F794" i="1" s="1"/>
  <c r="F533" i="1" a="1"/>
  <c r="F533" i="1" s="1"/>
  <c r="F1280" i="1" a="1"/>
  <c r="F1280" i="1" s="1"/>
  <c r="F1239" i="1" a="1"/>
  <c r="F1239" i="1" s="1"/>
  <c r="F1468" i="1" a="1"/>
  <c r="F1468" i="1" s="1"/>
  <c r="F301" i="1" a="1"/>
  <c r="F301" i="1" s="1"/>
  <c r="F314" i="1" a="1"/>
  <c r="F314" i="1" s="1"/>
  <c r="F498" i="1" a="1"/>
  <c r="F498" i="1" s="1"/>
  <c r="F1234" i="1" a="1"/>
  <c r="F1234" i="1" s="1"/>
  <c r="F73" i="1" a="1"/>
  <c r="F73" i="1" s="1"/>
  <c r="F817" i="1" a="1"/>
  <c r="F817" i="1" s="1"/>
  <c r="F366" i="1" a="1"/>
  <c r="F366" i="1" s="1"/>
  <c r="F1107" i="1" a="1"/>
  <c r="F1107" i="1" s="1"/>
  <c r="F1389" i="1" a="1"/>
  <c r="F1389" i="1" s="1"/>
  <c r="F754" i="1" a="1"/>
  <c r="F754" i="1" s="1"/>
  <c r="F121" i="1" a="1"/>
  <c r="F121" i="1"/>
  <c r="F844" i="1" a="1"/>
  <c r="F844" i="1" s="1"/>
  <c r="F892" i="1" a="1"/>
  <c r="F892" i="1" s="1"/>
  <c r="F1060" i="1" a="1"/>
  <c r="F1060" i="1"/>
  <c r="F318" i="1" a="1"/>
  <c r="F318" i="1" s="1"/>
  <c r="F985" i="1" a="1"/>
  <c r="F985" i="1" s="1"/>
  <c r="F1367" i="1" a="1"/>
  <c r="F1367" i="1"/>
  <c r="F66" i="1" a="1"/>
  <c r="F66" i="1" s="1"/>
  <c r="F1411" i="1" a="1"/>
  <c r="F1411" i="1" s="1"/>
  <c r="F326" i="1" a="1"/>
  <c r="F326" i="1" s="1"/>
  <c r="F595" i="1" a="1"/>
  <c r="F595" i="1" s="1"/>
  <c r="F1113" i="1" a="1"/>
  <c r="F1113" i="1" s="1"/>
  <c r="F403" i="1" a="1"/>
  <c r="F403" i="1" s="1"/>
  <c r="F610" i="1" a="1"/>
  <c r="F610" i="1" s="1"/>
  <c r="F364" i="1" a="1"/>
  <c r="F364" i="1" s="1"/>
  <c r="F395" i="1" a="1"/>
  <c r="F395" i="1" s="1"/>
  <c r="F473" i="1" a="1"/>
  <c r="F473" i="1" s="1"/>
  <c r="F1289" i="1" a="1"/>
  <c r="F1289" i="1" s="1"/>
  <c r="F46" i="1" a="1"/>
  <c r="F46" i="1" s="1"/>
  <c r="F642" i="1" a="1"/>
  <c r="F642" i="1" s="1"/>
  <c r="F543" i="1" a="1"/>
  <c r="F543" i="1"/>
  <c r="F317" i="1" a="1"/>
  <c r="F317" i="1" s="1"/>
  <c r="F667" i="1" a="1"/>
  <c r="F667" i="1" s="1"/>
  <c r="F166" i="1" a="1"/>
  <c r="F166" i="1" s="1"/>
  <c r="F200" i="1" a="1"/>
  <c r="F200" i="1"/>
  <c r="F429" i="1" a="1"/>
  <c r="F429" i="1" s="1"/>
  <c r="F652" i="1" a="1"/>
  <c r="F652" i="1" s="1"/>
  <c r="F963" i="1" a="1"/>
  <c r="F963" i="1" s="1"/>
  <c r="F679" i="1" a="1"/>
  <c r="F679" i="1" s="1"/>
  <c r="F484" i="1" a="1"/>
  <c r="F484" i="1" s="1"/>
  <c r="F1213" i="1" a="1"/>
  <c r="F1213" i="1" s="1"/>
  <c r="F766" i="1" a="1"/>
  <c r="F766" i="1"/>
  <c r="F1418" i="1" a="1"/>
  <c r="F1418" i="1" s="1"/>
  <c r="F1188" i="1" a="1"/>
  <c r="F1188" i="1" s="1"/>
  <c r="F1373" i="1" a="1"/>
  <c r="F1373" i="1" s="1"/>
  <c r="F1446" i="1" a="1"/>
  <c r="F1446" i="1" s="1"/>
  <c r="F363" i="1" a="1"/>
  <c r="F363" i="1" s="1"/>
  <c r="F446" i="1" a="1"/>
  <c r="F446" i="1" s="1"/>
  <c r="F1470" i="1" a="1"/>
  <c r="F1470" i="1"/>
  <c r="F421" i="1" a="1"/>
  <c r="F421" i="1" s="1"/>
  <c r="F983" i="1" a="1"/>
  <c r="F983" i="1" s="1"/>
  <c r="F1009" i="1" a="1"/>
  <c r="F1009" i="1" s="1"/>
  <c r="F1302" i="1" a="1"/>
  <c r="F1302" i="1" s="1"/>
  <c r="F896" i="1" a="1"/>
  <c r="F896" i="1" s="1"/>
  <c r="F164" i="1" a="1"/>
  <c r="F164" i="1" s="1"/>
  <c r="F1443" i="1" a="1"/>
  <c r="F1443" i="1" s="1"/>
  <c r="F1353" i="1" a="1"/>
  <c r="F1353" i="1" s="1"/>
  <c r="F1276" i="1" a="1"/>
  <c r="F1276" i="1"/>
  <c r="F1421" i="1" a="1"/>
  <c r="F1421" i="1" s="1"/>
  <c r="F1462" i="1" a="1"/>
  <c r="F1462" i="1" s="1"/>
  <c r="F641" i="1" a="1"/>
  <c r="F641" i="1" s="1"/>
  <c r="F1427" i="1" a="1"/>
  <c r="F1427" i="1" s="1"/>
  <c r="F1471" i="1" a="1"/>
  <c r="F1471" i="1"/>
  <c r="F1092" i="1" a="1"/>
  <c r="F1092" i="1" s="1"/>
  <c r="F1189" i="1" a="1"/>
  <c r="F1189" i="1" s="1"/>
  <c r="F196" i="1" a="1"/>
  <c r="F196" i="1" s="1"/>
  <c r="F103" i="1" a="1"/>
  <c r="F103" i="1" s="1"/>
  <c r="F411" i="1" a="1"/>
  <c r="F411" i="1" s="1"/>
  <c r="F289" i="1" a="1"/>
  <c r="F289" i="1"/>
  <c r="F1348" i="1" a="1"/>
  <c r="F1348" i="1" s="1"/>
  <c r="F52" i="1" a="1"/>
  <c r="F52" i="1" s="1"/>
  <c r="F980" i="1" a="1"/>
  <c r="F980" i="1" s="1"/>
  <c r="F165" i="1" a="1"/>
  <c r="F165" i="1" s="1"/>
  <c r="F511" i="1" a="1"/>
  <c r="F511" i="1" s="1"/>
  <c r="F1121" i="1" a="1"/>
  <c r="F1121" i="1" s="1"/>
  <c r="F770" i="1" a="1"/>
  <c r="F770" i="1" s="1"/>
  <c r="F967" i="1" a="1"/>
  <c r="F967" i="1" s="1"/>
  <c r="F321" i="1" a="1"/>
  <c r="F321" i="1" s="1"/>
  <c r="F553" i="1" a="1"/>
  <c r="F553" i="1" s="1"/>
  <c r="F556" i="1" a="1"/>
  <c r="F556" i="1" s="1"/>
  <c r="F191" i="1" a="1"/>
  <c r="F191" i="1" s="1"/>
  <c r="F30" i="1" a="1"/>
  <c r="F30" i="1"/>
  <c r="F379" i="1" a="1"/>
  <c r="F379" i="1" s="1"/>
  <c r="F946" i="1" a="1"/>
  <c r="F946" i="1" s="1"/>
  <c r="F1425" i="1" a="1"/>
  <c r="F1425" i="1" s="1"/>
  <c r="F1097" i="1" a="1"/>
  <c r="F1097" i="1" s="1"/>
  <c r="F532" i="1" a="1"/>
  <c r="F532" i="1" s="1"/>
  <c r="F885" i="1" a="1"/>
  <c r="F885" i="1" s="1"/>
  <c r="F860" i="1" a="1"/>
  <c r="F860" i="1" s="1"/>
  <c r="F273" i="1" a="1"/>
  <c r="F273" i="1"/>
  <c r="F920" i="1" a="1"/>
  <c r="F920" i="1" s="1"/>
  <c r="F905" i="1" a="1"/>
  <c r="F905" i="1" s="1"/>
  <c r="F904" i="1" a="1"/>
  <c r="F904" i="1" s="1"/>
  <c r="F11" i="1" a="1"/>
  <c r="F11" i="1" s="1"/>
  <c r="F1068" i="1" a="1"/>
  <c r="F1068" i="1" s="1"/>
  <c r="F256" i="1" a="1"/>
  <c r="F256" i="1" s="1"/>
  <c r="F10" i="1" a="1"/>
  <c r="F10" i="1" s="1"/>
  <c r="F733" i="1" a="1"/>
  <c r="F733" i="1" s="1"/>
  <c r="F1141" i="1" a="1"/>
  <c r="F1141" i="1" s="1"/>
  <c r="F970" i="1" a="1"/>
  <c r="F970" i="1" s="1"/>
  <c r="F715" i="1" a="1"/>
  <c r="F715" i="1" s="1"/>
  <c r="F806" i="1" a="1"/>
  <c r="F806" i="1" s="1"/>
  <c r="F82" i="1" a="1"/>
  <c r="F82" i="1" s="1"/>
  <c r="F84" i="1" a="1"/>
  <c r="F84" i="1" s="1"/>
  <c r="F685" i="1" a="1"/>
  <c r="F685" i="1" s="1"/>
  <c r="F277" i="1" a="1"/>
  <c r="F277" i="1" s="1"/>
  <c r="F668" i="1" a="1"/>
  <c r="F668" i="1" s="1"/>
  <c r="F993" i="1" a="1"/>
  <c r="F993" i="1" s="1"/>
  <c r="F962" i="1" a="1"/>
  <c r="F962" i="1" s="1"/>
  <c r="F942" i="1" a="1"/>
  <c r="F942" i="1" s="1"/>
  <c r="F1416" i="1" a="1"/>
  <c r="F1416" i="1" s="1"/>
  <c r="F235" i="1" a="1"/>
  <c r="F235" i="1" s="1"/>
  <c r="F269" i="1" a="1"/>
  <c r="F269" i="1" s="1"/>
  <c r="F1157" i="1" a="1"/>
  <c r="F1157" i="1" s="1"/>
  <c r="F233" i="1" a="1"/>
  <c r="F233" i="1" s="1"/>
  <c r="F355" i="1" a="1"/>
  <c r="F355" i="1" s="1"/>
  <c r="F872" i="1" a="1"/>
  <c r="F872" i="1" s="1"/>
  <c r="F633" i="1" a="1"/>
  <c r="F633" i="1" s="1"/>
  <c r="F1102" i="1" a="1"/>
  <c r="F1102" i="1"/>
  <c r="F675" i="1" a="1"/>
  <c r="F675" i="1" s="1"/>
  <c r="F1100" i="1" a="1"/>
  <c r="F1100" i="1" s="1"/>
  <c r="F1495" i="1" a="1"/>
  <c r="F1495" i="1"/>
  <c r="F720" i="1" a="1"/>
  <c r="F720" i="1" s="1"/>
  <c r="F811" i="1" a="1"/>
  <c r="F811" i="1" s="1"/>
  <c r="F1501" i="1" a="1"/>
  <c r="F1501" i="1" s="1"/>
  <c r="F717" i="1" a="1"/>
  <c r="F717" i="1" s="1"/>
  <c r="F564" i="1" a="1"/>
  <c r="F564" i="1" s="1"/>
  <c r="F742" i="1" a="1"/>
  <c r="F742" i="1" s="1"/>
  <c r="F1033" i="1" a="1"/>
  <c r="F1033" i="1"/>
  <c r="F555" i="1" a="1"/>
  <c r="F555" i="1" s="1"/>
  <c r="F1508" i="1" a="1"/>
  <c r="F1508" i="1"/>
  <c r="F858" i="1" a="1"/>
  <c r="F858" i="1" s="1"/>
  <c r="F1244" i="1" a="1"/>
  <c r="F1244" i="1" s="1"/>
  <c r="F442" i="1" a="1"/>
  <c r="F442" i="1" s="1"/>
  <c r="F682" i="1" a="1"/>
  <c r="F682" i="1" s="1"/>
  <c r="F18" i="1" a="1"/>
  <c r="F18" i="1" s="1"/>
  <c r="F37" i="1" a="1"/>
  <c r="F37" i="1" s="1"/>
  <c r="F563" i="1" a="1"/>
  <c r="F563" i="1" s="1"/>
  <c r="F44" i="1" a="1"/>
  <c r="F44" i="1" s="1"/>
  <c r="F392" i="1" a="1"/>
  <c r="F392" i="1" s="1"/>
  <c r="F549" i="1" a="1"/>
  <c r="F549" i="1" s="1"/>
  <c r="F112" i="1" a="1"/>
  <c r="F112" i="1"/>
  <c r="F580" i="1" a="1"/>
  <c r="F580" i="1" s="1"/>
  <c r="F864" i="1" a="1"/>
  <c r="F864" i="1" s="1"/>
  <c r="F1091" i="1" a="1"/>
  <c r="F1091" i="1"/>
  <c r="F875" i="1" a="1"/>
  <c r="F875" i="1" s="1"/>
  <c r="F254" i="1" a="1"/>
  <c r="F254" i="1" s="1"/>
  <c r="F1363" i="1" a="1"/>
  <c r="F1363" i="1" s="1"/>
  <c r="F422" i="1" a="1"/>
  <c r="F422" i="1" s="1"/>
  <c r="F893" i="1" a="1"/>
  <c r="F893" i="1" s="1"/>
  <c r="F1146" i="1" a="1"/>
  <c r="F1146" i="1" s="1"/>
  <c r="F459" i="1" a="1"/>
  <c r="F459" i="1" s="1"/>
  <c r="F320" i="1" a="1"/>
  <c r="F320" i="1" s="1"/>
  <c r="F1039" i="1" a="1"/>
  <c r="F1039" i="1"/>
  <c r="F247" i="1" a="1"/>
  <c r="F247" i="1" s="1"/>
  <c r="F1500" i="1" a="1"/>
  <c r="F1500" i="1" s="1"/>
  <c r="F1224" i="1" a="1"/>
  <c r="F1224" i="1" s="1"/>
  <c r="F1274" i="1" a="1"/>
  <c r="F1274" i="1" s="1"/>
  <c r="F1258" i="1" a="1"/>
  <c r="F1258" i="1" s="1"/>
  <c r="F415" i="1" a="1"/>
  <c r="F415" i="1" s="1"/>
  <c r="F841" i="1" a="1"/>
  <c r="F841" i="1" s="1"/>
  <c r="F67" i="1" a="1"/>
  <c r="F67" i="1" s="1"/>
  <c r="F706" i="1" a="1"/>
  <c r="F706" i="1"/>
  <c r="F1277" i="1" a="1"/>
  <c r="F1277" i="1" s="1"/>
  <c r="F1474" i="1" a="1"/>
  <c r="F1474" i="1" s="1"/>
  <c r="F490" i="1" a="1"/>
  <c r="F490" i="1" s="1"/>
  <c r="F217" i="1" a="1"/>
  <c r="F217" i="1" s="1"/>
  <c r="F412" i="1" a="1"/>
  <c r="F412" i="1" s="1"/>
  <c r="F1330" i="1" a="1"/>
  <c r="F1330" i="1" s="1"/>
  <c r="F472" i="1" a="1"/>
  <c r="F472" i="1" s="1"/>
  <c r="F481" i="1" a="1"/>
  <c r="F481" i="1" s="1"/>
  <c r="F801" i="1" a="1"/>
  <c r="F801" i="1" s="1"/>
  <c r="F1331" i="1" a="1"/>
  <c r="F1331" i="1" s="1"/>
  <c r="F616" i="1" a="1"/>
  <c r="F616" i="1"/>
  <c r="F691" i="1" a="1"/>
  <c r="F691" i="1" s="1"/>
  <c r="F1155" i="1" a="1"/>
  <c r="F1155" i="1" s="1"/>
  <c r="F1192" i="1" a="1"/>
  <c r="F1192" i="1" s="1"/>
  <c r="F1362" i="1" a="1"/>
  <c r="F1362" i="1" s="1"/>
  <c r="F105" i="1" a="1"/>
  <c r="F105" i="1" s="1"/>
  <c r="F380" i="1" a="1"/>
  <c r="F380" i="1" s="1"/>
  <c r="F654" i="1" a="1"/>
  <c r="F654" i="1" s="1"/>
  <c r="F1355" i="1" a="1"/>
  <c r="F1355" i="1" s="1"/>
  <c r="F279" i="1" a="1"/>
  <c r="F279" i="1"/>
  <c r="F772" i="1" a="1"/>
  <c r="F772" i="1" s="1"/>
  <c r="F171" i="1" a="1"/>
  <c r="F171" i="1" s="1"/>
  <c r="F784" i="1" a="1"/>
  <c r="F784" i="1" s="1"/>
  <c r="F1275" i="1" a="1"/>
  <c r="F1275" i="1" s="1"/>
  <c r="F1075" i="1" a="1"/>
  <c r="F1075" i="1" s="1"/>
  <c r="F482" i="1" a="1"/>
  <c r="F482" i="1" s="1"/>
  <c r="F1252" i="1" a="1"/>
  <c r="F1252" i="1" s="1"/>
  <c r="F203" i="1" a="1"/>
  <c r="F203" i="1" s="1"/>
  <c r="F1347" i="1" a="1"/>
  <c r="F1347" i="1" s="1"/>
  <c r="F756" i="1" a="1"/>
  <c r="F756" i="1" s="1"/>
  <c r="F1181" i="1" a="1"/>
  <c r="F1181" i="1" s="1"/>
  <c r="F17" i="1" a="1"/>
  <c r="F17" i="1"/>
  <c r="F348" i="1" a="1"/>
  <c r="F348" i="1" s="1"/>
  <c r="F197" i="1" a="1"/>
  <c r="F197" i="1" s="1"/>
  <c r="F815" i="1" a="1"/>
  <c r="F815" i="1" s="1"/>
  <c r="F360" i="1" a="1"/>
  <c r="F360" i="1" s="1"/>
  <c r="F293" i="1" a="1"/>
  <c r="F293" i="1" s="1"/>
  <c r="F63" i="1" a="1"/>
  <c r="F63" i="1" s="1"/>
  <c r="F408" i="1" a="1"/>
  <c r="F408" i="1" s="1"/>
  <c r="F1491" i="1" a="1"/>
  <c r="F1491" i="1" s="1"/>
  <c r="F134" i="1" a="1"/>
  <c r="F134" i="1" s="1"/>
  <c r="F340" i="1" a="1"/>
  <c r="F340" i="1"/>
  <c r="F1387" i="1" a="1"/>
  <c r="F1387" i="1" s="1"/>
  <c r="F818" i="1" a="1"/>
  <c r="F818" i="1" s="1"/>
  <c r="F163" i="1" a="1"/>
  <c r="F163" i="1" s="1"/>
  <c r="F956" i="1" a="1"/>
  <c r="F956" i="1" s="1"/>
  <c r="F1359" i="1" a="1"/>
  <c r="F1359" i="1" s="1"/>
  <c r="F1034" i="1" a="1"/>
  <c r="F1034" i="1" s="1"/>
  <c r="F683" i="1" a="1"/>
  <c r="F683" i="1"/>
  <c r="F367" i="1" a="1"/>
  <c r="F367" i="1" s="1"/>
  <c r="F876" i="1" a="1"/>
  <c r="F876" i="1" s="1"/>
  <c r="F1490" i="1" a="1"/>
  <c r="F1490" i="1" s="1"/>
  <c r="F1287" i="1" a="1"/>
  <c r="F1287" i="1" s="1"/>
  <c r="F947" i="1" a="1"/>
  <c r="F947" i="1"/>
  <c r="F489" i="1" a="1"/>
  <c r="F489" i="1" s="1"/>
  <c r="F704" i="1" a="1"/>
  <c r="F704" i="1" s="1"/>
  <c r="F1296" i="1" a="1"/>
  <c r="F1296" i="1" s="1"/>
  <c r="F69" i="1" a="1"/>
  <c r="F69" i="1"/>
  <c r="F1316" i="1" a="1"/>
  <c r="F1316" i="1" s="1"/>
  <c r="F434" i="1" a="1"/>
  <c r="F434" i="1" s="1"/>
  <c r="F757" i="1" a="1"/>
  <c r="F757" i="1"/>
  <c r="F799" i="1" a="1"/>
  <c r="F799" i="1" s="1"/>
  <c r="F1135" i="1" a="1"/>
  <c r="F1135" i="1" s="1"/>
  <c r="F518" i="1" a="1"/>
  <c r="F518" i="1" s="1"/>
  <c r="F1383" i="1" a="1"/>
  <c r="F1383" i="1" s="1"/>
  <c r="F479" i="1" a="1"/>
  <c r="F479" i="1" s="1"/>
  <c r="F1070" i="1" a="1"/>
  <c r="F1070" i="1" s="1"/>
  <c r="F873" i="1" a="1"/>
  <c r="F873" i="1" s="1"/>
  <c r="F356" i="1" a="1"/>
  <c r="F356" i="1" s="1"/>
  <c r="F319" i="1" a="1"/>
  <c r="F319" i="1" s="1"/>
  <c r="F1077" i="1" a="1"/>
  <c r="F1077" i="1" s="1"/>
  <c r="F882" i="1" a="1"/>
  <c r="F882" i="1" s="1"/>
  <c r="F276" i="1" a="1"/>
  <c r="F276" i="1" s="1"/>
  <c r="F362" i="1" a="1"/>
  <c r="F362" i="1"/>
  <c r="F278" i="1" a="1"/>
  <c r="F278" i="1" s="1"/>
  <c r="F771" i="1" a="1"/>
  <c r="F771" i="1" s="1"/>
  <c r="F1482" i="1" a="1"/>
  <c r="F1482" i="1" s="1"/>
  <c r="F840" i="1" a="1"/>
  <c r="F840" i="1" s="1"/>
  <c r="F1438" i="1" a="1"/>
  <c r="F1438" i="1" s="1"/>
  <c r="F1494" i="1" a="1"/>
  <c r="F1494" i="1" s="1"/>
  <c r="F1502" i="1" a="1"/>
  <c r="F1502" i="1" s="1"/>
  <c r="F981" i="1" a="1"/>
  <c r="F981" i="1" s="1"/>
  <c r="F826" i="1" a="1"/>
  <c r="F826" i="1" s="1"/>
  <c r="F155" i="1" a="1"/>
  <c r="F155" i="1" s="1"/>
  <c r="F510" i="1" a="1"/>
  <c r="F510" i="1" s="1"/>
  <c r="F787" i="1" a="1"/>
  <c r="F787" i="1" s="1"/>
  <c r="F267" i="1" a="1"/>
  <c r="F267" i="1" s="1"/>
  <c r="F1086" i="1" a="1"/>
  <c r="F1086" i="1" s="1"/>
  <c r="F266" i="1" a="1"/>
  <c r="F266" i="1" s="1"/>
  <c r="F1184" i="1" a="1"/>
  <c r="F1184" i="1"/>
  <c r="F1003" i="1" a="1"/>
  <c r="F1003" i="1" s="1"/>
  <c r="F231" i="1" a="1"/>
  <c r="F231" i="1" s="1"/>
  <c r="F719" i="1" a="1"/>
  <c r="F719" i="1" s="1"/>
  <c r="F809" i="1" a="1"/>
  <c r="F809" i="1" s="1"/>
  <c r="F494" i="1" a="1"/>
  <c r="F494" i="1" s="1"/>
  <c r="F711" i="1" a="1"/>
  <c r="F711" i="1" s="1"/>
  <c r="F244" i="1" a="1"/>
  <c r="F244" i="1"/>
  <c r="F986" i="1" a="1"/>
  <c r="F986" i="1" s="1"/>
  <c r="F524" i="1" a="1"/>
  <c r="F524" i="1" s="1"/>
  <c r="F31" i="1" a="1"/>
  <c r="F31" i="1" s="1"/>
  <c r="F260" i="1" a="1"/>
  <c r="F260" i="1" s="1"/>
  <c r="F1298" i="1" a="1"/>
  <c r="F1298" i="1"/>
  <c r="F1025" i="1" a="1"/>
  <c r="F1025" i="1" s="1"/>
  <c r="F1165" i="1" a="1"/>
  <c r="F1165" i="1" s="1"/>
  <c r="F877" i="1" a="1"/>
  <c r="F877" i="1" s="1"/>
  <c r="F1125" i="1" a="1"/>
  <c r="F1125" i="1" s="1"/>
  <c r="F863" i="1" a="1"/>
  <c r="F863" i="1" s="1"/>
  <c r="F1227" i="1" a="1"/>
  <c r="F1227" i="1" s="1"/>
  <c r="F745" i="1" a="1"/>
  <c r="F745" i="1"/>
  <c r="F583" i="1" a="1"/>
  <c r="F583" i="1" s="1"/>
  <c r="F977" i="1" a="1"/>
  <c r="F977" i="1" s="1"/>
  <c r="F703" i="1" a="1"/>
  <c r="F703" i="1" s="1"/>
  <c r="F847" i="1" a="1"/>
  <c r="F847" i="1" s="1"/>
  <c r="F572" i="1" a="1"/>
  <c r="F572" i="1"/>
  <c r="F1310" i="1" a="1"/>
  <c r="F1310" i="1" s="1"/>
  <c r="F159" i="1" a="1"/>
  <c r="F159" i="1" s="1"/>
  <c r="F651" i="1" a="1"/>
  <c r="F651" i="1" s="1"/>
  <c r="F1148" i="1" a="1"/>
  <c r="F1148" i="1" s="1"/>
  <c r="F322" i="1" a="1"/>
  <c r="F322" i="1" s="1"/>
  <c r="F578" i="1" a="1"/>
  <c r="F578" i="1" s="1"/>
  <c r="F1483" i="1" a="1"/>
  <c r="F1483" i="1" s="1"/>
  <c r="F1166" i="1" a="1"/>
  <c r="F1166" i="1" s="1"/>
  <c r="F507" i="1" a="1"/>
  <c r="F507" i="1" s="1"/>
  <c r="F173" i="1" a="1"/>
  <c r="F173" i="1" s="1"/>
  <c r="F386" i="1" a="1"/>
  <c r="F386" i="1" s="1"/>
  <c r="F130" i="1" a="1"/>
  <c r="F130" i="1" s="1"/>
  <c r="F1325" i="1" a="1"/>
  <c r="F1325" i="1" s="1"/>
  <c r="F1217" i="1" a="1"/>
  <c r="F1217" i="1" s="1"/>
  <c r="F294" i="1" a="1"/>
  <c r="F294" i="1" s="1"/>
  <c r="F663" i="1" a="1"/>
  <c r="F663" i="1" s="1"/>
  <c r="F1346" i="1" a="1"/>
  <c r="F1346" i="1" s="1"/>
  <c r="F450" i="1" a="1"/>
  <c r="F450" i="1" s="1"/>
  <c r="F590" i="1" a="1"/>
  <c r="F590" i="1" s="1"/>
  <c r="F464" i="1" a="1"/>
  <c r="F464" i="1" s="1"/>
  <c r="F313" i="1" a="1"/>
  <c r="F313" i="1" s="1"/>
  <c r="F1167" i="1" a="1"/>
  <c r="F1167" i="1" s="1"/>
  <c r="F1150" i="1" a="1"/>
  <c r="F1150" i="1" s="1"/>
  <c r="F608" i="1" a="1"/>
  <c r="F608" i="1" s="1"/>
  <c r="F1285" i="1" a="1"/>
  <c r="F1285" i="1" s="1"/>
  <c r="F357" i="1" a="1"/>
  <c r="F357" i="1" s="1"/>
  <c r="F1256" i="1" a="1"/>
  <c r="F1256" i="1" s="1"/>
  <c r="F376" i="1" a="1"/>
  <c r="F376" i="1" s="1"/>
  <c r="F575" i="1" a="1"/>
  <c r="F575" i="1" s="1"/>
  <c r="F522" i="1" a="1"/>
  <c r="F522" i="1" s="1"/>
  <c r="F1004" i="1" a="1"/>
  <c r="F1004" i="1" s="1"/>
  <c r="F96" i="1" a="1"/>
  <c r="F96" i="1" s="1"/>
  <c r="F1180" i="1" a="1"/>
  <c r="F1180" i="1" s="1"/>
  <c r="F1094" i="1" a="1"/>
  <c r="F1094" i="1" s="1"/>
  <c r="F107" i="1" a="1"/>
  <c r="F107" i="1"/>
  <c r="F124" i="1" a="1"/>
  <c r="F124" i="1" s="1"/>
  <c r="F401" i="1" a="1"/>
  <c r="F401" i="1" s="1"/>
  <c r="F984" i="1" a="1"/>
  <c r="F984" i="1" s="1"/>
  <c r="F359" i="1" a="1"/>
  <c r="F359" i="1" s="1"/>
  <c r="F816" i="1" a="1"/>
  <c r="F816" i="1" s="1"/>
  <c r="F628" i="1" a="1"/>
  <c r="F628" i="1" s="1"/>
  <c r="F1142" i="1" a="1"/>
  <c r="F1142" i="1" s="1"/>
  <c r="F1314" i="1" a="1"/>
  <c r="F1314" i="1" s="1"/>
  <c r="F417" i="1" a="1"/>
  <c r="F417" i="1" s="1"/>
  <c r="F137" i="1" a="1"/>
  <c r="F137" i="1" s="1"/>
  <c r="F131" i="1" a="1"/>
  <c r="F131" i="1" s="1"/>
  <c r="F846" i="1" a="1"/>
  <c r="F846" i="1" s="1"/>
  <c r="F468" i="1" a="1"/>
  <c r="F468" i="1"/>
  <c r="F915" i="1" a="1"/>
  <c r="F915" i="1" s="1"/>
  <c r="F686" i="1" a="1"/>
  <c r="F686" i="1" s="1"/>
  <c r="F114" i="1" a="1"/>
  <c r="F114" i="1" s="1"/>
  <c r="F371" i="1" a="1"/>
  <c r="F371" i="1" s="1"/>
  <c r="F734" i="1" a="1"/>
  <c r="F734" i="1" s="1"/>
  <c r="F432" i="1" a="1"/>
  <c r="F432" i="1" s="1"/>
  <c r="F849" i="1" a="1"/>
  <c r="F849" i="1" s="1"/>
  <c r="F1067" i="1" a="1"/>
  <c r="F1067" i="1"/>
  <c r="F577" i="1" a="1"/>
  <c r="F577" i="1" s="1"/>
  <c r="F698" i="1" a="1"/>
  <c r="F698" i="1" s="1"/>
  <c r="F1144" i="1" a="1"/>
  <c r="F1144" i="1" s="1"/>
  <c r="F814" i="1" a="1"/>
  <c r="F814" i="1" s="1"/>
  <c r="F1394" i="1" a="1"/>
  <c r="F1394" i="1" s="1"/>
  <c r="F1293" i="1" a="1"/>
  <c r="F1293" i="1" s="1"/>
  <c r="F1139" i="1" a="1"/>
  <c r="F1139" i="1"/>
  <c r="F707" i="1" a="1"/>
  <c r="F707" i="1" s="1"/>
  <c r="F1384" i="1" a="1"/>
  <c r="F1384" i="1" s="1"/>
  <c r="F192" i="1" a="1"/>
  <c r="F192" i="1" s="1"/>
  <c r="F780" i="1" a="1"/>
  <c r="F780" i="1" s="1"/>
  <c r="F1108" i="1" a="1"/>
  <c r="F1108" i="1"/>
  <c r="F1332" i="1" a="1"/>
  <c r="F1332" i="1" s="1"/>
  <c r="F88" i="1" a="1"/>
  <c r="F88" i="1" s="1"/>
  <c r="F959" i="1" a="1"/>
  <c r="F959" i="1" s="1"/>
  <c r="F1000" i="1" a="1"/>
  <c r="F1000" i="1" s="1"/>
  <c r="F1178" i="1" a="1"/>
  <c r="F1178" i="1" s="1"/>
  <c r="F48" i="1" a="1"/>
  <c r="F48" i="1" s="1"/>
  <c r="F175" i="1" a="1"/>
  <c r="F175" i="1" s="1"/>
  <c r="F250" i="1" a="1"/>
  <c r="F250" i="1" s="1"/>
  <c r="F1183" i="1" a="1"/>
  <c r="F1183" i="1" s="1"/>
  <c r="F1461" i="1" a="1"/>
  <c r="F1461" i="1" s="1"/>
  <c r="F259" i="1" a="1"/>
  <c r="F259" i="1" s="1"/>
  <c r="F1464" i="1" a="1"/>
  <c r="F1464" i="1"/>
  <c r="F1085" i="1" a="1"/>
  <c r="F1085" i="1" s="1"/>
  <c r="F405" i="1" a="1"/>
  <c r="F405" i="1" s="1"/>
  <c r="F1120" i="1" a="1"/>
  <c r="F1120" i="1"/>
  <c r="F1143" i="1" a="1"/>
  <c r="F1143" i="1" s="1"/>
  <c r="F568" i="1" a="1"/>
  <c r="F568" i="1" s="1"/>
  <c r="F750" i="1" a="1"/>
  <c r="F750" i="1" s="1"/>
  <c r="F361" i="1" a="1"/>
  <c r="F361" i="1" s="1"/>
  <c r="F239" i="1" a="1"/>
  <c r="F239" i="1" s="1"/>
  <c r="F565" i="1" a="1"/>
  <c r="F565" i="1" s="1"/>
  <c r="F345" i="1" a="1"/>
  <c r="F345" i="1" s="1"/>
  <c r="F232" i="1" a="1"/>
  <c r="F232" i="1" s="1"/>
  <c r="F659" i="1" a="1"/>
  <c r="F659" i="1" s="1"/>
  <c r="F693" i="1" a="1"/>
  <c r="F693" i="1" s="1"/>
  <c r="F328" i="1" a="1"/>
  <c r="F328" i="1" s="1"/>
  <c r="F972" i="1" a="1"/>
  <c r="F972" i="1" s="1"/>
  <c r="F80" i="1" a="1"/>
  <c r="F80" i="1" s="1"/>
  <c r="F540" i="1" a="1"/>
  <c r="F540" i="1" s="1"/>
  <c r="F802" i="1" a="1"/>
  <c r="F802" i="1" s="1"/>
  <c r="F1364" i="1" a="1"/>
  <c r="F1364" i="1" s="1"/>
  <c r="F36" i="1" a="1"/>
  <c r="F36" i="1"/>
  <c r="F43" i="1" a="1"/>
  <c r="F43" i="1" s="1"/>
  <c r="F677" i="1" a="1"/>
  <c r="F677" i="1" s="1"/>
  <c r="F1386" i="1" a="1"/>
  <c r="F1386" i="1" s="1"/>
  <c r="F1472" i="1" a="1"/>
  <c r="F1472" i="1"/>
  <c r="F1083" i="1" a="1"/>
  <c r="F1083" i="1" s="1"/>
  <c r="F1090" i="1" a="1"/>
  <c r="F1090" i="1" s="1"/>
  <c r="F457" i="1" a="1"/>
  <c r="F457" i="1" s="1"/>
  <c r="F414" i="1" a="1"/>
  <c r="F414" i="1" s="1"/>
  <c r="F1458" i="1" a="1"/>
  <c r="F1458" i="1" s="1"/>
  <c r="F725" i="1" a="1"/>
  <c r="F725" i="1" s="1"/>
  <c r="F1216" i="1" a="1"/>
  <c r="F1216" i="1" s="1"/>
  <c r="F174" i="1" a="1"/>
  <c r="F174" i="1" s="1"/>
  <c r="F513" i="1" a="1"/>
  <c r="F513" i="1" s="1"/>
  <c r="F594" i="1" a="1"/>
  <c r="F594" i="1" s="1"/>
  <c r="F587" i="1" a="1"/>
  <c r="F587" i="1" s="1"/>
  <c r="F636" i="1" a="1"/>
  <c r="F636" i="1" s="1"/>
  <c r="F50" i="1" a="1"/>
  <c r="F50" i="1" s="1"/>
  <c r="F1506" i="1" a="1"/>
  <c r="F1506" i="1" s="1"/>
  <c r="F731" i="1" a="1"/>
  <c r="F731" i="1" s="1"/>
  <c r="F128" i="1" a="1"/>
  <c r="F128" i="1" s="1"/>
  <c r="F1370" i="1" a="1"/>
  <c r="F1370" i="1" s="1"/>
  <c r="F144" i="1" a="1"/>
  <c r="F144" i="1" s="1"/>
  <c r="F1337" i="1" a="1"/>
  <c r="F1337" i="1" s="1"/>
  <c r="F1253" i="1" a="1"/>
  <c r="F1253" i="1" s="1"/>
  <c r="F1233" i="1" a="1"/>
  <c r="F1233" i="1" s="1"/>
  <c r="F1334" i="1" a="1"/>
  <c r="F1334" i="1" s="1"/>
  <c r="F327" i="1" a="1"/>
  <c r="F327" i="1" s="1"/>
  <c r="F965" i="1" a="1"/>
  <c r="F965" i="1"/>
  <c r="F229" i="1" a="1"/>
  <c r="F229" i="1" s="1"/>
  <c r="F1442" i="1" a="1"/>
  <c r="F1442" i="1" s="1"/>
  <c r="F172" i="1" a="1"/>
  <c r="F172" i="1" s="1"/>
  <c r="F576" i="1" a="1"/>
  <c r="F576" i="1"/>
  <c r="F469" i="1" a="1"/>
  <c r="F469" i="1" s="1"/>
  <c r="F749" i="1" a="1"/>
  <c r="F749" i="1" s="1"/>
  <c r="F561" i="1" a="1"/>
  <c r="F561" i="1" s="1"/>
  <c r="F274" i="1" a="1"/>
  <c r="F274" i="1" s="1"/>
  <c r="F530" i="1" a="1"/>
  <c r="F530" i="1" s="1"/>
  <c r="F323" i="1" a="1"/>
  <c r="F323" i="1" s="1"/>
  <c r="F943" i="1" a="1"/>
  <c r="F943" i="1" s="1"/>
  <c r="F1454" i="1" a="1"/>
  <c r="F1454" i="1" s="1"/>
  <c r="F546" i="1" a="1"/>
  <c r="F546" i="1" s="1"/>
  <c r="F224" i="1" a="1"/>
  <c r="F224" i="1" s="1"/>
  <c r="F214" i="1" a="1"/>
  <c r="F214" i="1" s="1"/>
  <c r="F1197" i="1" a="1"/>
  <c r="F1197" i="1" s="1"/>
  <c r="F431" i="1" a="1"/>
  <c r="F431" i="1" s="1"/>
  <c r="F832" i="1" a="1"/>
  <c r="F832" i="1" s="1"/>
  <c r="F898" i="1" a="1"/>
  <c r="F898" i="1" s="1"/>
  <c r="F198" i="1" a="1"/>
  <c r="F198" i="1" s="1"/>
  <c r="F669" i="1" a="1"/>
  <c r="F669" i="1" s="1"/>
  <c r="F777" i="1" a="1"/>
  <c r="F777" i="1" s="1"/>
  <c r="F819" i="1" a="1"/>
  <c r="F819" i="1" s="1"/>
  <c r="F1219" i="1" a="1"/>
  <c r="F1219" i="1" s="1"/>
  <c r="F1345" i="1" a="1"/>
  <c r="F1345" i="1" s="1"/>
  <c r="F309" i="1" a="1"/>
  <c r="F309" i="1"/>
  <c r="F726" i="1" a="1"/>
  <c r="F726" i="1" s="1"/>
  <c r="F1307" i="1" a="1"/>
  <c r="F1307" i="1" s="1"/>
  <c r="F1507" i="1" a="1"/>
  <c r="F1507" i="1" s="1"/>
  <c r="F737" i="1" a="1"/>
  <c r="F737" i="1" s="1"/>
  <c r="F588" i="1" a="1"/>
  <c r="F588" i="1" s="1"/>
  <c r="F456" i="1" a="1"/>
  <c r="F456" i="1"/>
  <c r="F1061" i="1" a="1"/>
  <c r="F1061" i="1" s="1"/>
  <c r="F1179" i="1" a="1"/>
  <c r="F1179" i="1" s="1"/>
  <c r="F974" i="1" a="1"/>
  <c r="F974" i="1" s="1"/>
  <c r="F888" i="1" a="1"/>
  <c r="F888" i="1" s="1"/>
  <c r="F1111" i="1" a="1"/>
  <c r="F1111" i="1" s="1"/>
  <c r="F1243" i="1" a="1"/>
  <c r="F1243" i="1" s="1"/>
  <c r="F632" i="1" a="1"/>
  <c r="F632" i="1" s="1"/>
  <c r="F424" i="1" a="1"/>
  <c r="F424" i="1"/>
  <c r="F646" i="1" a="1"/>
  <c r="F646" i="1" s="1"/>
  <c r="F612" i="1" a="1"/>
  <c r="F612" i="1" s="1"/>
  <c r="F1236" i="1" a="1"/>
  <c r="F1236" i="1" s="1"/>
  <c r="F51" i="1" a="1"/>
  <c r="F51" i="1" s="1"/>
  <c r="F410" i="1" a="1"/>
  <c r="F410" i="1" s="1"/>
  <c r="F113" i="1" a="1"/>
  <c r="F113" i="1" s="1"/>
  <c r="F723" i="1" a="1"/>
  <c r="F723" i="1" s="1"/>
  <c r="F914" i="1" a="1"/>
  <c r="F914" i="1" s="1"/>
  <c r="F1430" i="1" a="1"/>
  <c r="F1430" i="1" s="1"/>
  <c r="F123" i="1" a="1"/>
  <c r="F123" i="1" s="1"/>
  <c r="F1486" i="1" a="1"/>
  <c r="F1486" i="1" s="1"/>
  <c r="F931" i="1" a="1"/>
  <c r="F931" i="1" s="1"/>
  <c r="F803" i="1" a="1"/>
  <c r="F803" i="1" s="1"/>
  <c r="F1339" i="1" a="1"/>
  <c r="F1339" i="1"/>
  <c r="F1432" i="1" a="1"/>
  <c r="F1432" i="1" s="1"/>
  <c r="F1403" i="1" a="1"/>
  <c r="F1403" i="1" s="1"/>
  <c r="F630" i="1" a="1"/>
  <c r="F630" i="1" s="1"/>
  <c r="F8" i="1" a="1"/>
  <c r="F8" i="1" s="1"/>
  <c r="F1465" i="1" a="1"/>
  <c r="F1465" i="1"/>
  <c r="F897" i="1" a="1"/>
  <c r="F897" i="1" s="1"/>
  <c r="F923" i="1" a="1"/>
  <c r="F923" i="1" s="1"/>
  <c r="F1063" i="1" a="1"/>
  <c r="F1063" i="1" s="1"/>
  <c r="F449" i="1" a="1"/>
  <c r="F449" i="1" s="1"/>
  <c r="F637" i="1" a="1"/>
  <c r="F637" i="1" s="1"/>
  <c r="F1283" i="1" a="1"/>
  <c r="F1283" i="1" s="1"/>
  <c r="F1222" i="1" a="1"/>
  <c r="F1222" i="1" s="1"/>
  <c r="F270" i="1" a="1"/>
  <c r="F270" i="1"/>
  <c r="F21" i="1" a="1"/>
  <c r="F21" i="1" s="1"/>
  <c r="F1300" i="1" a="1"/>
  <c r="F1300" i="1" s="1"/>
  <c r="F709" i="1" a="1"/>
  <c r="F709" i="1" s="1"/>
  <c r="F1168" i="1" a="1"/>
  <c r="F1168" i="1" s="1"/>
  <c r="F603" i="1" a="1"/>
  <c r="F603" i="1" s="1"/>
  <c r="F181" i="1" a="1"/>
  <c r="F181" i="1" s="1"/>
  <c r="F755" i="1" a="1"/>
  <c r="F755" i="1" s="1"/>
  <c r="F665" i="1" a="1"/>
  <c r="F665" i="1" s="1"/>
  <c r="F1201" i="1" a="1"/>
  <c r="F1201" i="1" s="1"/>
  <c r="F790" i="1" a="1"/>
  <c r="F790" i="1" s="1"/>
  <c r="F480" i="1" a="1"/>
  <c r="F480" i="1" s="1"/>
  <c r="F1010" i="1" a="1"/>
  <c r="F1010" i="1" s="1"/>
  <c r="F1419" i="1" a="1"/>
  <c r="F1419" i="1" s="1"/>
  <c r="F70" i="1" a="1"/>
  <c r="F70" i="1" s="1"/>
  <c r="F529" i="1" a="1"/>
  <c r="F529" i="1" s="1"/>
  <c r="F337" i="1" a="1"/>
  <c r="F337" i="1" s="1"/>
  <c r="F874" i="1" a="1"/>
  <c r="F874" i="1" s="1"/>
  <c r="F1226" i="1" a="1"/>
  <c r="F1226" i="1" s="1"/>
  <c r="F994" i="1" a="1"/>
  <c r="F994" i="1" s="1"/>
  <c r="F1051" i="1" a="1"/>
  <c r="F1051" i="1" s="1"/>
  <c r="F1478" i="1" a="1"/>
  <c r="F1478" i="1" s="1"/>
  <c r="F1190" i="1" a="1"/>
  <c r="F1190" i="1" s="1"/>
  <c r="F168" i="1" a="1"/>
  <c r="F168" i="1" s="1"/>
  <c r="F230" i="1" a="1"/>
  <c r="F230" i="1" s="1"/>
  <c r="F170" i="1" a="1"/>
  <c r="F170" i="1" s="1"/>
  <c r="F926" i="1" a="1"/>
  <c r="F926" i="1" s="1"/>
  <c r="F517" i="1" a="1"/>
  <c r="F517" i="1" s="1"/>
  <c r="F1415" i="1" a="1"/>
  <c r="F1415" i="1" s="1"/>
  <c r="F98" i="1" a="1"/>
  <c r="F98" i="1" s="1"/>
  <c r="F1455" i="1" a="1"/>
  <c r="F1455" i="1" s="1"/>
  <c r="F93" i="1" a="1"/>
  <c r="F93" i="1" s="1"/>
  <c r="F741" i="1" a="1"/>
  <c r="F741" i="1" s="1"/>
  <c r="F1320" i="1" a="1"/>
  <c r="F1320" i="1" s="1"/>
  <c r="F1038" i="1" a="1"/>
  <c r="F1038" i="1" s="1"/>
  <c r="F375" i="1" a="1"/>
  <c r="F375" i="1" s="1"/>
  <c r="F606" i="1" a="1"/>
  <c r="F606" i="1" s="1"/>
  <c r="F1452" i="1" a="1"/>
  <c r="F1452" i="1" s="1"/>
  <c r="F358" i="1" a="1"/>
  <c r="F358" i="1" s="1"/>
  <c r="F673" i="1" a="1"/>
  <c r="F673" i="1" s="1"/>
  <c r="F854" i="1" a="1"/>
  <c r="F854" i="1" s="1"/>
  <c r="F1260" i="1" a="1"/>
  <c r="F1260" i="1"/>
  <c r="F389" i="1" a="1"/>
  <c r="F389" i="1" s="1"/>
  <c r="F1160" i="1" a="1"/>
  <c r="F1160" i="1" s="1"/>
  <c r="F1048" i="1" a="1"/>
  <c r="F1048" i="1" s="1"/>
  <c r="F1084" i="1" a="1"/>
  <c r="F1084" i="1" s="1"/>
  <c r="F1014" i="1" a="1"/>
  <c r="F1014" i="1" s="1"/>
  <c r="F567" i="1" a="1"/>
  <c r="F567" i="1"/>
  <c r="F619" i="1" a="1"/>
  <c r="F619" i="1" s="1"/>
  <c r="F1021" i="1" a="1"/>
  <c r="F1021" i="1" s="1"/>
  <c r="F287" i="1" a="1"/>
  <c r="F287" i="1" s="1"/>
  <c r="F189" i="1" a="1"/>
  <c r="F189" i="1" s="1"/>
  <c r="F303" i="1" a="1"/>
  <c r="F303" i="1" s="1"/>
  <c r="F1005" i="1" a="1"/>
  <c r="F1005" i="1" s="1"/>
  <c r="F509" i="1" a="1"/>
  <c r="F509" i="1" s="1"/>
  <c r="F295" i="1" a="1"/>
  <c r="F295" i="1" s="1"/>
  <c r="F592" i="1" a="1"/>
  <c r="F592" i="1" s="1"/>
  <c r="F169" i="1" a="1"/>
  <c r="F169" i="1" s="1"/>
  <c r="F879" i="1" a="1"/>
  <c r="F879" i="1" s="1"/>
  <c r="F822" i="1" a="1"/>
  <c r="F822" i="1" s="1"/>
  <c r="F1169" i="1" a="1"/>
  <c r="F1169" i="1" s="1"/>
  <c r="F42" i="1" a="1"/>
  <c r="F42" i="1" s="1"/>
  <c r="F55" i="1" a="1"/>
  <c r="F55" i="1" s="1"/>
  <c r="F152" i="1" a="1"/>
  <c r="F152" i="1" s="1"/>
  <c r="F1028" i="1" a="1"/>
  <c r="F1028" i="1" s="1"/>
  <c r="F582" i="1" a="1"/>
  <c r="F582" i="1" s="1"/>
  <c r="F1016" i="1" a="1"/>
  <c r="F1016" i="1" s="1"/>
  <c r="F133" i="1" a="1"/>
  <c r="F133" i="1" s="1"/>
  <c r="F483" i="1" a="1"/>
  <c r="F483" i="1" s="1"/>
  <c r="F308" i="1" a="1"/>
  <c r="F308" i="1" s="1"/>
  <c r="F1436" i="1" a="1"/>
  <c r="F1436" i="1" s="1"/>
  <c r="F1080" i="1" a="1"/>
  <c r="F1080" i="1" s="1"/>
  <c r="F516" i="1" a="1"/>
  <c r="F516" i="1" s="1"/>
  <c r="F162" i="1" a="1"/>
  <c r="F162" i="1"/>
  <c r="F1001" i="1" a="1"/>
  <c r="F1001" i="1" s="1"/>
  <c r="F305" i="1" a="1"/>
  <c r="F305" i="1" s="1"/>
  <c r="F265" i="1" a="1"/>
  <c r="F265" i="1" s="1"/>
  <c r="F1374" i="1" a="1"/>
  <c r="F1374" i="1" s="1"/>
  <c r="F350" i="1" a="1"/>
  <c r="F350" i="1" s="1"/>
  <c r="F916" i="1" a="1"/>
  <c r="F916" i="1"/>
  <c r="F940" i="1" a="1"/>
  <c r="F940" i="1"/>
  <c r="F515" i="1" a="1"/>
  <c r="F515" i="1" s="1"/>
  <c r="F1069" i="1" a="1"/>
  <c r="F1069" i="1" s="1"/>
  <c r="F895" i="1" a="1"/>
  <c r="F895" i="1" s="1"/>
  <c r="F910" i="1" a="1"/>
  <c r="F910" i="1"/>
  <c r="F1357" i="1" a="1"/>
  <c r="F1357" i="1" s="1"/>
  <c r="F125" i="1" a="1"/>
  <c r="F125" i="1" s="1"/>
  <c r="F1479" i="1" a="1"/>
  <c r="F1479" i="1" s="1"/>
  <c r="F1433" i="1" a="1"/>
  <c r="F1433" i="1" s="1"/>
  <c r="F900" i="1" a="1"/>
  <c r="F900" i="1" s="1"/>
  <c r="F948" i="1" a="1"/>
  <c r="F948" i="1" s="1"/>
  <c r="F1110" i="1" a="1"/>
  <c r="F1110" i="1" s="1"/>
  <c r="F739" i="1" a="1"/>
  <c r="F739" i="1"/>
  <c r="F150" i="1" a="1"/>
  <c r="F150" i="1" s="1"/>
  <c r="F950" i="1" a="1"/>
  <c r="F950" i="1" s="1"/>
  <c r="F1291" i="1" a="1"/>
  <c r="F1291" i="1" s="1"/>
  <c r="F1480" i="1" a="1"/>
  <c r="F1480" i="1"/>
  <c r="F72" i="1" a="1"/>
  <c r="F72" i="1"/>
  <c r="F1161" i="1" a="1"/>
  <c r="F1161" i="1" s="1"/>
  <c r="F1187" i="1" a="1"/>
  <c r="F1187" i="1" s="1"/>
  <c r="F1044" i="1" a="1"/>
  <c r="F1044" i="1" s="1"/>
  <c r="F12" i="1" a="1"/>
  <c r="F12" i="1"/>
  <c r="F769" i="1" a="1"/>
  <c r="F769" i="1" s="1"/>
  <c r="F850" i="1" a="1"/>
  <c r="F850" i="1"/>
  <c r="F1414" i="1" a="1"/>
  <c r="F1414" i="1" s="1"/>
  <c r="F944" i="1" a="1"/>
  <c r="F944" i="1" s="1"/>
  <c r="F521" i="1" a="1"/>
  <c r="F521" i="1" s="1"/>
  <c r="F857" i="1" a="1"/>
  <c r="F857" i="1" s="1"/>
  <c r="F552" i="1" a="1"/>
  <c r="F552" i="1" s="1"/>
  <c r="F1247" i="1" a="1"/>
  <c r="F1247" i="1" s="1"/>
  <c r="F1117" i="1" a="1"/>
  <c r="F1117" i="1" s="1"/>
  <c r="F178" i="1" a="1"/>
  <c r="F178" i="1" s="1"/>
  <c r="F813" i="1" a="1"/>
  <c r="F813" i="1" s="1"/>
  <c r="F569" i="1" a="1"/>
  <c r="F569" i="1" s="1"/>
  <c r="F627" i="1" a="1"/>
  <c r="F627" i="1" s="1"/>
  <c r="F823" i="1" a="1"/>
  <c r="F823" i="1" s="1"/>
  <c r="F497" i="1" a="1"/>
  <c r="F497" i="1"/>
  <c r="F560" i="1" a="1"/>
  <c r="F560" i="1" s="1"/>
  <c r="F109" i="1" a="1"/>
  <c r="F109" i="1" s="1"/>
  <c r="F1215" i="1" a="1"/>
  <c r="F1215" i="1" s="1"/>
  <c r="F1496" i="1" a="1"/>
  <c r="F1496" i="1" s="1"/>
  <c r="F1241" i="1" a="1"/>
  <c r="F1241" i="1" s="1"/>
  <c r="F1448" i="1" a="1"/>
  <c r="F1448" i="1" s="1"/>
  <c r="F1349" i="1" a="1"/>
  <c r="F1349" i="1" s="1"/>
  <c r="F1467" i="1" a="1"/>
  <c r="F1467" i="1"/>
  <c r="F937" i="1" a="1"/>
  <c r="F937" i="1" s="1"/>
  <c r="F1408" i="1" a="1"/>
  <c r="F1408" i="1" s="1"/>
  <c r="F891" i="1" a="1"/>
  <c r="F891" i="1" s="1"/>
  <c r="F1163" i="1" a="1"/>
  <c r="F1163" i="1" s="1"/>
  <c r="F758" i="1" a="1"/>
  <c r="F758" i="1" s="1"/>
  <c r="F729" i="1" a="1"/>
  <c r="F729" i="1" s="1"/>
  <c r="F1040" i="1" a="1"/>
  <c r="F1040" i="1" s="1"/>
  <c r="F399" i="1" a="1"/>
  <c r="F399" i="1" s="1"/>
  <c r="F536" i="1" a="1"/>
  <c r="F536" i="1"/>
  <c r="F462" i="1" a="1"/>
  <c r="F462" i="1" s="1"/>
  <c r="F1191" i="1" a="1"/>
  <c r="F1191" i="1" s="1"/>
  <c r="F388" i="1" a="1"/>
  <c r="F388" i="1" s="1"/>
  <c r="F638" i="1" a="1"/>
  <c r="F638" i="1"/>
  <c r="F271" i="1" a="1"/>
  <c r="F271" i="1" s="1"/>
  <c r="F996" i="1" a="1"/>
  <c r="F996" i="1" s="1"/>
  <c r="F1225" i="1" a="1"/>
  <c r="F1225" i="1" s="1"/>
  <c r="F695" i="1" a="1"/>
  <c r="F695" i="1" s="1"/>
  <c r="F791" i="1" a="1"/>
  <c r="F791" i="1" s="1"/>
  <c r="F1131" i="1" a="1"/>
  <c r="F1131" i="1" s="1"/>
  <c r="F1235" i="1" a="1"/>
  <c r="F1235" i="1"/>
  <c r="F1382" i="1" a="1"/>
  <c r="F1382" i="1" s="1"/>
  <c r="F3" i="1" a="1"/>
  <c r="F3" i="1" s="1"/>
  <c r="F1402" i="1" a="1"/>
  <c r="F1402" i="1" s="1"/>
  <c r="F384" i="1" a="1"/>
  <c r="F384" i="1" s="1"/>
  <c r="F1469" i="1" a="1"/>
  <c r="F1469" i="1" s="1"/>
  <c r="F1237" i="1" a="1"/>
  <c r="F1237" i="1" s="1"/>
  <c r="F365" i="1" a="1"/>
  <c r="F365" i="1" s="1"/>
  <c r="F835" i="1" a="1"/>
  <c r="F835" i="1"/>
  <c r="F1270" i="1" a="1"/>
  <c r="F1270" i="1" s="1"/>
  <c r="F1444" i="1" a="1"/>
  <c r="F1444" i="1" s="1"/>
  <c r="F504" i="1" a="1"/>
  <c r="F504" i="1" s="1"/>
  <c r="F520" i="1" a="1"/>
  <c r="F520" i="1"/>
  <c r="F881" i="1" a="1"/>
  <c r="F881" i="1" s="1"/>
  <c r="F445" i="1" a="1"/>
  <c r="F445" i="1" s="1"/>
  <c r="F936" i="1" a="1"/>
  <c r="F936" i="1" s="1"/>
  <c r="F75" i="1" a="1"/>
  <c r="F75" i="1" s="1"/>
  <c r="F102" i="1" a="1"/>
  <c r="F102" i="1"/>
  <c r="F1199" i="1" a="1"/>
  <c r="F1199" i="1" s="1"/>
  <c r="F1282" i="1" a="1"/>
  <c r="F1282" i="1" s="1"/>
  <c r="F486" i="1" a="1"/>
  <c r="F486" i="1" s="1"/>
  <c r="F56" i="1" a="1"/>
  <c r="F56" i="1" s="1"/>
  <c r="F58" i="1" a="1"/>
  <c r="F58" i="1" s="1"/>
  <c r="F38" i="1" a="1"/>
  <c r="F38" i="1" s="1"/>
  <c r="F1042" i="1" a="1"/>
  <c r="F1042" i="1" s="1"/>
  <c r="F990" i="1" a="1"/>
  <c r="F990" i="1" s="1"/>
  <c r="F901" i="1" a="1"/>
  <c r="F901" i="1" s="1"/>
  <c r="F29" i="1" a="1"/>
  <c r="F29" i="1" s="1"/>
  <c r="F1173" i="1" a="1"/>
  <c r="F1173" i="1" s="1"/>
  <c r="F768" i="1" a="1"/>
  <c r="F768" i="1" s="1"/>
  <c r="F1466" i="1" a="1"/>
  <c r="F1466" i="1" s="1"/>
  <c r="F648" i="1" a="1"/>
  <c r="F648" i="1" s="1"/>
  <c r="F617" i="1" a="1"/>
  <c r="F617" i="1"/>
  <c r="F1221" i="1" a="1"/>
  <c r="F1221" i="1" s="1"/>
  <c r="F1214" i="1" a="1"/>
  <c r="F1214" i="1" s="1"/>
  <c r="F187" i="1" a="1"/>
  <c r="F187" i="1" s="1"/>
  <c r="F523" i="1" a="1"/>
  <c r="F523" i="1" s="1"/>
  <c r="F471" i="1" a="1"/>
  <c r="F471" i="1" s="1"/>
  <c r="F1333" i="1" a="1"/>
  <c r="F1333" i="1" s="1"/>
  <c r="F1124" i="1" a="1"/>
  <c r="F1124" i="1"/>
  <c r="F1059" i="1" a="1"/>
  <c r="F1059" i="1" s="1"/>
  <c r="F1202" i="1" a="1"/>
  <c r="F1202" i="1" s="1"/>
  <c r="F136" i="1" a="1"/>
  <c r="F136" i="1" s="1"/>
  <c r="F1104" i="1" a="1"/>
  <c r="F1104" i="1" s="1"/>
  <c r="F671" i="1" a="1"/>
  <c r="F671" i="1" s="1"/>
  <c r="F534" i="1" a="1"/>
  <c r="F534" i="1" s="1"/>
  <c r="F995" i="1" a="1"/>
  <c r="F995" i="1" s="1"/>
  <c r="F736" i="1" a="1"/>
  <c r="F736" i="1" s="1"/>
  <c r="F1105" i="1" a="1"/>
  <c r="F1105" i="1" s="1"/>
  <c r="F666" i="1" a="1"/>
  <c r="F666" i="1" s="1"/>
  <c r="F455" i="1" a="1"/>
  <c r="F455" i="1" s="1"/>
  <c r="F435" i="1" a="1"/>
  <c r="F435" i="1" s="1"/>
  <c r="F938" i="1" a="1"/>
  <c r="F938" i="1" s="1"/>
  <c r="F108" i="1" a="1"/>
  <c r="F108" i="1" s="1"/>
  <c r="F185" i="1" a="1"/>
  <c r="F185" i="1" s="1"/>
  <c r="F1379" i="1" a="1"/>
  <c r="F1379" i="1" s="1"/>
  <c r="F385" i="1" a="1"/>
  <c r="F385" i="1" s="1"/>
  <c r="F542" i="1" a="1"/>
  <c r="F542" i="1"/>
  <c r="F283" i="1" a="1"/>
  <c r="F283" i="1" s="1"/>
  <c r="F186" i="1" a="1"/>
  <c r="F186" i="1" s="1"/>
  <c r="F1401" i="1" a="1"/>
  <c r="F1401" i="1" s="1"/>
  <c r="F1103" i="1" a="1"/>
  <c r="F1103" i="1" s="1"/>
  <c r="F1263" i="1" a="1"/>
  <c r="F1263" i="1" s="1"/>
  <c r="F1095" i="1" a="1"/>
  <c r="F1095" i="1"/>
  <c r="F153" i="1" a="1"/>
  <c r="F153" i="1" s="1"/>
  <c r="F333" i="1" a="1"/>
  <c r="F333" i="1" s="1"/>
  <c r="F190" i="1" a="1"/>
  <c r="F190" i="1" s="1"/>
  <c r="F146" i="1" a="1"/>
  <c r="F146" i="1" s="1"/>
  <c r="F1029" i="1" a="1"/>
  <c r="F1029" i="1" s="1"/>
  <c r="F407" i="1" a="1"/>
  <c r="F407" i="1" s="1"/>
  <c r="F79" i="1" a="1"/>
  <c r="F79" i="1" s="1"/>
  <c r="F1207" i="1" a="1"/>
  <c r="F1207" i="1" s="1"/>
  <c r="F1140" i="1" a="1"/>
  <c r="F1140" i="1" s="1"/>
  <c r="F1012" i="1" a="1"/>
  <c r="F1012" i="1" s="1"/>
  <c r="F1208" i="1" a="1"/>
  <c r="F1208" i="1" s="1"/>
  <c r="F45" i="1" a="1"/>
  <c r="F45" i="1" s="1"/>
  <c r="F16" i="1" a="1"/>
  <c r="F16" i="1" s="1"/>
  <c r="F1245" i="1" a="1"/>
  <c r="F1245" i="1" s="1"/>
  <c r="F899" i="1" a="1"/>
  <c r="F899" i="1" s="1"/>
  <c r="F57" i="1" a="1"/>
  <c r="F57" i="1"/>
  <c r="F508" i="1" a="1"/>
  <c r="F508" i="1"/>
  <c r="F690" i="1" a="1"/>
  <c r="F690" i="1" s="1"/>
  <c r="F591" i="1" a="1"/>
  <c r="F591" i="1" s="1"/>
  <c r="F338" i="1" a="1"/>
  <c r="F338" i="1" s="1"/>
  <c r="F13" i="1" a="1"/>
  <c r="F13" i="1" s="1"/>
  <c r="F834" i="1" a="1"/>
  <c r="F834" i="1"/>
  <c r="F402" i="1" a="1"/>
  <c r="F402" i="1" s="1"/>
  <c r="F512" i="1" a="1"/>
  <c r="F512" i="1" s="1"/>
  <c r="F1292" i="1" a="1"/>
  <c r="F1292" i="1"/>
  <c r="F732" i="1" a="1"/>
  <c r="F732" i="1" s="1"/>
  <c r="F743" i="1" a="1"/>
  <c r="F743" i="1" s="1"/>
  <c r="F142" i="1" a="1"/>
  <c r="F142" i="1" s="1"/>
  <c r="F1305" i="1" a="1"/>
  <c r="F1305" i="1" s="1"/>
  <c r="F644" i="1" a="1"/>
  <c r="F644" i="1" s="1"/>
  <c r="F430" i="1" a="1"/>
  <c r="F430" i="1" s="1"/>
  <c r="F571" i="1" a="1"/>
  <c r="F571" i="1" s="1"/>
  <c r="F1174" i="1" a="1"/>
  <c r="F1174" i="1" s="1"/>
  <c r="F149" i="1" a="1"/>
  <c r="F149" i="1"/>
  <c r="F487" i="1" a="1"/>
  <c r="F487" i="1" s="1"/>
  <c r="F1204" i="1" a="1"/>
  <c r="F1204" i="1" s="1"/>
  <c r="F111" i="1" a="1"/>
  <c r="F111" i="1" s="1"/>
  <c r="F1317" i="1" a="1"/>
  <c r="F1317" i="1" s="1"/>
  <c r="F730" i="1" a="1"/>
  <c r="F730" i="1" s="1"/>
  <c r="F240" i="1" a="1"/>
  <c r="F240" i="1" s="1"/>
  <c r="F406" i="1" a="1"/>
  <c r="F406" i="1"/>
  <c r="F1308" i="1" a="1"/>
  <c r="F1308" i="1" s="1"/>
  <c r="F1278" i="1" a="1"/>
  <c r="F1278" i="1" s="1"/>
  <c r="F304" i="1" a="1"/>
  <c r="F304" i="1" s="1"/>
  <c r="F1096" i="1" a="1"/>
  <c r="F1096" i="1" s="1"/>
  <c r="F500" i="1" a="1"/>
  <c r="F500" i="1"/>
  <c r="F54" i="1" a="1"/>
  <c r="F54" i="1" s="1"/>
  <c r="F598" i="1" a="1"/>
  <c r="F598" i="1" s="1"/>
  <c r="F982" i="1" a="1"/>
  <c r="F982" i="1" s="1"/>
  <c r="F681" i="1" a="1"/>
  <c r="F681" i="1" s="1"/>
  <c r="F837" i="1" a="1"/>
  <c r="F837" i="1" s="1"/>
  <c r="F949" i="1" a="1"/>
  <c r="F949" i="1" s="1"/>
  <c r="F139" i="1" a="1"/>
  <c r="F139" i="1" s="1"/>
  <c r="F906" i="1" a="1"/>
  <c r="F906" i="1"/>
  <c r="F1024" i="1" a="1"/>
  <c r="F1024" i="1" s="1"/>
  <c r="F604" i="1" a="1"/>
  <c r="F604" i="1" s="1"/>
  <c r="F1210" i="1" a="1"/>
  <c r="F1210" i="1" s="1"/>
  <c r="F622" i="1" a="1"/>
  <c r="F622" i="1"/>
  <c r="F312" i="1" a="1"/>
  <c r="F312" i="1" s="1"/>
  <c r="F657" i="1" a="1"/>
  <c r="F657" i="1" s="1"/>
  <c r="F1505" i="1" a="1"/>
  <c r="F1505" i="1" s="1"/>
  <c r="F475" i="1" a="1"/>
  <c r="F475" i="1" s="1"/>
  <c r="F452" i="1" a="1"/>
  <c r="F452" i="1" s="1"/>
  <c r="F59" i="1" a="1"/>
  <c r="F59" i="1" s="1"/>
  <c r="F721" i="1" a="1"/>
  <c r="F721" i="1"/>
  <c r="F960" i="1" a="1"/>
  <c r="F960" i="1"/>
  <c r="F1126" i="1" a="1"/>
  <c r="F1126" i="1" s="1"/>
  <c r="F1251" i="1" a="1"/>
  <c r="F1251" i="1" s="1"/>
  <c r="F605" i="1" a="1"/>
  <c r="F605" i="1" s="1"/>
  <c r="F211" i="1" a="1"/>
  <c r="F211" i="1" s="1"/>
  <c r="F1145" i="1" a="1"/>
  <c r="F1145" i="1" s="1"/>
  <c r="F783" i="1" a="1"/>
  <c r="F783" i="1"/>
  <c r="F1492" i="1" a="1"/>
  <c r="F1492" i="1" s="1"/>
  <c r="F1484" i="1" a="1"/>
  <c r="F1484" i="1" s="1"/>
  <c r="F579" i="1" a="1"/>
  <c r="F579" i="1" s="1"/>
  <c r="F9" i="1" a="1"/>
  <c r="F9" i="1" s="1"/>
  <c r="F961" i="1" a="1"/>
  <c r="F961" i="1"/>
  <c r="F61" i="1" a="1"/>
  <c r="F61" i="1" s="1"/>
  <c r="F975" i="1" a="1"/>
  <c r="F975" i="1" s="1"/>
  <c r="F724" i="1" a="1"/>
  <c r="F724" i="1" s="1"/>
  <c r="F1435" i="1" a="1"/>
  <c r="F1435" i="1"/>
  <c r="F700" i="1" a="1"/>
  <c r="F700" i="1" s="1"/>
  <c r="F262" i="1" a="1"/>
  <c r="F262" i="1" s="1"/>
  <c r="F1376" i="1" a="1"/>
  <c r="F1376" i="1" s="1"/>
  <c r="F1128" i="1" a="1"/>
  <c r="F1128" i="1" s="1"/>
  <c r="F1118" i="1" a="1"/>
  <c r="F1118" i="1" s="1"/>
  <c r="F1417" i="1" a="1"/>
  <c r="F1417" i="1" s="1"/>
  <c r="F702" i="1" a="1"/>
  <c r="F702" i="1"/>
  <c r="F1238" i="1" a="1"/>
  <c r="F1238" i="1" s="1"/>
  <c r="F1268" i="1" a="1"/>
  <c r="F1268" i="1" s="1"/>
  <c r="F1413" i="1" a="1"/>
  <c r="F1413" i="1" s="1"/>
  <c r="F101" i="1" a="1"/>
  <c r="F101" i="1"/>
  <c r="F100" i="1" a="1"/>
  <c r="F100" i="1" s="1"/>
  <c r="F119" i="1" a="1"/>
  <c r="F119" i="1" s="1"/>
  <c r="F285" i="1" a="1"/>
  <c r="F285" i="1" s="1"/>
  <c r="F505" i="1" a="1"/>
  <c r="F505" i="1" s="1"/>
  <c r="F1119" i="1" a="1"/>
  <c r="F1119" i="1" s="1"/>
  <c r="F851" i="1" a="1"/>
  <c r="F851" i="1" s="1"/>
  <c r="F325" i="1" a="1"/>
  <c r="F325" i="1" s="1"/>
  <c r="F1037" i="1" a="1"/>
  <c r="F1037" i="1" s="1"/>
  <c r="F1162" i="1" a="1"/>
  <c r="F1162" i="1" s="1"/>
  <c r="F586" i="1" a="1"/>
  <c r="F586" i="1" s="1"/>
  <c r="F439" i="1" a="1"/>
  <c r="F439" i="1" s="1"/>
  <c r="F440" i="1" a="1"/>
  <c r="F440" i="1" s="1"/>
  <c r="F934" i="1" a="1"/>
  <c r="F934" i="1" s="1"/>
  <c r="F1152" i="1" a="1"/>
  <c r="F1152" i="1" s="1"/>
  <c r="F495" i="1" a="1"/>
  <c r="F495" i="1" s="1"/>
  <c r="F141" i="1" a="1"/>
  <c r="F141" i="1" s="1"/>
  <c r="F212" i="1" a="1"/>
  <c r="F212" i="1" s="1"/>
  <c r="F554" i="1" a="1"/>
  <c r="F554" i="1" s="1"/>
  <c r="F68" i="1" a="1"/>
  <c r="F68" i="1" s="1"/>
  <c r="F1271" i="1" a="1"/>
  <c r="F1271" i="1" s="1"/>
  <c r="F831" i="1" a="1"/>
  <c r="F831" i="1"/>
  <c r="F1074" i="1" a="1"/>
  <c r="F1074" i="1" s="1"/>
  <c r="F193" i="1" a="1"/>
  <c r="F193" i="1" s="1"/>
  <c r="F1195" i="1" a="1"/>
  <c r="F1195" i="1" s="1"/>
  <c r="F447" i="1" a="1"/>
  <c r="F447" i="1" s="1"/>
  <c r="F647" i="1" a="1"/>
  <c r="F647" i="1" s="1"/>
  <c r="F979" i="1" a="1"/>
  <c r="F979" i="1" s="1"/>
  <c r="F99" i="1" a="1"/>
  <c r="F99" i="1" s="1"/>
  <c r="F658" i="1" a="1"/>
  <c r="F658" i="1"/>
  <c r="F1368" i="1" a="1"/>
  <c r="F1368" i="1" s="1"/>
  <c r="F47" i="1" a="1"/>
  <c r="F47" i="1" s="1"/>
  <c r="F353" i="1" a="1"/>
  <c r="F353" i="1" s="1"/>
  <c r="F467" i="1" a="1"/>
  <c r="F467" i="1" s="1"/>
  <c r="F225" i="1" a="1"/>
  <c r="F225" i="1" s="1"/>
  <c r="F889" i="1" a="1"/>
  <c r="F889" i="1" s="1"/>
  <c r="F602" i="1" a="1"/>
  <c r="F602" i="1" s="1"/>
  <c r="F909" i="1" a="1"/>
  <c r="F909" i="1" s="1"/>
  <c r="F478" i="1" a="1"/>
  <c r="F478" i="1"/>
  <c r="F1133" i="1" a="1"/>
  <c r="F1133" i="1" s="1"/>
  <c r="F1205" i="1" a="1"/>
  <c r="F1205" i="1" s="1"/>
  <c r="F824" i="1" a="1"/>
  <c r="F824" i="1"/>
  <c r="F492" i="1" a="1"/>
  <c r="F492" i="1" s="1"/>
  <c r="F1130" i="1" a="1"/>
  <c r="F1130" i="1" s="1"/>
  <c r="F886" i="1" a="1"/>
  <c r="F886" i="1" s="1"/>
  <c r="F1265" i="1" a="1"/>
  <c r="F1265" i="1" s="1"/>
  <c r="F781" i="1" a="1"/>
  <c r="F781" i="1" s="1"/>
  <c r="F1487" i="1" a="1"/>
  <c r="F1487" i="1" s="1"/>
  <c r="F1476" i="1" a="1"/>
  <c r="F1476" i="1" s="1"/>
  <c r="F1248" i="1" a="1"/>
  <c r="F1248" i="1" s="1"/>
  <c r="F5" i="1" a="1"/>
  <c r="F5" i="1" s="1"/>
  <c r="F1396" i="1" a="1"/>
  <c r="F1396" i="1" s="1"/>
  <c r="F64" i="1" a="1"/>
  <c r="F64" i="1" s="1"/>
  <c r="F1327" i="1" a="1"/>
  <c r="F1327" i="1"/>
  <c r="F1046" i="1" a="1"/>
  <c r="F1046" i="1" s="1"/>
  <c r="F1457" i="1" a="1"/>
  <c r="F1457" i="1" s="1"/>
  <c r="F465" i="1" a="1"/>
  <c r="F465" i="1" s="1"/>
  <c r="F1475" i="1" a="1"/>
  <c r="F1475" i="1" s="1"/>
  <c r="F499" i="1" a="1"/>
  <c r="F499" i="1" s="1"/>
  <c r="F1076" i="1" a="1"/>
  <c r="F1076" i="1" s="1"/>
  <c r="F1385" i="1" a="1"/>
  <c r="F1385" i="1" s="1"/>
  <c r="F33" i="1" a="1"/>
  <c r="F33" i="1" s="1"/>
  <c r="F252" i="1" a="1"/>
  <c r="F252" i="1" s="1"/>
  <c r="F1361" i="1" a="1"/>
  <c r="F1361" i="1" s="1"/>
  <c r="F383" i="1" a="1"/>
  <c r="F383" i="1" s="1"/>
  <c r="F808" i="1" a="1"/>
  <c r="F808" i="1" s="1"/>
  <c r="F1309" i="1" a="1"/>
  <c r="F1309" i="1" s="1"/>
  <c r="F528" i="1" a="1"/>
  <c r="F528" i="1" s="1"/>
  <c r="F1230" i="1" a="1"/>
  <c r="F1230" i="1" s="1"/>
  <c r="F237" i="1" a="1"/>
  <c r="F237" i="1" s="1"/>
  <c r="F1481" i="1" a="1"/>
  <c r="F1481" i="1" s="1"/>
  <c r="F394" i="1" a="1"/>
  <c r="F394" i="1" s="1"/>
  <c r="F662" i="1" a="1"/>
  <c r="F662" i="1" s="1"/>
  <c r="F147" i="1" a="1"/>
  <c r="F147" i="1" s="1"/>
  <c r="F264" i="1" a="1"/>
  <c r="F264" i="1" s="1"/>
  <c r="F660" i="1" a="1"/>
  <c r="F660" i="1" s="1"/>
  <c r="F838" i="1" a="1"/>
  <c r="F838" i="1" s="1"/>
  <c r="F83" i="1" a="1"/>
  <c r="F83" i="1" s="1"/>
  <c r="F785" i="1" a="1"/>
  <c r="F785" i="1" s="1"/>
  <c r="F664" i="1" a="1"/>
  <c r="F664" i="1" s="1"/>
  <c r="F862" i="1" a="1"/>
  <c r="F862" i="1" s="1"/>
  <c r="F335" i="1" a="1"/>
  <c r="F335" i="1" s="1"/>
  <c r="F1193" i="1" a="1"/>
  <c r="F1193" i="1" s="1"/>
  <c r="F370" i="1" a="1"/>
  <c r="F370" i="1" s="1"/>
  <c r="F978" i="1" a="1"/>
  <c r="F978" i="1" s="1"/>
  <c r="F964" i="1" a="1"/>
  <c r="F964" i="1" s="1"/>
  <c r="F129" i="1" a="1"/>
  <c r="F129" i="1" s="1"/>
  <c r="F194" i="1" a="1"/>
  <c r="F194" i="1" s="1"/>
  <c r="F91" i="1" a="1"/>
  <c r="F91" i="1" s="1"/>
  <c r="F156" i="1" a="1"/>
  <c r="F156" i="1" s="1"/>
  <c r="F1284" i="1" a="1"/>
  <c r="F1284" i="1" s="1"/>
  <c r="F207" i="1" a="1"/>
  <c r="F207" i="1" s="1"/>
  <c r="F127" i="1" a="1"/>
  <c r="F127" i="1" s="1"/>
  <c r="F1306" i="1" a="1"/>
  <c r="F1306" i="1" s="1"/>
  <c r="F316" i="1" a="1"/>
  <c r="F316" i="1"/>
  <c r="F179" i="1" a="1"/>
  <c r="F179" i="1" s="1"/>
  <c r="F1062" i="1" a="1"/>
  <c r="F1062" i="1" s="1"/>
  <c r="F15" i="1" a="1"/>
  <c r="F15" i="1" s="1"/>
  <c r="F775" i="1" a="1"/>
  <c r="F775" i="1" s="1"/>
  <c r="F1147" i="1" a="1"/>
  <c r="F1147" i="1" s="1"/>
  <c r="F506" i="1" a="1"/>
  <c r="F506" i="1" s="1"/>
  <c r="F678" i="1" a="1"/>
  <c r="F678" i="1" s="1"/>
  <c r="F722" i="1" a="1"/>
  <c r="F722" i="1"/>
  <c r="F87" i="1" a="1"/>
  <c r="F87" i="1" s="1"/>
  <c r="F727" i="1" a="1"/>
  <c r="F727" i="1" s="1"/>
  <c r="F184" i="1" a="1"/>
  <c r="F184" i="1" s="1"/>
  <c r="F352" i="1" a="1"/>
  <c r="F352" i="1" s="1"/>
  <c r="F1132" i="1" a="1"/>
  <c r="F1132" i="1" s="1"/>
  <c r="F423" i="1" a="1"/>
  <c r="F423" i="1"/>
  <c r="F89" i="1" a="1"/>
  <c r="F89" i="1" s="1"/>
  <c r="F788" i="1" a="1"/>
  <c r="F788" i="1" s="1"/>
  <c r="F1493" i="1" a="1"/>
  <c r="F1493" i="1" s="1"/>
  <c r="F463" i="1" a="1"/>
  <c r="F463" i="1" s="1"/>
  <c r="F86" i="1" a="1"/>
  <c r="F86" i="1" s="1"/>
  <c r="F1406" i="1" a="1"/>
  <c r="F1406" i="1"/>
  <c r="F1159" i="1" a="1"/>
  <c r="F1159" i="1" s="1"/>
  <c r="F1087" i="1" a="1"/>
  <c r="F1087" i="1" s="1"/>
  <c r="F1488" i="1" a="1"/>
  <c r="F1488" i="1" s="1"/>
  <c r="F1212" i="1" a="1"/>
  <c r="F1212" i="1" s="1"/>
  <c r="F600" i="1" a="1"/>
  <c r="F600" i="1" s="1"/>
  <c r="F593" i="1" a="1"/>
  <c r="F593" i="1" s="1"/>
  <c r="F878" i="1" a="1"/>
  <c r="F878" i="1" s="1"/>
  <c r="F1441" i="1" a="1"/>
  <c r="F1441" i="1" s="1"/>
  <c r="F1400" i="1" a="1"/>
  <c r="F1400" i="1" s="1"/>
  <c r="F670" i="1" a="1"/>
  <c r="F670" i="1"/>
  <c r="F485" i="1" a="1"/>
  <c r="F485" i="1"/>
  <c r="F867" i="1" a="1"/>
  <c r="F867" i="1" s="1"/>
  <c r="F629" i="1" a="1"/>
  <c r="F629" i="1" s="1"/>
  <c r="F842" i="1" a="1"/>
  <c r="F842" i="1" s="1"/>
  <c r="F1052" i="1" a="1"/>
  <c r="F1052" i="1" s="1"/>
  <c r="F208" i="1" a="1"/>
  <c r="F208" i="1" s="1"/>
  <c r="F968" i="1" a="1"/>
  <c r="F968" i="1" s="1"/>
  <c r="F976" i="1" a="1"/>
  <c r="F976" i="1" s="1"/>
  <c r="F932" i="1" a="1"/>
  <c r="F932" i="1" s="1"/>
  <c r="F444" i="1" a="1"/>
  <c r="F444" i="1"/>
  <c r="F85" i="1" a="1"/>
  <c r="F85" i="1" s="1"/>
  <c r="F53" i="1" a="1"/>
  <c r="F53" i="1" s="1"/>
  <c r="F288" i="1" a="1"/>
  <c r="F288" i="1" s="1"/>
  <c r="F1164" i="1" a="1"/>
  <c r="F1164" i="1" s="1"/>
  <c r="F1321" i="1" a="1"/>
  <c r="F1321" i="1" s="1"/>
  <c r="F1299" i="1" a="1"/>
  <c r="F1299" i="1" s="1"/>
  <c r="F999" i="1" a="1"/>
  <c r="F999" i="1" s="1"/>
  <c r="F1412" i="1" a="1"/>
  <c r="F1412" i="1" s="1"/>
  <c r="F1035" i="1" a="1"/>
  <c r="F1035" i="1" s="1"/>
  <c r="F933" i="1" a="1"/>
  <c r="F933" i="1" s="1"/>
  <c r="F315" i="1" a="1"/>
  <c r="F315" i="1" s="1"/>
  <c r="F1369" i="1" a="1"/>
  <c r="F1369" i="1" s="1"/>
  <c r="F774" i="1" a="1"/>
  <c r="F774" i="1" s="1"/>
  <c r="F746" i="1" a="1"/>
  <c r="F746" i="1"/>
  <c r="F829" i="1" a="1"/>
  <c r="F829" i="1" s="1"/>
  <c r="F476" i="1" a="1"/>
  <c r="F476" i="1" s="1"/>
  <c r="F1136" i="1" a="1"/>
  <c r="F1136" i="1" s="1"/>
  <c r="F1463" i="1" a="1"/>
  <c r="F1463" i="1" s="1"/>
  <c r="F1431" i="1" a="1"/>
  <c r="F1431" i="1" s="1"/>
  <c r="F41" i="1" a="1"/>
  <c r="F41" i="1"/>
  <c r="F372" i="1" a="1"/>
  <c r="F372" i="1" s="1"/>
  <c r="F1297" i="1" a="1"/>
  <c r="F1297" i="1" s="1"/>
  <c r="F955" i="1" a="1"/>
  <c r="F955" i="1" s="1"/>
  <c r="F912" i="1" a="1"/>
  <c r="F912" i="1" s="1"/>
  <c r="F613" i="1" a="1"/>
  <c r="F613" i="1" s="1"/>
  <c r="F1228" i="1" a="1"/>
  <c r="F1228" i="1"/>
  <c r="F541" i="1" a="1"/>
  <c r="F541" i="1" s="1"/>
  <c r="F219" i="1" a="1"/>
  <c r="F219" i="1" s="1"/>
  <c r="F778" i="1" a="1"/>
  <c r="F778" i="1" s="1"/>
  <c r="F1397" i="1" a="1"/>
  <c r="F1397" i="1" s="1"/>
  <c r="F441" i="1" a="1"/>
  <c r="F441" i="1" s="1"/>
  <c r="F1027" i="1" a="1"/>
  <c r="F1027" i="1" s="1"/>
  <c r="F1311" i="1" a="1"/>
  <c r="F1311" i="1" s="1"/>
  <c r="F821" i="1" a="1"/>
  <c r="F821" i="1" s="1"/>
  <c r="F332" i="1" a="1"/>
  <c r="F332" i="1" s="1"/>
  <c r="F126" i="1" a="1"/>
  <c r="F126" i="1" s="1"/>
  <c r="F639" i="1" a="1"/>
  <c r="F639" i="1" s="1"/>
  <c r="F373" i="1" a="1"/>
  <c r="F373" i="1" s="1"/>
  <c r="F300" i="1" a="1"/>
  <c r="F300" i="1" s="1"/>
  <c r="F1378" i="1" a="1"/>
  <c r="F1378" i="1" s="1"/>
  <c r="F425" i="1" a="1"/>
  <c r="F425" i="1"/>
  <c r="F257" i="1" a="1"/>
  <c r="F257" i="1" s="1"/>
  <c r="F773" i="1" a="1"/>
  <c r="F773" i="1" s="1"/>
  <c r="F382" i="1" a="1"/>
  <c r="F382" i="1" s="1"/>
  <c r="F349" i="1" a="1"/>
  <c r="F349" i="1" s="1"/>
  <c r="F573" i="1" a="1"/>
  <c r="F573" i="1" s="1"/>
  <c r="F132" i="1" a="1"/>
  <c r="F132" i="1" s="1"/>
  <c r="F74" i="1" a="1"/>
  <c r="F74" i="1" s="1"/>
  <c r="F374" i="1" a="1"/>
  <c r="F374" i="1" s="1"/>
  <c r="F1354" i="1" a="1"/>
  <c r="F1354" i="1" s="1"/>
  <c r="F299" i="1" a="1"/>
  <c r="F299" i="1" s="1"/>
  <c r="F140" i="1" a="1"/>
  <c r="F140" i="1" s="1"/>
  <c r="F1112" i="1" a="1"/>
  <c r="F1112" i="1" s="1"/>
  <c r="F387" i="1" a="1"/>
  <c r="F387" i="1" s="1"/>
  <c r="F930" i="1" a="1"/>
  <c r="F930" i="1" s="1"/>
  <c r="F1022" i="1" a="1"/>
  <c r="F1022" i="1" s="1"/>
  <c r="F903" i="1" a="1"/>
  <c r="F903" i="1" s="1"/>
  <c r="F1390" i="1" a="1"/>
  <c r="F1390" i="1" s="1"/>
  <c r="F1398" i="1" a="1"/>
  <c r="F1398" i="1" s="1"/>
  <c r="F393" i="1" a="1"/>
  <c r="F393" i="1" s="1"/>
  <c r="F527" i="1" a="1"/>
  <c r="F527" i="1" s="1"/>
  <c r="F1036" i="1" a="1"/>
  <c r="F1036" i="1"/>
  <c r="F161" i="1" a="1"/>
  <c r="F161" i="1" s="1"/>
  <c r="F751" i="1" a="1"/>
  <c r="F751" i="1" s="1"/>
  <c r="F427" i="1" a="1"/>
  <c r="F427" i="1" s="1"/>
  <c r="F557" i="1" a="1"/>
  <c r="F557" i="1" s="1"/>
  <c r="F1007" i="1" a="1"/>
  <c r="F1007" i="1" s="1"/>
  <c r="F1338" i="1" a="1"/>
  <c r="F1338" i="1" s="1"/>
  <c r="F1503" i="1" a="1"/>
  <c r="F1503" i="1"/>
  <c r="F1129" i="1" a="1"/>
  <c r="F1129" i="1" s="1"/>
  <c r="F1254" i="1" a="1"/>
  <c r="F1254" i="1" s="1"/>
  <c r="F997" i="1" a="1"/>
  <c r="F997" i="1" s="1"/>
  <c r="F514" i="1" a="1"/>
  <c r="F514" i="1"/>
  <c r="F1281" i="1" a="1"/>
  <c r="F1281" i="1" s="1"/>
  <c r="F1437" i="1" a="1"/>
  <c r="F1437" i="1" s="1"/>
  <c r="F735" i="1" a="1"/>
  <c r="F735" i="1" s="1"/>
  <c r="F1055" i="1" a="1"/>
  <c r="F1055" i="1" s="1"/>
  <c r="F796" i="1" a="1"/>
  <c r="F796" i="1" s="1"/>
  <c r="F215" i="1" a="1"/>
  <c r="F215" i="1" s="1"/>
  <c r="F661" i="1" a="1"/>
  <c r="F661" i="1" s="1"/>
  <c r="F1176" i="1" a="1"/>
  <c r="F1176" i="1" s="1"/>
  <c r="F1045" i="1" a="1"/>
  <c r="F1045" i="1" s="1"/>
  <c r="F653" i="1" a="1"/>
  <c r="F653" i="1" s="1"/>
  <c r="F958" i="1" a="1"/>
  <c r="F958" i="1" s="1"/>
  <c r="F859" i="1" a="1"/>
  <c r="F859" i="1" s="1"/>
  <c r="F1218" i="1" a="1"/>
  <c r="F1218" i="1" s="1"/>
  <c r="F458" i="1" a="1"/>
  <c r="F458" i="1" s="1"/>
  <c r="F1050" i="1" a="1"/>
  <c r="F1050" i="1" s="1"/>
  <c r="F714" i="1" a="1"/>
  <c r="F714" i="1" s="1"/>
  <c r="F830" i="1" a="1"/>
  <c r="F830" i="1"/>
  <c r="F820" i="1" a="1"/>
  <c r="F820" i="1" s="1"/>
  <c r="F625" i="1" a="1"/>
  <c r="F625" i="1" s="1"/>
  <c r="F331" i="1" a="1"/>
  <c r="F331" i="1" s="1"/>
  <c r="F765" i="1" a="1"/>
  <c r="F765" i="1" s="1"/>
  <c r="F1261" i="1" a="1"/>
  <c r="F1261" i="1" s="1"/>
  <c r="F223" i="1" a="1"/>
  <c r="F223" i="1" s="1"/>
  <c r="F570" i="1" a="1"/>
  <c r="F570" i="1" s="1"/>
  <c r="F419" i="1" a="1"/>
  <c r="F419" i="1" s="1"/>
  <c r="F307" i="1" a="1"/>
  <c r="F307" i="1" s="1"/>
  <c r="F324" i="1" a="1"/>
  <c r="F324" i="1" s="1"/>
  <c r="F748" i="1" a="1"/>
  <c r="F748" i="1" s="1"/>
  <c r="F428" i="1" a="1"/>
  <c r="F428" i="1" s="1"/>
  <c r="F1031" i="1" a="1"/>
  <c r="F1031" i="1" s="1"/>
  <c r="F684" i="1" a="1"/>
  <c r="F684" i="1" s="1"/>
  <c r="F1082" i="1" a="1"/>
  <c r="F1082" i="1"/>
  <c r="F1372" i="1" a="1"/>
  <c r="F1372" i="1" s="1"/>
  <c r="F1209" i="1" a="1"/>
  <c r="F1209" i="1" s="1"/>
  <c r="F869" i="1" a="1"/>
  <c r="F869" i="1" s="1"/>
  <c r="F311" i="1" a="1"/>
  <c r="F311" i="1" s="1"/>
  <c r="F621" i="1" a="1"/>
  <c r="F621" i="1" s="1"/>
  <c r="F887" i="1" a="1"/>
  <c r="F887" i="1" s="1"/>
  <c r="F436" i="1" a="1"/>
  <c r="F436" i="1" s="1"/>
  <c r="F1079" i="1" a="1"/>
  <c r="F1079" i="1" s="1"/>
  <c r="F911" i="1" a="1"/>
  <c r="F911" i="1" s="1"/>
  <c r="F241" i="1" a="1"/>
  <c r="F241" i="1" s="1"/>
  <c r="F810" i="1" a="1"/>
  <c r="F810" i="1" s="1"/>
  <c r="F713" i="1" a="1"/>
  <c r="F713" i="1" s="1"/>
  <c r="F792" i="1" a="1"/>
  <c r="F792" i="1" s="1"/>
  <c r="F6" i="1" a="1"/>
  <c r="F6" i="1" s="1"/>
  <c r="F966" i="1" a="1"/>
  <c r="F966" i="1" s="1"/>
  <c r="F624" i="1" a="1"/>
  <c r="F624" i="1" s="1"/>
  <c r="F694" i="1" a="1"/>
  <c r="F694" i="1" s="1"/>
  <c r="F1229" i="1" a="1"/>
  <c r="F1229" i="1" s="1"/>
  <c r="F738" i="1" a="1"/>
  <c r="F738" i="1" s="1"/>
  <c r="F1459" i="1" a="1"/>
  <c r="F1459" i="1" s="1"/>
  <c r="F104" i="1" a="1"/>
  <c r="F104" i="1"/>
  <c r="F744" i="1" a="1"/>
  <c r="F744" i="1" s="1"/>
  <c r="F81" i="1" a="1"/>
  <c r="F81" i="1" s="1"/>
  <c r="F1439" i="1" a="1"/>
  <c r="F1439" i="1" s="1"/>
  <c r="F1424" i="1" a="1"/>
  <c r="F1424" i="1" s="1"/>
  <c r="F1134" i="1" a="1"/>
  <c r="F1134" i="1" s="1"/>
  <c r="F1358" i="1" a="1"/>
  <c r="F1358" i="1" s="1"/>
  <c r="F825" i="1" a="1"/>
  <c r="F825" i="1"/>
  <c r="F218" i="1" a="1"/>
  <c r="F218" i="1" s="1"/>
  <c r="F1196" i="1" a="1"/>
  <c r="F1196" i="1" s="1"/>
  <c r="F1020" i="1" a="1"/>
  <c r="F1020" i="1" s="1"/>
  <c r="F718" i="1" a="1"/>
  <c r="F718" i="1" s="1"/>
  <c r="F701" i="1" a="1"/>
  <c r="F701" i="1" s="1"/>
  <c r="F710" i="1" a="1"/>
  <c r="F710" i="1" s="1"/>
  <c r="F927" i="1" a="1"/>
  <c r="F927" i="1" s="1"/>
  <c r="F62" i="1" a="1"/>
  <c r="F62" i="1" s="1"/>
  <c r="F597" i="1" a="1"/>
  <c r="F597" i="1"/>
  <c r="F1392" i="1" a="1"/>
  <c r="F1392" i="1" s="1"/>
  <c r="F1429" i="1" a="1"/>
  <c r="F1429" i="1" s="1"/>
  <c r="F381" i="1" a="1"/>
  <c r="F381" i="1" s="1"/>
  <c r="F1030" i="1" a="1"/>
  <c r="F1030" i="1" s="1"/>
  <c r="F935" i="1" a="1"/>
  <c r="F935" i="1" s="1"/>
  <c r="F347" i="1" a="1"/>
  <c r="F347" i="1" s="1"/>
  <c r="F908" i="1" a="1"/>
  <c r="F908" i="1"/>
  <c r="F674" i="1" a="1"/>
  <c r="F674" i="1" s="1"/>
  <c r="F1295" i="1" a="1"/>
  <c r="F1295" i="1" s="1"/>
  <c r="F1170" i="1" a="1"/>
  <c r="F1170" i="1" s="1"/>
  <c r="F160" i="1" a="1"/>
  <c r="F160" i="1"/>
  <c r="F39" i="1" a="1"/>
  <c r="F39" i="1" s="1"/>
  <c r="F1185" i="1" a="1"/>
  <c r="F1185" i="1" s="1"/>
  <c r="F805" i="1" a="1"/>
  <c r="F805" i="1" s="1"/>
  <c r="F226" i="1" a="1"/>
  <c r="F226" i="1" s="1"/>
  <c r="F1002" i="1" a="1"/>
  <c r="F1002" i="1" s="1"/>
  <c r="F228" i="1" a="1"/>
  <c r="F228" i="1" s="1"/>
  <c r="F1023" i="1" a="1"/>
  <c r="F1023" i="1" s="1"/>
  <c r="F246" i="1" a="1"/>
  <c r="F246" i="1" s="1"/>
  <c r="F1158" i="1" a="1"/>
  <c r="F1158" i="1" s="1"/>
  <c r="F762" i="1" a="1"/>
  <c r="F762" i="1" s="1"/>
  <c r="F1328" i="1" a="1"/>
  <c r="F1328" i="1" s="1"/>
  <c r="F1371" i="1" a="1"/>
  <c r="F1371" i="1" s="1"/>
  <c r="F339" i="1" a="1"/>
  <c r="F339" i="1" s="1"/>
  <c r="F1360" i="1" a="1"/>
  <c r="F1360" i="1" s="1"/>
  <c r="F461" i="1" a="1"/>
  <c r="F461" i="1"/>
  <c r="F1477" i="1" a="1"/>
  <c r="F1477" i="1" s="1"/>
  <c r="F1404" i="1" a="1"/>
  <c r="F1404" i="1" s="1"/>
  <c r="F562" i="1" a="1"/>
  <c r="F562" i="1" s="1"/>
  <c r="F1264" i="1" a="1"/>
  <c r="F1264" i="1"/>
  <c r="F28" i="1" a="1"/>
  <c r="F28" i="1"/>
  <c r="F953" i="1" a="1"/>
  <c r="F953" i="1" s="1"/>
  <c r="F649" i="1" a="1"/>
  <c r="F649" i="1" s="1"/>
  <c r="F1341" i="1" a="1"/>
  <c r="F1341" i="1" s="1"/>
  <c r="F1200" i="1" a="1"/>
  <c r="F1200" i="1"/>
  <c r="F971" i="1" a="1"/>
  <c r="F971" i="1" s="1"/>
  <c r="F1065" i="1" a="1"/>
  <c r="F1065" i="1" s="1"/>
  <c r="F712" i="1" a="1"/>
  <c r="F712" i="1" s="1"/>
  <c r="F292" i="1" a="1"/>
  <c r="F292" i="1"/>
  <c r="F991" i="1" a="1"/>
  <c r="F991" i="1" s="1"/>
  <c r="F907" i="1" a="1"/>
  <c r="F907" i="1" s="1"/>
  <c r="F866" i="1" a="1"/>
  <c r="F866" i="1"/>
  <c r="F650" i="1" a="1"/>
  <c r="F650" i="1" s="1"/>
  <c r="F336" i="1" a="1"/>
  <c r="F336" i="1" s="1"/>
  <c r="F409" i="1" a="1"/>
  <c r="F409" i="1"/>
  <c r="F238" i="1" a="1"/>
  <c r="F238" i="1" s="1"/>
  <c r="F416" i="1" a="1"/>
  <c r="F416" i="1" s="1"/>
  <c r="F782" i="1" a="1"/>
  <c r="F782" i="1" s="1"/>
  <c r="F7" i="1" a="1"/>
  <c r="F7" i="1" s="1"/>
  <c r="F558" i="1" a="1"/>
  <c r="F558" i="1" s="1"/>
  <c r="F1066" i="1" a="1"/>
  <c r="F1066" i="1" s="1"/>
  <c r="F25" i="1" a="1"/>
  <c r="F25" i="1" s="1"/>
  <c r="F615" i="1" a="1"/>
  <c r="F615" i="1" s="1"/>
  <c r="F789" i="1" a="1"/>
  <c r="F789" i="1" s="1"/>
  <c r="F275" i="1" a="1"/>
  <c r="F275" i="1" s="1"/>
  <c r="F1154" i="1" a="1"/>
  <c r="F1154" i="1" s="1"/>
  <c r="F1049" i="1" a="1"/>
  <c r="F1049" i="1" s="1"/>
  <c r="F1262" i="1" a="1"/>
  <c r="F1262" i="1" s="1"/>
  <c r="F1013" i="1" a="1"/>
  <c r="F1013" i="1" s="1"/>
  <c r="F60" i="1" a="1"/>
  <c r="F60" i="1" s="1"/>
  <c r="F1420" i="1" a="1"/>
  <c r="F1420" i="1"/>
  <c r="F574" i="1" a="1"/>
  <c r="F574" i="1"/>
  <c r="F1259" i="1" a="1"/>
  <c r="F1259" i="1" s="1"/>
  <c r="F640" i="1" a="1"/>
  <c r="F640" i="1" s="1"/>
  <c r="F1250" i="1" a="1"/>
  <c r="F1250" i="1" s="1"/>
  <c r="F368" i="1" a="1"/>
  <c r="F368" i="1" s="1"/>
  <c r="F115" i="1" a="1"/>
  <c r="F115" i="1" s="1"/>
  <c r="F1266" i="1" a="1"/>
  <c r="F1266" i="1" s="1"/>
  <c r="F157" i="1" a="1"/>
  <c r="F157" i="1" s="1"/>
  <c r="F1423" i="1" a="1"/>
  <c r="F1423" i="1" s="1"/>
  <c r="F1032" i="1" a="1"/>
  <c r="F1032" i="1" s="1"/>
  <c r="F1058" i="1" a="1"/>
  <c r="F1058" i="1" s="1"/>
  <c r="F804" i="1" a="1"/>
  <c r="F804" i="1" s="1"/>
  <c r="F1072" i="1" a="1"/>
  <c r="F1072" i="1"/>
  <c r="F493" i="1" a="1"/>
  <c r="F493" i="1" s="1"/>
  <c r="F1182" i="1" a="1"/>
  <c r="F1182" i="1" s="1"/>
  <c r="F952" i="1" a="1"/>
  <c r="F952" i="1" s="1"/>
  <c r="F201" i="1" a="1"/>
  <c r="F201" i="1" s="1"/>
  <c r="F143" i="1" a="1"/>
  <c r="F143" i="1" s="1"/>
  <c r="F253" i="1" a="1"/>
  <c r="F253" i="1" s="1"/>
  <c r="F795" i="1" a="1"/>
  <c r="F795" i="1" s="1"/>
  <c r="F342" i="1" a="1"/>
  <c r="F342" i="1" s="1"/>
  <c r="F1497" i="1" a="1"/>
  <c r="F1497" i="1" s="1"/>
  <c r="F623" i="1" a="1"/>
  <c r="F623" i="1" s="1"/>
  <c r="F1156" i="1" a="1"/>
  <c r="F1156" i="1" s="1"/>
  <c r="F868" i="1" a="1"/>
  <c r="F868" i="1" s="1"/>
  <c r="F634" i="1" a="1"/>
  <c r="F634" i="1"/>
  <c r="F1449" i="1" a="1"/>
  <c r="F1449" i="1" s="1"/>
  <c r="F1456" i="1" a="1"/>
  <c r="F1456" i="1"/>
  <c r="F1365" i="1" a="1"/>
  <c r="F1365" i="1" s="1"/>
  <c r="F221" i="1" a="1"/>
  <c r="F221" i="1" s="1"/>
  <c r="F443" i="1" a="1"/>
  <c r="F443" i="1" s="1"/>
  <c r="F793" i="1" a="1"/>
  <c r="F793" i="1"/>
  <c r="F918" i="1" a="1"/>
  <c r="F918" i="1" s="1"/>
  <c r="F922" i="1" a="1"/>
  <c r="F922" i="1" s="1"/>
  <c r="F341" i="1" a="1"/>
  <c r="F341" i="1" s="1"/>
  <c r="F759" i="1" a="1"/>
  <c r="F759" i="1"/>
  <c r="F97" i="1" a="1"/>
  <c r="F97" i="1"/>
  <c r="F939" i="1" a="1"/>
  <c r="F939" i="1" s="1"/>
  <c r="F448" i="1" a="1"/>
  <c r="F448" i="1" s="1"/>
  <c r="F752" i="1" a="1"/>
  <c r="F752" i="1" s="1"/>
  <c r="F1393" i="1" a="1"/>
  <c r="F1393" i="1"/>
  <c r="F1489" i="1" a="1"/>
  <c r="F1489" i="1"/>
  <c r="F1453" i="1" a="1"/>
  <c r="F1453" i="1" s="1"/>
  <c r="F1288" i="1" a="1"/>
  <c r="F1288" i="1" s="1"/>
  <c r="F753" i="1" a="1"/>
  <c r="F753" i="1" s="1"/>
  <c r="F1315" i="1" a="1"/>
  <c r="F1315" i="1" s="1"/>
  <c r="F1123" i="1" a="1"/>
  <c r="F1123" i="1" s="1"/>
  <c r="F728" i="1" a="1"/>
  <c r="F728" i="1"/>
  <c r="F1445" i="1" a="1"/>
  <c r="F1445" i="1" s="1"/>
  <c r="F1318" i="1" a="1"/>
  <c r="F1318" i="1" s="1"/>
  <c r="F398" i="1" a="1"/>
  <c r="F398" i="1" s="1"/>
  <c r="F49" i="1" a="1"/>
  <c r="F49" i="1" s="1"/>
  <c r="F1093" i="1" a="1"/>
  <c r="F1093" i="1" s="1"/>
  <c r="F391" i="1" a="1"/>
  <c r="F391" i="1"/>
  <c r="F1255" i="1" a="1"/>
  <c r="F1255" i="1" s="1"/>
  <c r="F620" i="1" a="1"/>
  <c r="F620" i="1" s="1"/>
  <c r="F1428" i="1" a="1"/>
  <c r="F1428" i="1" s="1"/>
  <c r="F1312" i="1" a="1"/>
  <c r="F1312" i="1" s="1"/>
  <c r="F296" i="1" a="1"/>
  <c r="F296" i="1" s="1"/>
  <c r="F110" i="1" a="1"/>
  <c r="F110" i="1"/>
  <c r="F116" i="1" a="1"/>
  <c r="F116" i="1" s="1"/>
  <c r="F177" i="1" a="1"/>
  <c r="F177" i="1" s="1"/>
  <c r="F924" i="1" a="1"/>
  <c r="F924" i="1" s="1"/>
  <c r="F477" i="1" a="1"/>
  <c r="F477" i="1"/>
  <c r="F1099" i="1" a="1"/>
  <c r="F1099" i="1" s="1"/>
  <c r="F195" i="1" a="1"/>
  <c r="F195" i="1" s="1"/>
  <c r="F645" i="1" a="1"/>
  <c r="F645" i="1" s="1"/>
  <c r="F1343" i="1" a="1"/>
  <c r="F1343" i="1" s="1"/>
  <c r="F1172" i="1" a="1"/>
  <c r="F1172" i="1"/>
  <c r="F1138" i="1" a="1"/>
  <c r="F1138" i="1" s="1"/>
  <c r="F282" i="1" a="1"/>
  <c r="F282" i="1" s="1"/>
  <c r="F120" i="1" a="1"/>
  <c r="F120" i="1" s="1"/>
  <c r="F258" i="1" a="1"/>
  <c r="F258" i="1" s="1"/>
  <c r="F1447" i="1" a="1"/>
  <c r="F1447" i="1" s="1"/>
  <c r="F1303" i="1" a="1"/>
  <c r="F1303" i="1" s="1"/>
  <c r="F95" i="1" a="1"/>
  <c r="F95" i="1" s="1"/>
  <c r="F202" i="1" a="1"/>
  <c r="F202" i="1" s="1"/>
  <c r="F209" i="1" a="1"/>
  <c r="F209" i="1"/>
  <c r="F692" i="1" a="1"/>
  <c r="F692" i="1" s="1"/>
  <c r="F1324" i="1" a="1"/>
  <c r="F1324" i="1" s="1"/>
  <c r="F559" i="1" a="1"/>
  <c r="F559" i="1" s="1"/>
  <c r="F656" i="1" a="1"/>
  <c r="F656" i="1" s="1"/>
  <c r="F1450" i="1" a="1"/>
  <c r="F1450" i="1" s="1"/>
  <c r="F418" i="1" a="1"/>
  <c r="F418" i="1"/>
  <c r="F807" i="1" a="1"/>
  <c r="F807" i="1" s="1"/>
  <c r="F776" i="1" a="1"/>
  <c r="F776" i="1" s="1"/>
  <c r="F1498" i="1" a="1"/>
  <c r="F1498" i="1" s="1"/>
  <c r="F1272" i="1" a="1"/>
  <c r="F1272" i="1"/>
  <c r="F378" i="1" a="1"/>
  <c r="F378" i="1"/>
  <c r="F27" i="1" a="1"/>
  <c r="F27" i="1" s="1"/>
  <c r="F453" i="1" a="1"/>
  <c r="F453" i="1" s="1"/>
  <c r="F800" i="1" a="1"/>
  <c r="F800" i="1" s="1"/>
  <c r="F599" i="1" a="1"/>
  <c r="F599" i="1" s="1"/>
  <c r="F843" i="1" a="1"/>
  <c r="F843" i="1" s="1"/>
  <c r="F865" i="1" a="1"/>
  <c r="F865" i="1" s="1"/>
  <c r="F676" i="1" a="1"/>
  <c r="F676" i="1"/>
  <c r="F1088" i="1" a="1"/>
  <c r="F1088" i="1" s="1"/>
  <c r="F1194" i="1" a="1"/>
  <c r="F1194" i="1" s="1"/>
  <c r="F548" i="1" a="1"/>
  <c r="F548" i="1" s="1"/>
  <c r="F544" i="1" a="1"/>
  <c r="F544" i="1"/>
  <c r="F1335" i="1" a="1"/>
  <c r="F1335" i="1"/>
  <c r="F438" i="1" a="1"/>
  <c r="F438" i="1" s="1"/>
  <c r="F761" i="1" a="1"/>
  <c r="F761" i="1" s="1"/>
  <c r="F601" i="1" a="1"/>
  <c r="F601" i="1" s="1"/>
  <c r="F1242" i="1" a="1"/>
  <c r="F1242" i="1"/>
  <c r="F297" i="1" a="1"/>
  <c r="F297" i="1"/>
  <c r="F413" i="1" a="1"/>
  <c r="F413" i="1" s="1"/>
  <c r="F550" i="1" a="1"/>
  <c r="F550" i="1" s="1"/>
  <c r="F957" i="1" a="1"/>
  <c r="F957" i="1" s="1"/>
  <c r="F243" i="1" a="1"/>
  <c r="F243" i="1" s="1"/>
  <c r="F589" i="1" a="1"/>
  <c r="F589" i="1" s="1"/>
  <c r="F151" i="1" a="1"/>
  <c r="F151" i="1" s="1"/>
  <c r="F78" i="1" a="1"/>
  <c r="F78" i="1"/>
  <c r="F635" i="1" a="1"/>
  <c r="F635" i="1" s="1"/>
  <c r="F880" i="1" a="1"/>
  <c r="F880" i="1" s="1"/>
  <c r="F1350" i="1" a="1"/>
  <c r="F1350" i="1" s="1"/>
  <c r="F210" i="1" a="1"/>
  <c r="F210" i="1" s="1"/>
  <c r="F607" i="1" a="1"/>
  <c r="F607" i="1"/>
  <c r="F433" i="1" a="1"/>
  <c r="F433" i="1" s="1"/>
  <c r="F90" i="1" a="1"/>
  <c r="F90" i="1" s="1"/>
  <c r="F1323" i="1" a="1"/>
  <c r="F1323" i="1" s="1"/>
  <c r="F1206" i="1" a="1"/>
  <c r="F1206" i="1"/>
  <c r="F1286" i="1" a="1"/>
  <c r="F1286" i="1" s="1"/>
  <c r="F216" i="1" a="1"/>
  <c r="F216" i="1" s="1"/>
  <c r="F1395" i="1" a="1"/>
  <c r="F1395" i="1" s="1"/>
  <c r="F502" i="1" a="1"/>
  <c r="F502" i="1" s="1"/>
  <c r="F672" i="1" a="1"/>
  <c r="F672" i="1" s="1"/>
  <c r="F351" i="1" a="1"/>
  <c r="F351" i="1" s="1"/>
  <c r="F883" i="1" a="1"/>
  <c r="F883" i="1"/>
  <c r="F836" i="1" a="1"/>
  <c r="F836" i="1" s="1"/>
  <c r="F118" i="1" a="1"/>
  <c r="F118" i="1" s="1"/>
  <c r="F614" i="1" a="1"/>
  <c r="F614" i="1" s="1"/>
  <c r="F148" i="1" a="1"/>
  <c r="F148" i="1" s="1"/>
  <c r="F1267" i="1" a="1"/>
  <c r="F1267" i="1" s="1"/>
  <c r="F205" i="1" a="1"/>
  <c r="F205" i="1" s="1"/>
  <c r="F369" i="1" a="1"/>
  <c r="F369" i="1" s="1"/>
  <c r="F902" i="1" a="1"/>
  <c r="F902" i="1"/>
  <c r="F291" i="1" a="1"/>
  <c r="F291" i="1" s="1"/>
  <c r="F183" i="1" a="1"/>
  <c r="F183" i="1" s="1"/>
  <c r="F1175" i="1" a="1"/>
  <c r="F1175" i="1" s="1"/>
  <c r="F626" i="1" a="1"/>
  <c r="F626" i="1" s="1"/>
  <c r="F220" i="1" a="1"/>
  <c r="F220" i="1"/>
  <c r="F699" i="1" a="1"/>
  <c r="F699" i="1" s="1"/>
  <c r="F921" i="1" a="1"/>
  <c r="F921" i="1" s="1"/>
  <c r="F1269" i="1" a="1"/>
  <c r="F1269" i="1" s="1"/>
  <c r="F1019" i="1" a="1"/>
  <c r="F1019" i="1" s="1"/>
  <c r="F1388" i="1" a="1"/>
  <c r="F1388" i="1" s="1"/>
  <c r="F585" i="1" a="1"/>
  <c r="F585" i="1" s="1"/>
  <c r="F884" i="1" a="1"/>
  <c r="F884" i="1" s="1"/>
  <c r="F437" i="1" a="1"/>
  <c r="F437" i="1" s="1"/>
  <c r="F4" i="1" a="1"/>
  <c r="F4" i="1" s="1"/>
  <c r="F454" i="1" a="1"/>
  <c r="F454" i="1" s="1"/>
  <c r="F797" i="1" a="1"/>
  <c r="F797" i="1" s="1"/>
  <c r="F1151" i="1" a="1"/>
  <c r="F1151" i="1" s="1"/>
  <c r="F491" i="1" a="1"/>
  <c r="F491" i="1" s="1"/>
  <c r="F747" i="1" a="1"/>
  <c r="F747" i="1" s="1"/>
  <c r="F537" i="1" a="1"/>
  <c r="F537" i="1" s="1"/>
  <c r="F833" i="1" a="1"/>
  <c r="F833" i="1"/>
  <c r="F92" i="1" a="1"/>
  <c r="F92" i="1" s="1"/>
  <c r="F248" i="1" a="1"/>
  <c r="F248" i="1" s="1"/>
  <c r="F988" i="1" a="1"/>
  <c r="F988" i="1" s="1"/>
  <c r="F945" i="1" a="1"/>
  <c r="F945" i="1" s="1"/>
  <c r="F426" i="1" a="1"/>
  <c r="F426" i="1" s="1"/>
  <c r="F1340" i="1" a="1"/>
  <c r="F1340" i="1" s="1"/>
  <c r="F855" i="1" a="1"/>
  <c r="F855" i="1"/>
  <c r="F496" i="1" a="1"/>
  <c r="F496" i="1" s="1"/>
  <c r="F925" i="1" a="1"/>
  <c r="F925" i="1" s="1"/>
  <c r="F19" i="1" a="1"/>
  <c r="F19" i="1" s="1"/>
  <c r="F845" i="1" a="1"/>
  <c r="F845" i="1" s="1"/>
  <c r="F188" i="1" a="1"/>
  <c r="F188" i="1"/>
  <c r="F1366" i="1" a="1"/>
  <c r="F1366" i="1" s="1"/>
  <c r="F222" i="1" a="1"/>
  <c r="F222" i="1" s="1"/>
  <c r="F32" i="1" a="1"/>
  <c r="F32" i="1" s="1"/>
  <c r="F249" i="1" a="1"/>
  <c r="F249" i="1" s="1"/>
  <c r="F680" i="1" a="1"/>
  <c r="F680" i="1" s="1"/>
  <c r="F1114" i="1" a="1"/>
  <c r="F1114" i="1" s="1"/>
  <c r="F566" i="1" a="1"/>
  <c r="F566" i="1"/>
  <c r="F354" i="1" a="1"/>
  <c r="F354" i="1" s="1"/>
  <c r="F1041" i="1" a="1"/>
  <c r="F1041" i="1" s="1"/>
  <c r="F1015" i="1" a="1"/>
  <c r="F1015" i="1" s="1"/>
  <c r="F596" i="1" a="1"/>
  <c r="F596" i="1" s="1"/>
  <c r="F1249" i="1" a="1"/>
  <c r="F1249" i="1" s="1"/>
  <c r="F929" i="1" a="1"/>
  <c r="F929" i="1" s="1"/>
  <c r="F1377" i="1" a="1"/>
  <c r="F1377" i="1" s="1"/>
  <c r="F1391" i="1" a="1"/>
  <c r="F1391" i="1" s="1"/>
  <c r="F255" i="1" a="1"/>
  <c r="F255" i="1" s="1"/>
  <c r="F1304" i="1" a="1"/>
  <c r="F1304" i="1" s="1"/>
  <c r="F827" i="1" a="1"/>
  <c r="F827" i="1" s="1"/>
  <c r="F290" i="1" a="1"/>
  <c r="F290" i="1" s="1"/>
  <c r="F390" i="1" a="1"/>
  <c r="F390" i="1"/>
  <c r="F420" i="1" a="1"/>
  <c r="F420" i="1" s="1"/>
  <c r="F763" i="1" a="1"/>
  <c r="F763" i="1" s="1"/>
  <c r="F167" i="1" a="1"/>
  <c r="F167" i="1" s="1"/>
  <c r="F302" i="1" a="1"/>
  <c r="F302" i="1" s="1"/>
  <c r="F1089" i="1" a="1"/>
  <c r="F1089" i="1" s="1"/>
  <c r="F1203" i="1" a="1"/>
  <c r="F1203" i="1" s="1"/>
  <c r="F919" i="1" a="1"/>
  <c r="F919" i="1"/>
  <c r="F987" i="1" a="1"/>
  <c r="F987" i="1" s="1"/>
  <c r="F688" i="1" a="1"/>
  <c r="F688" i="1" s="1"/>
  <c r="F643" i="1" a="1"/>
  <c r="F643" i="1" s="1"/>
  <c r="F1047" i="1" a="1"/>
  <c r="F1047" i="1" s="1"/>
  <c r="F716" i="1" a="1"/>
  <c r="F716" i="1"/>
  <c r="F397" i="1" a="1"/>
  <c r="F397" i="1" s="1"/>
  <c r="F1116" i="1" a="1"/>
  <c r="F1116" i="1" s="1"/>
  <c r="F1381" i="1" a="1"/>
  <c r="F1381" i="1" s="1"/>
  <c r="F286" i="1" a="1"/>
  <c r="F286" i="1" s="1"/>
  <c r="F182" i="1" a="1"/>
  <c r="F182" i="1" s="1"/>
  <c r="F234" i="1" a="1"/>
  <c r="F234" i="1" s="1"/>
  <c r="F828" i="1" a="1"/>
  <c r="F828" i="1" s="1"/>
  <c r="F334" i="1" a="1"/>
  <c r="F334" i="1" s="1"/>
  <c r="F1407" i="1" a="1"/>
  <c r="F1407" i="1" s="1"/>
  <c r="F263" i="1" a="1"/>
  <c r="F263" i="1" s="1"/>
  <c r="F760" i="1" a="1"/>
  <c r="F760" i="1" s="1"/>
  <c r="F1460" i="1" a="1"/>
  <c r="F1460" i="1" s="1"/>
  <c r="F1351" i="1" a="1"/>
  <c r="F1351" i="1" s="1"/>
  <c r="F1434" i="1" a="1"/>
  <c r="F1434" i="1" s="1"/>
  <c r="F1301" i="1" a="1"/>
  <c r="F1301" i="1" s="1"/>
  <c r="F1499" i="1" a="1"/>
  <c r="F1499" i="1" s="1"/>
  <c r="F65" i="1" a="1"/>
  <c r="F65" i="1" s="1"/>
  <c r="F539" i="1" a="1"/>
  <c r="F539" i="1" s="1"/>
  <c r="F227" i="1" a="1"/>
  <c r="F227" i="1" s="1"/>
  <c r="F998" i="1" a="1"/>
  <c r="F998" i="1" s="1"/>
  <c r="F853" i="1" a="1"/>
  <c r="F853" i="1" s="1"/>
  <c r="F71" i="1" a="1"/>
  <c r="F71" i="1" s="1"/>
  <c r="F298" i="1" a="1"/>
  <c r="F298" i="1" s="1"/>
  <c r="F547" i="1" a="1"/>
  <c r="F547" i="1" s="1"/>
  <c r="F470" i="1" a="1"/>
  <c r="F470" i="1" s="1"/>
  <c r="F1053" i="1" a="1"/>
  <c r="F1053" i="1" s="1"/>
  <c r="F503" i="1" a="1"/>
  <c r="F503" i="1" s="1"/>
  <c r="F122" i="1" a="1"/>
  <c r="F122" i="1"/>
  <c r="F954" i="1" a="1"/>
  <c r="F954" i="1" s="1"/>
  <c r="F848" i="1" a="1"/>
  <c r="F848" i="1" s="1"/>
  <c r="F1440" i="1" a="1"/>
  <c r="F1440" i="1"/>
  <c r="F488" i="1" a="1"/>
  <c r="F488" i="1" s="1"/>
  <c r="F812" i="1" a="1"/>
  <c r="F812" i="1" s="1"/>
  <c r="F145" i="1" a="1"/>
  <c r="F145" i="1" s="1"/>
  <c r="F992" i="1" a="1"/>
  <c r="F992" i="1" s="1"/>
  <c r="F1198" i="1" a="1"/>
  <c r="F1198" i="1" s="1"/>
  <c r="F1223" i="1" a="1"/>
  <c r="F1223" i="1" s="1"/>
  <c r="F34" i="1" a="1"/>
  <c r="F34" i="1" s="1"/>
  <c r="F280" i="1" a="1"/>
  <c r="F280" i="1" s="1"/>
  <c r="F1485" i="1" a="1"/>
  <c r="F1485" i="1" s="1"/>
  <c r="F798" i="1" a="1"/>
  <c r="F798" i="1" s="1"/>
  <c r="F40" i="1" a="1"/>
  <c r="F40" i="1" s="1"/>
  <c r="F1356" i="1" a="1"/>
  <c r="F1356" i="1" s="1"/>
  <c r="F1336" i="1" a="1"/>
  <c r="F1336" i="1" s="1"/>
  <c r="F245" i="1" a="1"/>
  <c r="F245" i="1" s="1"/>
  <c r="F1342" i="1" a="1"/>
  <c r="F1342" i="1" s="1"/>
  <c r="F1344" i="1" a="1"/>
  <c r="F1344" i="1"/>
  <c r="F740" i="1" a="1"/>
  <c r="F740" i="1" s="1"/>
  <c r="F1054" i="1" a="1"/>
  <c r="F1054" i="1" s="1"/>
  <c r="F1078" i="1" a="1"/>
  <c r="F1078" i="1" s="1"/>
  <c r="F1410" i="1" a="1"/>
  <c r="F1410" i="1" s="1"/>
  <c r="F1473" i="1" a="1"/>
  <c r="F1473" i="1"/>
  <c r="F519" i="1" a="1"/>
  <c r="F519" i="1" s="1"/>
  <c r="F1257" i="1" a="1"/>
  <c r="F1257" i="1" s="1"/>
  <c r="F1294" i="1" a="1"/>
  <c r="F1294" i="1" s="1"/>
  <c r="F839" i="1" a="1"/>
  <c r="F839" i="1" s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2" i="2"/>
  <c r="K547" i="1" l="1"/>
  <c r="K1019" i="1"/>
  <c r="K1318" i="1"/>
  <c r="K1295" i="1"/>
  <c r="K215" i="1"/>
  <c r="K774" i="1"/>
  <c r="K838" i="1"/>
  <c r="K604" i="1"/>
  <c r="K736" i="1"/>
  <c r="K891" i="1"/>
  <c r="K55" i="1"/>
  <c r="K1111" i="1"/>
  <c r="K513" i="1"/>
  <c r="K590" i="1"/>
  <c r="K863" i="1"/>
  <c r="K1387" i="1"/>
  <c r="K269" i="1"/>
  <c r="K363" i="1"/>
  <c r="K705" i="1"/>
  <c r="K551" i="1"/>
  <c r="K1434" i="1"/>
  <c r="K836" i="1"/>
  <c r="K795" i="1"/>
  <c r="K674" i="1"/>
  <c r="K796" i="1"/>
  <c r="K968" i="1"/>
  <c r="K660" i="1"/>
  <c r="K1024" i="1"/>
  <c r="K995" i="1"/>
  <c r="K1408" i="1"/>
  <c r="K295" i="1"/>
  <c r="K323" i="1"/>
  <c r="K43" i="1"/>
  <c r="K130" i="1"/>
  <c r="K524" i="1"/>
  <c r="K1355" i="1"/>
  <c r="K806" i="1"/>
  <c r="K1446" i="1"/>
  <c r="K14" i="1"/>
  <c r="K1422" i="1"/>
  <c r="K925" i="1"/>
  <c r="K1495" i="1"/>
  <c r="K1351" i="1"/>
  <c r="K635" i="1"/>
  <c r="K1072" i="1"/>
  <c r="K908" i="1"/>
  <c r="K1129" i="1"/>
  <c r="K86" i="1"/>
  <c r="K658" i="1"/>
  <c r="K982" i="1"/>
  <c r="K1333" i="1"/>
  <c r="K1215" i="1"/>
  <c r="K509" i="1"/>
  <c r="K530" i="1"/>
  <c r="K1120" i="1"/>
  <c r="K386" i="1"/>
  <c r="K319" i="1"/>
  <c r="K691" i="1"/>
  <c r="K885" i="1"/>
  <c r="K963" i="1"/>
  <c r="K377" i="1"/>
  <c r="K474" i="1"/>
  <c r="K334" i="1"/>
  <c r="K438" i="1"/>
  <c r="K804" i="1"/>
  <c r="K1392" i="1"/>
  <c r="K1503" i="1"/>
  <c r="K678" i="1"/>
  <c r="K99" i="1"/>
  <c r="K240" i="1"/>
  <c r="K1466" i="1"/>
  <c r="K1117" i="1"/>
  <c r="K337" i="1"/>
  <c r="K172" i="1"/>
  <c r="K250" i="1"/>
  <c r="K173" i="1"/>
  <c r="K356" i="1"/>
  <c r="K616" i="1"/>
  <c r="K532" i="1"/>
  <c r="K610" i="1"/>
  <c r="K951" i="1"/>
  <c r="K973" i="1"/>
  <c r="K302" i="1"/>
  <c r="K95" i="1"/>
  <c r="K1058" i="1"/>
  <c r="K218" i="1"/>
  <c r="K527" i="1"/>
  <c r="K316" i="1"/>
  <c r="K979" i="1"/>
  <c r="K730" i="1"/>
  <c r="K520" i="1"/>
  <c r="K940" i="1"/>
  <c r="K755" i="1"/>
  <c r="K1442" i="1"/>
  <c r="K192" i="1"/>
  <c r="K507" i="1"/>
  <c r="K434" i="1"/>
  <c r="K893" i="1"/>
  <c r="K1097" i="1"/>
  <c r="K1280" i="1"/>
  <c r="K1405" i="1"/>
  <c r="L258" i="1"/>
  <c r="K258" i="1"/>
  <c r="L1441" i="1"/>
  <c r="K1441" i="1"/>
  <c r="L534" i="1"/>
  <c r="K534" i="1"/>
  <c r="L56" i="1"/>
  <c r="K56" i="1"/>
  <c r="L914" i="1"/>
  <c r="K914" i="1"/>
  <c r="L965" i="1"/>
  <c r="K965" i="1"/>
  <c r="L1166" i="1"/>
  <c r="K1166" i="1"/>
  <c r="L340" i="1"/>
  <c r="K340" i="1"/>
  <c r="L197" i="1"/>
  <c r="K197" i="1"/>
  <c r="L1474" i="1"/>
  <c r="K1474" i="1"/>
  <c r="K834" i="1"/>
  <c r="L71" i="1"/>
  <c r="K71" i="1"/>
  <c r="L921" i="1"/>
  <c r="K921" i="1"/>
  <c r="L351" i="1"/>
  <c r="K351" i="1"/>
  <c r="L601" i="1"/>
  <c r="K601" i="1"/>
  <c r="L752" i="1"/>
  <c r="K752" i="1"/>
  <c r="L615" i="1"/>
  <c r="K615" i="1"/>
  <c r="L671" i="1"/>
  <c r="K671" i="1"/>
  <c r="L739" i="1"/>
  <c r="K739" i="1"/>
  <c r="L359" i="1"/>
  <c r="K359" i="1"/>
  <c r="L1004" i="1"/>
  <c r="K1004" i="1"/>
  <c r="K1391" i="1"/>
  <c r="K369" i="1"/>
  <c r="K299" i="1"/>
  <c r="K906" i="1"/>
  <c r="K632" i="1"/>
  <c r="L1223" i="1"/>
  <c r="K1223" i="1"/>
  <c r="L853" i="1"/>
  <c r="K853" i="1"/>
  <c r="L92" i="1"/>
  <c r="K92" i="1"/>
  <c r="L699" i="1"/>
  <c r="K699" i="1"/>
  <c r="K1440" i="1"/>
  <c r="K988" i="1"/>
  <c r="K1369" i="1"/>
  <c r="K1247" i="1"/>
  <c r="L939" i="1"/>
  <c r="K939" i="1"/>
  <c r="L600" i="1"/>
  <c r="K600" i="1"/>
  <c r="L1069" i="1"/>
  <c r="K1069" i="1"/>
  <c r="L926" i="1"/>
  <c r="K926" i="1"/>
  <c r="L313" i="1"/>
  <c r="K313" i="1"/>
  <c r="K828" i="1"/>
  <c r="K676" i="1"/>
  <c r="K1096" i="1"/>
  <c r="K588" i="1"/>
  <c r="L1023" i="1"/>
  <c r="K1023" i="1"/>
  <c r="L1170" i="1"/>
  <c r="K1170" i="1"/>
  <c r="L223" i="1"/>
  <c r="K223" i="1"/>
  <c r="L478" i="1"/>
  <c r="K478" i="1"/>
  <c r="L1484" i="1"/>
  <c r="K1484" i="1"/>
  <c r="L960" i="1"/>
  <c r="K960" i="1"/>
  <c r="L1012" i="1"/>
  <c r="K1012" i="1"/>
  <c r="L515" i="1"/>
  <c r="K515" i="1"/>
  <c r="L170" i="1"/>
  <c r="K170" i="1"/>
  <c r="L1307" i="1"/>
  <c r="K1307" i="1"/>
  <c r="L840" i="1"/>
  <c r="K840" i="1"/>
  <c r="L1470" i="1"/>
  <c r="K1470" i="1"/>
  <c r="L213" i="1"/>
  <c r="K213" i="1"/>
  <c r="K1294" i="1"/>
  <c r="K954" i="1"/>
  <c r="K1047" i="1"/>
  <c r="K454" i="1"/>
  <c r="K883" i="1"/>
  <c r="K843" i="1"/>
  <c r="K620" i="1"/>
  <c r="K712" i="1"/>
  <c r="K1209" i="1"/>
  <c r="K425" i="1"/>
  <c r="K288" i="1"/>
  <c r="K499" i="1"/>
  <c r="K554" i="1"/>
  <c r="K961" i="1"/>
  <c r="K1208" i="1"/>
  <c r="K523" i="1"/>
  <c r="K12" i="1"/>
  <c r="K42" i="1"/>
  <c r="K1415" i="1"/>
  <c r="K128" i="1"/>
  <c r="K1000" i="1"/>
  <c r="K846" i="1"/>
  <c r="K244" i="1"/>
  <c r="L1242" i="1"/>
  <c r="K1242" i="1"/>
  <c r="L1428" i="1"/>
  <c r="K1428" i="1"/>
  <c r="L1423" i="1"/>
  <c r="K1423" i="1"/>
  <c r="L238" i="1"/>
  <c r="K238" i="1"/>
  <c r="L1284" i="1"/>
  <c r="K1284" i="1"/>
  <c r="L264" i="1"/>
  <c r="K264" i="1"/>
  <c r="L500" i="1"/>
  <c r="K500" i="1"/>
  <c r="L644" i="1"/>
  <c r="K644" i="1"/>
  <c r="L560" i="1"/>
  <c r="K560" i="1"/>
  <c r="L308" i="1"/>
  <c r="K308" i="1"/>
  <c r="L1005" i="1"/>
  <c r="K1005" i="1"/>
  <c r="L174" i="1"/>
  <c r="K174" i="1"/>
  <c r="L1472" i="1"/>
  <c r="K1472" i="1"/>
  <c r="L1067" i="1"/>
  <c r="K1067" i="1"/>
  <c r="K586" i="1"/>
  <c r="L248" i="1"/>
  <c r="K248" i="1"/>
  <c r="L1305" i="1"/>
  <c r="K1305" i="1"/>
  <c r="L1173" i="1"/>
  <c r="K1173" i="1"/>
  <c r="L1502" i="1"/>
  <c r="K1502" i="1"/>
  <c r="K958" i="1"/>
  <c r="K1048" i="1"/>
  <c r="L182" i="1"/>
  <c r="K182" i="1"/>
  <c r="L420" i="1"/>
  <c r="K420" i="1"/>
  <c r="K1377" i="1"/>
  <c r="K1099" i="1"/>
  <c r="K810" i="1"/>
  <c r="K1452" i="1"/>
  <c r="L1133" i="1"/>
  <c r="K1133" i="1"/>
  <c r="L1126" i="1"/>
  <c r="K1126" i="1"/>
  <c r="L1226" i="1"/>
  <c r="K1226" i="1"/>
  <c r="L1507" i="1"/>
  <c r="K1507" i="1"/>
  <c r="L1276" i="1"/>
  <c r="K1276" i="1"/>
  <c r="K241" i="1"/>
  <c r="K1164" i="1"/>
  <c r="K647" i="1"/>
  <c r="K606" i="1"/>
  <c r="K1344" i="1"/>
  <c r="K643" i="1"/>
  <c r="K566" i="1"/>
  <c r="K4" i="1"/>
  <c r="K1323" i="1"/>
  <c r="K599" i="1"/>
  <c r="K1065" i="1"/>
  <c r="K710" i="1"/>
  <c r="K1082" i="1"/>
  <c r="K1378" i="1"/>
  <c r="K1475" i="1"/>
  <c r="K212" i="1"/>
  <c r="K579" i="1"/>
  <c r="K1044" i="1"/>
  <c r="K1169" i="1"/>
  <c r="K874" i="1"/>
  <c r="K731" i="1"/>
  <c r="K816" i="1"/>
  <c r="K1184" i="1"/>
  <c r="K367" i="1"/>
  <c r="K1331" i="1"/>
  <c r="L927" i="1"/>
  <c r="K927" i="1"/>
  <c r="L738" i="1"/>
  <c r="K738" i="1"/>
  <c r="L735" i="1"/>
  <c r="K735" i="1"/>
  <c r="L140" i="1"/>
  <c r="K140" i="1"/>
  <c r="L536" i="1"/>
  <c r="K536" i="1"/>
  <c r="L1125" i="1"/>
  <c r="K1125" i="1"/>
  <c r="K167" i="1"/>
  <c r="K902" i="1"/>
  <c r="K1084" i="1"/>
  <c r="K424" i="1"/>
  <c r="L1257" i="1"/>
  <c r="K1257" i="1"/>
  <c r="L34" i="1"/>
  <c r="K34" i="1"/>
  <c r="L234" i="1"/>
  <c r="K234" i="1"/>
  <c r="L1229" i="1"/>
  <c r="K1229" i="1"/>
  <c r="L878" i="1"/>
  <c r="K878" i="1"/>
  <c r="L1162" i="1"/>
  <c r="K1162" i="1"/>
  <c r="L303" i="1"/>
  <c r="K303" i="1"/>
  <c r="L877" i="1"/>
  <c r="K877" i="1"/>
  <c r="K78" i="1"/>
  <c r="K603" i="1"/>
  <c r="K849" i="1"/>
  <c r="L672" i="1"/>
  <c r="K672" i="1"/>
  <c r="K848" i="1"/>
  <c r="K797" i="1"/>
  <c r="K409" i="1"/>
  <c r="K16" i="1"/>
  <c r="K552" i="1"/>
  <c r="K449" i="1"/>
  <c r="K468" i="1"/>
  <c r="K986" i="1"/>
  <c r="K1342" i="1"/>
  <c r="K298" i="1"/>
  <c r="K688" i="1"/>
  <c r="K845" i="1"/>
  <c r="K90" i="1"/>
  <c r="K1445" i="1"/>
  <c r="K574" i="1"/>
  <c r="K562" i="1"/>
  <c r="K684" i="1"/>
  <c r="K1338" i="1"/>
  <c r="K41" i="1"/>
  <c r="K208" i="1"/>
  <c r="K1193" i="1"/>
  <c r="K1248" i="1"/>
  <c r="K1317" i="1"/>
  <c r="K108" i="1"/>
  <c r="K768" i="1"/>
  <c r="K937" i="1"/>
  <c r="K1403" i="1"/>
  <c r="K274" i="1"/>
  <c r="K464" i="1"/>
  <c r="K572" i="1"/>
  <c r="K266" i="1"/>
  <c r="K683" i="1"/>
  <c r="L393" i="1"/>
  <c r="K393" i="1"/>
  <c r="L119" i="1"/>
  <c r="K119" i="1"/>
  <c r="L69" i="1"/>
  <c r="K69" i="1"/>
  <c r="K1393" i="1"/>
  <c r="K1358" i="1"/>
  <c r="L763" i="1"/>
  <c r="K763" i="1"/>
  <c r="L1114" i="1"/>
  <c r="K1114" i="1"/>
  <c r="L151" i="1"/>
  <c r="K151" i="1"/>
  <c r="L793" i="1"/>
  <c r="K793" i="1"/>
  <c r="L1437" i="1"/>
  <c r="K1437" i="1"/>
  <c r="L1398" i="1"/>
  <c r="K1398" i="1"/>
  <c r="L315" i="1"/>
  <c r="K315" i="1"/>
  <c r="L147" i="1"/>
  <c r="K147" i="1"/>
  <c r="L486" i="1"/>
  <c r="K486" i="1"/>
  <c r="L497" i="1"/>
  <c r="K497" i="1"/>
  <c r="L1432" i="1"/>
  <c r="K1432" i="1"/>
  <c r="L327" i="1"/>
  <c r="K327" i="1"/>
  <c r="L1216" i="1"/>
  <c r="K1216" i="1"/>
  <c r="K280" i="1"/>
  <c r="K1134" i="1"/>
  <c r="K100" i="1"/>
  <c r="K13" i="1"/>
  <c r="K972" i="1"/>
  <c r="L519" i="1"/>
  <c r="K519" i="1"/>
  <c r="L680" i="1"/>
  <c r="K680" i="1"/>
  <c r="K205" i="1"/>
  <c r="K789" i="1"/>
  <c r="K1309" i="1"/>
  <c r="K1118" i="1"/>
  <c r="K637" i="1"/>
  <c r="K654" i="1"/>
  <c r="L570" i="1"/>
  <c r="K570" i="1"/>
  <c r="L1438" i="1"/>
  <c r="K1438" i="1"/>
  <c r="K929" i="1"/>
  <c r="K477" i="1"/>
  <c r="K347" i="1"/>
  <c r="K773" i="1"/>
  <c r="K808" i="1"/>
  <c r="K1128" i="1"/>
  <c r="K471" i="1"/>
  <c r="K245" i="1"/>
  <c r="K1301" i="1"/>
  <c r="K19" i="1"/>
  <c r="K1269" i="1"/>
  <c r="K433" i="1"/>
  <c r="K728" i="1"/>
  <c r="K1420" i="1"/>
  <c r="K246" i="1"/>
  <c r="K1007" i="1"/>
  <c r="K1052" i="1"/>
  <c r="K335" i="1"/>
  <c r="K1368" i="1"/>
  <c r="K111" i="1"/>
  <c r="K1199" i="1"/>
  <c r="K1467" i="1"/>
  <c r="K162" i="1"/>
  <c r="K723" i="1"/>
  <c r="K1386" i="1"/>
  <c r="K707" i="1"/>
  <c r="K847" i="1"/>
  <c r="K1077" i="1"/>
  <c r="K1240" i="1"/>
  <c r="K1303" i="1"/>
  <c r="K296" i="1"/>
  <c r="K597" i="1"/>
  <c r="K1459" i="1"/>
  <c r="K1055" i="1"/>
  <c r="K955" i="1"/>
  <c r="K207" i="1"/>
  <c r="K831" i="1"/>
  <c r="K598" i="1"/>
  <c r="K430" i="1"/>
  <c r="K1191" i="1"/>
  <c r="K109" i="1"/>
  <c r="K270" i="1"/>
  <c r="K175" i="1"/>
  <c r="K698" i="1"/>
  <c r="K235" i="1"/>
  <c r="K403" i="1"/>
  <c r="K1447" i="1"/>
  <c r="K1312" i="1"/>
  <c r="K640" i="1"/>
  <c r="K416" i="1"/>
  <c r="K228" i="1"/>
  <c r="K62" i="1"/>
  <c r="K1297" i="1"/>
  <c r="K1299" i="1"/>
  <c r="K1271" i="1"/>
  <c r="K285" i="1"/>
  <c r="K54" i="1"/>
  <c r="K385" i="1"/>
  <c r="K462" i="1"/>
  <c r="K1028" i="1"/>
  <c r="K1222" i="1"/>
  <c r="K1430" i="1"/>
  <c r="K48" i="1"/>
  <c r="K577" i="1"/>
  <c r="K1287" i="1"/>
  <c r="K459" i="1"/>
  <c r="K1416" i="1"/>
  <c r="K1113" i="1"/>
  <c r="K525" i="1"/>
  <c r="K1329" i="1"/>
  <c r="K501" i="1"/>
  <c r="K740" i="1"/>
  <c r="K488" i="1"/>
  <c r="K1499" i="1"/>
  <c r="K716" i="1"/>
  <c r="K255" i="1"/>
  <c r="K188" i="1"/>
  <c r="K1151" i="1"/>
  <c r="K291" i="1"/>
  <c r="K1206" i="1"/>
  <c r="K1259" i="1"/>
  <c r="K1261" i="1"/>
  <c r="K372" i="1"/>
  <c r="K1321" i="1"/>
  <c r="K978" i="1"/>
  <c r="K528" i="1"/>
  <c r="K909" i="1"/>
  <c r="K68" i="1"/>
  <c r="K1379" i="1"/>
  <c r="K1124" i="1"/>
  <c r="K152" i="1"/>
  <c r="K1014" i="1"/>
  <c r="K1283" i="1"/>
  <c r="K943" i="1"/>
  <c r="K1178" i="1"/>
  <c r="K651" i="1"/>
  <c r="K1490" i="1"/>
  <c r="K279" i="1"/>
  <c r="K1146" i="1"/>
  <c r="K942" i="1"/>
  <c r="K1239" i="1"/>
  <c r="K1081" i="1"/>
  <c r="K261" i="1"/>
  <c r="L1336" i="1"/>
  <c r="K1336" i="1"/>
  <c r="L1460" i="1"/>
  <c r="K1460" i="1"/>
  <c r="L390" i="1"/>
  <c r="K390" i="1"/>
  <c r="L496" i="1"/>
  <c r="K496" i="1"/>
  <c r="L220" i="1"/>
  <c r="K220" i="1"/>
  <c r="L607" i="1"/>
  <c r="K607" i="1"/>
  <c r="L209" i="1"/>
  <c r="K209" i="1"/>
  <c r="L391" i="1"/>
  <c r="K391" i="1"/>
  <c r="L1013" i="1"/>
  <c r="K1013" i="1"/>
  <c r="L381" i="1"/>
  <c r="K381" i="1"/>
  <c r="L714" i="1"/>
  <c r="K714" i="1"/>
  <c r="L613" i="1"/>
  <c r="K613" i="1"/>
  <c r="L85" i="1"/>
  <c r="K85" i="1"/>
  <c r="L179" i="1"/>
  <c r="K179" i="1"/>
  <c r="L664" i="1"/>
  <c r="K664" i="1"/>
  <c r="L1361" i="1"/>
  <c r="K1361" i="1"/>
  <c r="L495" i="1"/>
  <c r="K495" i="1"/>
  <c r="L1413" i="1"/>
  <c r="K1413" i="1"/>
  <c r="L1278" i="1"/>
  <c r="K1278" i="1"/>
  <c r="L283" i="1"/>
  <c r="K283" i="1"/>
  <c r="L729" i="1"/>
  <c r="K729" i="1"/>
  <c r="L521" i="1"/>
  <c r="K521" i="1"/>
  <c r="L879" i="1"/>
  <c r="K879" i="1"/>
  <c r="L1300" i="1"/>
  <c r="K1300" i="1"/>
  <c r="L803" i="1"/>
  <c r="K803" i="1"/>
  <c r="L410" i="1"/>
  <c r="K410" i="1"/>
  <c r="L50" i="1"/>
  <c r="K50" i="1"/>
  <c r="L1394" i="1"/>
  <c r="K1394" i="1"/>
  <c r="L977" i="1"/>
  <c r="K977" i="1"/>
  <c r="L1025" i="1"/>
  <c r="K1025" i="1"/>
  <c r="L494" i="1"/>
  <c r="K494" i="1"/>
  <c r="L1135" i="1"/>
  <c r="K1135" i="1"/>
  <c r="L1359" i="1"/>
  <c r="K1359" i="1"/>
  <c r="L408" i="1"/>
  <c r="K408" i="1"/>
  <c r="L784" i="1"/>
  <c r="K784" i="1"/>
  <c r="L472" i="1"/>
  <c r="K472" i="1"/>
  <c r="L697" i="1"/>
  <c r="K697" i="1"/>
  <c r="L106" i="1"/>
  <c r="K106" i="1"/>
  <c r="L611" i="1"/>
  <c r="K611" i="1"/>
  <c r="L1220" i="1"/>
  <c r="K1220" i="1"/>
  <c r="L535" i="1"/>
  <c r="K535" i="1"/>
  <c r="K1181" i="1"/>
  <c r="K511" i="1"/>
  <c r="K754" i="1"/>
  <c r="L1356" i="1"/>
  <c r="K1356" i="1"/>
  <c r="L760" i="1"/>
  <c r="K760" i="1"/>
  <c r="L919" i="1"/>
  <c r="K919" i="1"/>
  <c r="L32" i="1"/>
  <c r="K32" i="1"/>
  <c r="L537" i="1"/>
  <c r="K537" i="1"/>
  <c r="L1395" i="1"/>
  <c r="K1395" i="1"/>
  <c r="L1335" i="1"/>
  <c r="K1335" i="1"/>
  <c r="L116" i="1"/>
  <c r="K116" i="1"/>
  <c r="L753" i="1"/>
  <c r="K753" i="1"/>
  <c r="L1262" i="1"/>
  <c r="K1262" i="1"/>
  <c r="L1429" i="1"/>
  <c r="K1429" i="1"/>
  <c r="L436" i="1"/>
  <c r="K436" i="1"/>
  <c r="L751" i="1"/>
  <c r="K751" i="1"/>
  <c r="L74" i="1"/>
  <c r="K74" i="1"/>
  <c r="L444" i="1"/>
  <c r="K444" i="1"/>
  <c r="L785" i="1"/>
  <c r="K785" i="1"/>
  <c r="L252" i="1"/>
  <c r="K252" i="1"/>
  <c r="L1074" i="1"/>
  <c r="K1074" i="1"/>
  <c r="L1268" i="1"/>
  <c r="K1268" i="1"/>
  <c r="L1308" i="1"/>
  <c r="K1308" i="1"/>
  <c r="L1202" i="1"/>
  <c r="K1202" i="1"/>
  <c r="L990" i="1"/>
  <c r="K990" i="1"/>
  <c r="L1241" i="1"/>
  <c r="K1241" i="1"/>
  <c r="L582" i="1"/>
  <c r="K582" i="1"/>
  <c r="L1021" i="1"/>
  <c r="K1021" i="1"/>
  <c r="L1320" i="1"/>
  <c r="K1320" i="1"/>
  <c r="L931" i="1"/>
  <c r="K931" i="1"/>
  <c r="L576" i="1"/>
  <c r="K576" i="1"/>
  <c r="L36" i="1"/>
  <c r="K36" i="1"/>
  <c r="L371" i="1"/>
  <c r="K371" i="1"/>
  <c r="L124" i="1"/>
  <c r="K124" i="1"/>
  <c r="L1148" i="1"/>
  <c r="K1148" i="1"/>
  <c r="L809" i="1"/>
  <c r="K809" i="1"/>
  <c r="L787" i="1"/>
  <c r="K787" i="1"/>
  <c r="L956" i="1"/>
  <c r="K956" i="1"/>
  <c r="L1100" i="1"/>
  <c r="K1100" i="1"/>
  <c r="L306" i="1"/>
  <c r="K306" i="1"/>
  <c r="L1504" i="1"/>
  <c r="K1504" i="1"/>
  <c r="L1380" i="1"/>
  <c r="K1380" i="1"/>
  <c r="L236" i="1"/>
  <c r="K236" i="1"/>
  <c r="K1457" i="1"/>
  <c r="K669" i="1"/>
  <c r="K165" i="1"/>
  <c r="K1389" i="1"/>
  <c r="L1078" i="1"/>
  <c r="K1078" i="1"/>
  <c r="L40" i="1"/>
  <c r="K40" i="1"/>
  <c r="L145" i="1"/>
  <c r="K145" i="1"/>
  <c r="L1053" i="1"/>
  <c r="K1053" i="1"/>
  <c r="L539" i="1"/>
  <c r="K539" i="1"/>
  <c r="L263" i="1"/>
  <c r="K263" i="1"/>
  <c r="L1116" i="1"/>
  <c r="K1116" i="1"/>
  <c r="L1203" i="1"/>
  <c r="K1203" i="1"/>
  <c r="L827" i="1"/>
  <c r="K827" i="1"/>
  <c r="L1015" i="1"/>
  <c r="K1015" i="1"/>
  <c r="L222" i="1"/>
  <c r="K222" i="1"/>
  <c r="L1340" i="1"/>
  <c r="K1340" i="1"/>
  <c r="L747" i="1"/>
  <c r="K747" i="1"/>
  <c r="L585" i="1"/>
  <c r="K585" i="1"/>
  <c r="L1175" i="1"/>
  <c r="K1175" i="1"/>
  <c r="L614" i="1"/>
  <c r="K614" i="1"/>
  <c r="L216" i="1"/>
  <c r="K216" i="1"/>
  <c r="L1350" i="1"/>
  <c r="K1350" i="1"/>
  <c r="L550" i="1"/>
  <c r="K550" i="1"/>
  <c r="L544" i="1"/>
  <c r="K544" i="1"/>
  <c r="L800" i="1"/>
  <c r="K800" i="1"/>
  <c r="L110" i="1"/>
  <c r="K110" i="1"/>
  <c r="L49" i="1"/>
  <c r="K49" i="1"/>
  <c r="L1288" i="1"/>
  <c r="K1288" i="1"/>
  <c r="L759" i="1"/>
  <c r="K759" i="1"/>
  <c r="L1456" i="1"/>
  <c r="K1456" i="1"/>
  <c r="L1049" i="1"/>
  <c r="K1049" i="1"/>
  <c r="L7" i="1"/>
  <c r="K7" i="1"/>
  <c r="L907" i="1"/>
  <c r="K907" i="1"/>
  <c r="L649" i="1"/>
  <c r="K649" i="1"/>
  <c r="L1360" i="1"/>
  <c r="K1360" i="1"/>
  <c r="L1196" i="1"/>
  <c r="K1196" i="1"/>
  <c r="L744" i="1"/>
  <c r="K744" i="1"/>
  <c r="L6" i="1"/>
  <c r="K6" i="1"/>
  <c r="L887" i="1"/>
  <c r="K887" i="1"/>
  <c r="L1031" i="1"/>
  <c r="K1031" i="1"/>
  <c r="L1254" i="1"/>
  <c r="K1254" i="1"/>
  <c r="L161" i="1"/>
  <c r="K161" i="1"/>
  <c r="L930" i="1"/>
  <c r="K930" i="1"/>
  <c r="L132" i="1"/>
  <c r="K132" i="1"/>
  <c r="L300" i="1"/>
  <c r="K300" i="1"/>
  <c r="L999" i="1"/>
  <c r="K999" i="1"/>
  <c r="L932" i="1"/>
  <c r="K932" i="1"/>
  <c r="L485" i="1"/>
  <c r="K485" i="1"/>
  <c r="L1488" i="1"/>
  <c r="K1488" i="1"/>
  <c r="L89" i="1"/>
  <c r="K89" i="1"/>
  <c r="L83" i="1"/>
  <c r="K83" i="1"/>
  <c r="L237" i="1"/>
  <c r="K237" i="1"/>
  <c r="L33" i="1"/>
  <c r="K33" i="1"/>
  <c r="L1327" i="1"/>
  <c r="K1327" i="1"/>
  <c r="L1265" i="1"/>
  <c r="K1265" i="1"/>
  <c r="L934" i="1"/>
  <c r="K934" i="1"/>
  <c r="L1119" i="1"/>
  <c r="K1119" i="1"/>
  <c r="L1238" i="1"/>
  <c r="K1238" i="1"/>
  <c r="L1435" i="1"/>
  <c r="K1435" i="1"/>
  <c r="L1492" i="1"/>
  <c r="K1492" i="1"/>
  <c r="L406" i="1"/>
  <c r="K406" i="1"/>
  <c r="L1174" i="1"/>
  <c r="K1174" i="1"/>
  <c r="L1292" i="1"/>
  <c r="K1292" i="1"/>
  <c r="L508" i="1"/>
  <c r="K508" i="1"/>
  <c r="L1140" i="1"/>
  <c r="K1140" i="1"/>
  <c r="L1059" i="1"/>
  <c r="K1059" i="1"/>
  <c r="L617" i="1"/>
  <c r="K617" i="1"/>
  <c r="L1042" i="1"/>
  <c r="K1042" i="1"/>
  <c r="L75" i="1"/>
  <c r="K75" i="1"/>
  <c r="L835" i="1"/>
  <c r="K835" i="1"/>
  <c r="L1496" i="1"/>
  <c r="K1496" i="1"/>
  <c r="L813" i="1"/>
  <c r="K813" i="1"/>
  <c r="L1414" i="1"/>
  <c r="K1414" i="1"/>
  <c r="L1480" i="1"/>
  <c r="K1480" i="1"/>
  <c r="L1433" i="1"/>
  <c r="K1433" i="1"/>
  <c r="L592" i="1"/>
  <c r="K592" i="1"/>
  <c r="L619" i="1"/>
  <c r="K619" i="1"/>
  <c r="L854" i="1"/>
  <c r="K854" i="1"/>
  <c r="L741" i="1"/>
  <c r="K741" i="1"/>
  <c r="L230" i="1"/>
  <c r="K230" i="1"/>
  <c r="L1465" i="1"/>
  <c r="K1465" i="1"/>
  <c r="L1486" i="1"/>
  <c r="K1486" i="1"/>
  <c r="L1236" i="1"/>
  <c r="K1236" i="1"/>
  <c r="L974" i="1"/>
  <c r="K974" i="1"/>
  <c r="L726" i="1"/>
  <c r="K726" i="1"/>
  <c r="L1337" i="1"/>
  <c r="K1337" i="1"/>
  <c r="L587" i="1"/>
  <c r="K587" i="1"/>
  <c r="L457" i="1"/>
  <c r="K457" i="1"/>
  <c r="L1364" i="1"/>
  <c r="K1364" i="1"/>
  <c r="L232" i="1"/>
  <c r="K232" i="1"/>
  <c r="L1144" i="1"/>
  <c r="K1144" i="1"/>
  <c r="L114" i="1"/>
  <c r="K114" i="1"/>
  <c r="L1314" i="1"/>
  <c r="K1314" i="1"/>
  <c r="L107" i="1"/>
  <c r="K107" i="1"/>
  <c r="L1256" i="1"/>
  <c r="K1256" i="1"/>
  <c r="L745" i="1"/>
  <c r="K745" i="1"/>
  <c r="L260" i="1"/>
  <c r="K260" i="1"/>
  <c r="L719" i="1"/>
  <c r="K719" i="1"/>
  <c r="L510" i="1"/>
  <c r="K510" i="1"/>
  <c r="L1482" i="1"/>
  <c r="K1482" i="1"/>
  <c r="L163" i="1"/>
  <c r="K163" i="1"/>
  <c r="L293" i="1"/>
  <c r="K293" i="1"/>
  <c r="L1347" i="1"/>
  <c r="K1347" i="1"/>
  <c r="L1155" i="1"/>
  <c r="K1155" i="1"/>
  <c r="L412" i="1"/>
  <c r="K412" i="1"/>
  <c r="L415" i="1"/>
  <c r="K415" i="1"/>
  <c r="L864" i="1"/>
  <c r="K864" i="1"/>
  <c r="L742" i="1"/>
  <c r="K742" i="1"/>
  <c r="L675" i="1"/>
  <c r="K675" i="1"/>
  <c r="L84" i="1"/>
  <c r="K84" i="1"/>
  <c r="L256" i="1"/>
  <c r="K256" i="1"/>
  <c r="L556" i="1"/>
  <c r="K556" i="1"/>
  <c r="L1092" i="1"/>
  <c r="K1092" i="1"/>
  <c r="L1443" i="1"/>
  <c r="K1443" i="1"/>
  <c r="L484" i="1"/>
  <c r="K484" i="1"/>
  <c r="L317" i="1"/>
  <c r="K317" i="1"/>
  <c r="L985" i="1"/>
  <c r="K985" i="1"/>
  <c r="L1468" i="1"/>
  <c r="K1468" i="1"/>
  <c r="L1273" i="1"/>
  <c r="K1273" i="1"/>
  <c r="L1279" i="1"/>
  <c r="K1279" i="1"/>
  <c r="L1290" i="1"/>
  <c r="K1290" i="1"/>
  <c r="L138" i="1"/>
  <c r="K138" i="1"/>
  <c r="L94" i="1"/>
  <c r="K94" i="1"/>
  <c r="L1232" i="1"/>
  <c r="K1232" i="1"/>
  <c r="L135" i="1"/>
  <c r="K135" i="1"/>
  <c r="L1186" i="1"/>
  <c r="K1186" i="1"/>
  <c r="L779" i="1"/>
  <c r="K779" i="1"/>
  <c r="L204" i="1"/>
  <c r="K204" i="1"/>
  <c r="L871" i="1"/>
  <c r="K871" i="1"/>
  <c r="L1137" i="1"/>
  <c r="K1137" i="1"/>
  <c r="K807" i="1"/>
  <c r="K1365" i="1"/>
  <c r="K1050" i="1"/>
  <c r="K1027" i="1"/>
  <c r="K788" i="1"/>
  <c r="K622" i="1"/>
  <c r="K333" i="1"/>
  <c r="K1270" i="1"/>
  <c r="K1201" i="1"/>
  <c r="K198" i="1"/>
  <c r="K659" i="1"/>
  <c r="K799" i="1"/>
  <c r="K171" i="1"/>
  <c r="K18" i="1"/>
  <c r="K980" i="1"/>
  <c r="K1107" i="1"/>
  <c r="K1352" i="1"/>
  <c r="L1473" i="1"/>
  <c r="K1473" i="1"/>
  <c r="L1198" i="1"/>
  <c r="K1198" i="1"/>
  <c r="L998" i="1"/>
  <c r="K998" i="1"/>
  <c r="L987" i="1"/>
  <c r="K987" i="1"/>
  <c r="L249" i="1"/>
  <c r="K249" i="1"/>
  <c r="L437" i="1"/>
  <c r="K437" i="1"/>
  <c r="L502" i="1"/>
  <c r="K502" i="1"/>
  <c r="L243" i="1"/>
  <c r="K243" i="1"/>
  <c r="L1138" i="1"/>
  <c r="K1138" i="1"/>
  <c r="L177" i="1"/>
  <c r="K177" i="1"/>
  <c r="L1315" i="1"/>
  <c r="K1315" i="1"/>
  <c r="L115" i="1"/>
  <c r="K115" i="1"/>
  <c r="L1066" i="1"/>
  <c r="K1066" i="1"/>
  <c r="L650" i="1"/>
  <c r="K650" i="1"/>
  <c r="L718" i="1"/>
  <c r="K718" i="1"/>
  <c r="L1176" i="1"/>
  <c r="K1176" i="1"/>
  <c r="L427" i="1"/>
  <c r="K427" i="1"/>
  <c r="L1035" i="1"/>
  <c r="K1035" i="1"/>
  <c r="L194" i="1"/>
  <c r="K194" i="1"/>
  <c r="L394" i="1"/>
  <c r="K394" i="1"/>
  <c r="L193" i="1"/>
  <c r="K193" i="1"/>
  <c r="L325" i="1"/>
  <c r="K325" i="1"/>
  <c r="L837" i="1"/>
  <c r="K837" i="1"/>
  <c r="L743" i="1"/>
  <c r="K743" i="1"/>
  <c r="L136" i="1"/>
  <c r="K136" i="1"/>
  <c r="L271" i="1"/>
  <c r="K271" i="1"/>
  <c r="L627" i="1"/>
  <c r="K627" i="1"/>
  <c r="L1001" i="1"/>
  <c r="K1001" i="1"/>
  <c r="L287" i="1"/>
  <c r="K287" i="1"/>
  <c r="L389" i="1"/>
  <c r="K389" i="1"/>
  <c r="L923" i="1"/>
  <c r="K923" i="1"/>
  <c r="L469" i="1"/>
  <c r="K469" i="1"/>
  <c r="L1233" i="1"/>
  <c r="K1233" i="1"/>
  <c r="L1458" i="1"/>
  <c r="K1458" i="1"/>
  <c r="L1183" i="1"/>
  <c r="K1183" i="1"/>
  <c r="L734" i="1"/>
  <c r="K734" i="1"/>
  <c r="L1325" i="1"/>
  <c r="K1325" i="1"/>
  <c r="L1362" i="1"/>
  <c r="K1362" i="1"/>
  <c r="L30" i="1"/>
  <c r="K30" i="1"/>
  <c r="L196" i="1"/>
  <c r="K196" i="1"/>
  <c r="L421" i="1"/>
  <c r="K421" i="1"/>
  <c r="L404" i="1"/>
  <c r="K404" i="1"/>
  <c r="L1319" i="1"/>
  <c r="K1319" i="1"/>
  <c r="L344" i="1"/>
  <c r="K344" i="1"/>
  <c r="L1018" i="1"/>
  <c r="K1018" i="1"/>
  <c r="K1008" i="1"/>
  <c r="L1410" i="1"/>
  <c r="K1410" i="1"/>
  <c r="L503" i="1"/>
  <c r="K503" i="1"/>
  <c r="L1381" i="1"/>
  <c r="K1381" i="1"/>
  <c r="L596" i="1"/>
  <c r="K596" i="1"/>
  <c r="L855" i="1"/>
  <c r="K855" i="1"/>
  <c r="L626" i="1"/>
  <c r="K626" i="1"/>
  <c r="L148" i="1"/>
  <c r="K148" i="1"/>
  <c r="L957" i="1"/>
  <c r="K957" i="1"/>
  <c r="L1172" i="1"/>
  <c r="K1172" i="1"/>
  <c r="L97" i="1"/>
  <c r="K97" i="1"/>
  <c r="L558" i="1"/>
  <c r="K558" i="1"/>
  <c r="L1020" i="1"/>
  <c r="K1020" i="1"/>
  <c r="L81" i="1"/>
  <c r="K81" i="1"/>
  <c r="L661" i="1"/>
  <c r="K661" i="1"/>
  <c r="L1022" i="1"/>
  <c r="K1022" i="1"/>
  <c r="L476" i="1"/>
  <c r="K476" i="1"/>
  <c r="L867" i="1"/>
  <c r="K867" i="1"/>
  <c r="L1212" i="1"/>
  <c r="K1212" i="1"/>
  <c r="L1481" i="1"/>
  <c r="K1481" i="1"/>
  <c r="L1152" i="1"/>
  <c r="K1152" i="1"/>
  <c r="L700" i="1"/>
  <c r="K700" i="1"/>
  <c r="L149" i="1"/>
  <c r="K149" i="1"/>
  <c r="L732" i="1"/>
  <c r="K732" i="1"/>
  <c r="L666" i="1"/>
  <c r="K666" i="1"/>
  <c r="L102" i="1"/>
  <c r="K102" i="1"/>
  <c r="L569" i="1"/>
  <c r="K569" i="1"/>
  <c r="L72" i="1"/>
  <c r="K72" i="1"/>
  <c r="L1260" i="1"/>
  <c r="K1260" i="1"/>
  <c r="L897" i="1"/>
  <c r="K897" i="1"/>
  <c r="L888" i="1"/>
  <c r="K888" i="1"/>
  <c r="L636" i="1"/>
  <c r="K636" i="1"/>
  <c r="L814" i="1"/>
  <c r="K814" i="1"/>
  <c r="L583" i="1"/>
  <c r="K583" i="1"/>
  <c r="L63" i="1"/>
  <c r="K63" i="1"/>
  <c r="L685" i="1"/>
  <c r="K685" i="1"/>
  <c r="L860" i="1"/>
  <c r="K860" i="1"/>
  <c r="L1213" i="1"/>
  <c r="K1213" i="1"/>
  <c r="L364" i="1"/>
  <c r="K364" i="1"/>
  <c r="L1367" i="1"/>
  <c r="K1367" i="1"/>
  <c r="L301" i="1"/>
  <c r="K301" i="1"/>
  <c r="L1149" i="1"/>
  <c r="K1149" i="1"/>
  <c r="L400" i="1"/>
  <c r="K400" i="1"/>
  <c r="L460" i="1"/>
  <c r="K460" i="1"/>
  <c r="L281" i="1"/>
  <c r="K281" i="1"/>
  <c r="K1200" i="1"/>
  <c r="K1311" i="1"/>
  <c r="K1493" i="1"/>
  <c r="K190" i="1"/>
  <c r="K1056" i="1"/>
  <c r="K418" i="1"/>
  <c r="K1497" i="1"/>
  <c r="K1250" i="1"/>
  <c r="K1477" i="1"/>
  <c r="K1079" i="1"/>
  <c r="K458" i="1"/>
  <c r="K441" i="1"/>
  <c r="K87" i="1"/>
  <c r="K964" i="1"/>
  <c r="K1487" i="1"/>
  <c r="K262" i="1"/>
  <c r="K1210" i="1"/>
  <c r="K153" i="1"/>
  <c r="K3" i="1"/>
  <c r="K1163" i="1"/>
  <c r="K948" i="1"/>
  <c r="K1038" i="1"/>
  <c r="K665" i="1"/>
  <c r="K898" i="1"/>
  <c r="K568" i="1"/>
  <c r="K780" i="1"/>
  <c r="K575" i="1"/>
  <c r="K267" i="1"/>
  <c r="K757" i="1"/>
  <c r="K772" i="1"/>
  <c r="K67" i="1"/>
  <c r="K733" i="1"/>
  <c r="K166" i="1"/>
  <c r="K584" i="1"/>
  <c r="K786" i="1"/>
  <c r="L122" i="1"/>
  <c r="K122" i="1"/>
  <c r="L286" i="1"/>
  <c r="K286" i="1"/>
  <c r="L1249" i="1"/>
  <c r="K1249" i="1"/>
  <c r="L833" i="1"/>
  <c r="K833" i="1"/>
  <c r="L1267" i="1"/>
  <c r="K1267" i="1"/>
  <c r="L493" i="1"/>
  <c r="K493" i="1"/>
  <c r="L160" i="1"/>
  <c r="K160" i="1"/>
  <c r="L1439" i="1"/>
  <c r="K1439" i="1"/>
  <c r="L624" i="1"/>
  <c r="K624" i="1"/>
  <c r="L514" i="1"/>
  <c r="K514" i="1"/>
  <c r="L903" i="1"/>
  <c r="K903" i="1"/>
  <c r="L1136" i="1"/>
  <c r="K1136" i="1"/>
  <c r="L629" i="1"/>
  <c r="K629" i="1"/>
  <c r="L47" i="1"/>
  <c r="K47" i="1"/>
  <c r="L312" i="1"/>
  <c r="K312" i="1"/>
  <c r="L487" i="1"/>
  <c r="K487" i="1"/>
  <c r="L455" i="1"/>
  <c r="K455" i="1"/>
  <c r="L1214" i="1"/>
  <c r="K1214" i="1"/>
  <c r="L901" i="1"/>
  <c r="K901" i="1"/>
  <c r="L1448" i="1"/>
  <c r="K1448" i="1"/>
  <c r="L1016" i="1"/>
  <c r="K1016" i="1"/>
  <c r="L790" i="1"/>
  <c r="K790" i="1"/>
  <c r="L546" i="1"/>
  <c r="K546" i="1"/>
  <c r="L1332" i="1"/>
  <c r="K1332" i="1"/>
  <c r="L137" i="1"/>
  <c r="K137" i="1"/>
  <c r="L322" i="1"/>
  <c r="K322" i="1"/>
  <c r="L489" i="1"/>
  <c r="K489" i="1"/>
  <c r="L1039" i="1"/>
  <c r="K1039" i="1"/>
  <c r="L875" i="1"/>
  <c r="K875" i="1"/>
  <c r="L555" i="1"/>
  <c r="K555" i="1"/>
  <c r="L1157" i="1"/>
  <c r="K1157" i="1"/>
  <c r="L277" i="1"/>
  <c r="K277" i="1"/>
  <c r="L273" i="1"/>
  <c r="K273" i="1"/>
  <c r="L766" i="1"/>
  <c r="K766" i="1"/>
  <c r="L395" i="1"/>
  <c r="K395" i="1"/>
  <c r="L66" i="1"/>
  <c r="K66" i="1"/>
  <c r="L314" i="1"/>
  <c r="K314" i="1"/>
  <c r="L158" i="1"/>
  <c r="K158" i="1"/>
  <c r="L206" i="1"/>
  <c r="K206" i="1"/>
  <c r="K563" i="1"/>
  <c r="K1011" i="1"/>
  <c r="L992" i="1"/>
  <c r="K992" i="1"/>
  <c r="L227" i="1"/>
  <c r="K227" i="1"/>
  <c r="L290" i="1"/>
  <c r="K290" i="1"/>
  <c r="L884" i="1"/>
  <c r="K884" i="1"/>
  <c r="L210" i="1"/>
  <c r="K210" i="1"/>
  <c r="L1093" i="1"/>
  <c r="K1093" i="1"/>
  <c r="L368" i="1"/>
  <c r="K368" i="1"/>
  <c r="L866" i="1"/>
  <c r="K866" i="1"/>
  <c r="L1341" i="1"/>
  <c r="K1341" i="1"/>
  <c r="L966" i="1"/>
  <c r="K966" i="1"/>
  <c r="L997" i="1"/>
  <c r="K997" i="1"/>
  <c r="L1412" i="1"/>
  <c r="K1412" i="1"/>
  <c r="L129" i="1"/>
  <c r="K129" i="1"/>
  <c r="L1046" i="1"/>
  <c r="K1046" i="1"/>
  <c r="L851" i="1"/>
  <c r="K851" i="1"/>
  <c r="L681" i="1"/>
  <c r="K681" i="1"/>
  <c r="L690" i="1"/>
  <c r="K690" i="1"/>
  <c r="L1221" i="1"/>
  <c r="K1221" i="1"/>
  <c r="L758" i="1"/>
  <c r="K758" i="1"/>
  <c r="L944" i="1"/>
  <c r="K944" i="1"/>
  <c r="L169" i="1"/>
  <c r="K169" i="1"/>
  <c r="L21" i="1"/>
  <c r="K21" i="1"/>
  <c r="L51" i="1"/>
  <c r="K51" i="1"/>
  <c r="L1253" i="1"/>
  <c r="K1253" i="1"/>
  <c r="L414" i="1"/>
  <c r="K414" i="1"/>
  <c r="L1108" i="1"/>
  <c r="K1108" i="1"/>
  <c r="L417" i="1"/>
  <c r="K417" i="1"/>
  <c r="L1298" i="1"/>
  <c r="K1298" i="1"/>
  <c r="L947" i="1"/>
  <c r="K947" i="1"/>
  <c r="L1192" i="1"/>
  <c r="K1192" i="1"/>
  <c r="L1330" i="1"/>
  <c r="K1330" i="1"/>
  <c r="L320" i="1"/>
  <c r="K320" i="1"/>
  <c r="L1091" i="1"/>
  <c r="K1091" i="1"/>
  <c r="L1033" i="1"/>
  <c r="K1033" i="1"/>
  <c r="L191" i="1"/>
  <c r="K191" i="1"/>
  <c r="L1189" i="1"/>
  <c r="K1189" i="1"/>
  <c r="L1353" i="1"/>
  <c r="K1353" i="1"/>
  <c r="L268" i="1"/>
  <c r="K268" i="1"/>
  <c r="L969" i="1"/>
  <c r="K969" i="1"/>
  <c r="L272" i="1"/>
  <c r="K272" i="1"/>
  <c r="K776" i="1"/>
  <c r="K221" i="1"/>
  <c r="K1444" i="1"/>
  <c r="K1161" i="1"/>
  <c r="K693" i="1"/>
  <c r="K401" i="1"/>
  <c r="K756" i="1"/>
  <c r="K37" i="1"/>
  <c r="K689" i="1"/>
  <c r="K202" i="1"/>
  <c r="K342" i="1"/>
  <c r="K461" i="1"/>
  <c r="K912" i="1"/>
  <c r="K722" i="1"/>
  <c r="K781" i="1"/>
  <c r="K542" i="1"/>
  <c r="K1382" i="1"/>
  <c r="K900" i="1"/>
  <c r="K1454" i="1"/>
  <c r="K1143" i="1"/>
  <c r="K376" i="1"/>
  <c r="K841" i="1"/>
  <c r="K10" i="1"/>
  <c r="K667" i="1"/>
  <c r="K856" i="1"/>
  <c r="K251" i="1"/>
  <c r="K253" i="1"/>
  <c r="K1002" i="1"/>
  <c r="K765" i="1"/>
  <c r="K506" i="1"/>
  <c r="K59" i="1"/>
  <c r="K1131" i="1"/>
  <c r="K529" i="1"/>
  <c r="K832" i="1"/>
  <c r="K405" i="1"/>
  <c r="K873" i="1"/>
  <c r="K428" i="1"/>
  <c r="K331" i="1"/>
  <c r="K373" i="1"/>
  <c r="K778" i="1"/>
  <c r="K1207" i="1"/>
  <c r="K1263" i="1"/>
  <c r="K168" i="1"/>
  <c r="K70" i="1"/>
  <c r="K345" i="1"/>
  <c r="K1085" i="1"/>
  <c r="K771" i="1"/>
  <c r="K442" i="1"/>
  <c r="K1348" i="1"/>
  <c r="L1224" i="1"/>
  <c r="K1224" i="1"/>
  <c r="L422" i="1"/>
  <c r="K422" i="1"/>
  <c r="L549" i="1"/>
  <c r="K549" i="1"/>
  <c r="L1244" i="1"/>
  <c r="K1244" i="1"/>
  <c r="L1501" i="1"/>
  <c r="K1501" i="1"/>
  <c r="L872" i="1"/>
  <c r="K872" i="1"/>
  <c r="L962" i="1"/>
  <c r="K962" i="1"/>
  <c r="L715" i="1"/>
  <c r="K715" i="1"/>
  <c r="L904" i="1"/>
  <c r="K904" i="1"/>
  <c r="L1425" i="1"/>
  <c r="K1425" i="1"/>
  <c r="L967" i="1"/>
  <c r="K967" i="1"/>
  <c r="L289" i="1"/>
  <c r="K289" i="1"/>
  <c r="L641" i="1"/>
  <c r="K641" i="1"/>
  <c r="L1302" i="1"/>
  <c r="K1302" i="1"/>
  <c r="L1373" i="1"/>
  <c r="K1373" i="1"/>
  <c r="L652" i="1"/>
  <c r="K652" i="1"/>
  <c r="L46" i="1"/>
  <c r="K46" i="1"/>
  <c r="L595" i="1"/>
  <c r="K595" i="1"/>
  <c r="L892" i="1"/>
  <c r="K892" i="1"/>
  <c r="L73" i="1"/>
  <c r="K73" i="1"/>
  <c r="L533" i="1"/>
  <c r="K533" i="1"/>
  <c r="L526" i="1"/>
  <c r="K526" i="1"/>
  <c r="L343" i="1"/>
  <c r="K343" i="1"/>
  <c r="L76" i="1"/>
  <c r="K76" i="1"/>
  <c r="L545" i="1"/>
  <c r="K545" i="1"/>
  <c r="L894" i="1"/>
  <c r="K894" i="1"/>
  <c r="L1017" i="1"/>
  <c r="K1017" i="1"/>
  <c r="L1322" i="1"/>
  <c r="K1322" i="1"/>
  <c r="L1026" i="1"/>
  <c r="K1026" i="1"/>
  <c r="L117" i="1"/>
  <c r="K117" i="1"/>
  <c r="L24" i="1"/>
  <c r="K24" i="1"/>
  <c r="L22" i="1"/>
  <c r="K22" i="1"/>
  <c r="L1106" i="1"/>
  <c r="K1106" i="1"/>
  <c r="L1043" i="1"/>
  <c r="K1043" i="1"/>
  <c r="L451" i="1"/>
  <c r="K451" i="1"/>
  <c r="L1399" i="1"/>
  <c r="K1399" i="1"/>
  <c r="L631" i="1"/>
  <c r="K631" i="1"/>
  <c r="L609" i="1"/>
  <c r="K609" i="1"/>
  <c r="K548" i="1"/>
  <c r="K27" i="1"/>
  <c r="K559" i="1"/>
  <c r="K120" i="1"/>
  <c r="K341" i="1"/>
  <c r="K634" i="1"/>
  <c r="K201" i="1"/>
  <c r="K157" i="1"/>
  <c r="K953" i="1"/>
  <c r="K1371" i="1"/>
  <c r="K805" i="1"/>
  <c r="K935" i="1"/>
  <c r="K621" i="1"/>
  <c r="K748" i="1"/>
  <c r="K625" i="1"/>
  <c r="K653" i="1"/>
  <c r="K573" i="1"/>
  <c r="K639" i="1"/>
  <c r="K219" i="1"/>
  <c r="K1431" i="1"/>
  <c r="K1087" i="1"/>
  <c r="K1132" i="1"/>
  <c r="K775" i="1"/>
  <c r="K156" i="1"/>
  <c r="K64" i="1"/>
  <c r="K1130" i="1"/>
  <c r="K225" i="1"/>
  <c r="K447" i="1"/>
  <c r="K724" i="1"/>
  <c r="K1145" i="1"/>
  <c r="K475" i="1"/>
  <c r="K139" i="1"/>
  <c r="K57" i="1"/>
  <c r="K79" i="1"/>
  <c r="K1103" i="1"/>
  <c r="K938" i="1"/>
  <c r="K936" i="1"/>
  <c r="K1237" i="1"/>
  <c r="K695" i="1"/>
  <c r="K399" i="1"/>
  <c r="K1291" i="1"/>
  <c r="K125" i="1"/>
  <c r="K1374" i="1"/>
  <c r="K483" i="1"/>
  <c r="K93" i="1"/>
  <c r="K1190" i="1"/>
  <c r="K1419" i="1"/>
  <c r="K1168" i="1"/>
  <c r="K1179" i="1"/>
  <c r="K1345" i="1"/>
  <c r="K1197" i="1"/>
  <c r="K561" i="1"/>
  <c r="K802" i="1"/>
  <c r="K565" i="1"/>
  <c r="K1464" i="1"/>
  <c r="K959" i="1"/>
  <c r="K1094" i="1"/>
  <c r="K1285" i="1"/>
  <c r="K663" i="1"/>
  <c r="K1483" i="1"/>
  <c r="K155" i="1"/>
  <c r="K278" i="1"/>
  <c r="K479" i="1"/>
  <c r="K1296" i="1"/>
  <c r="K1252" i="1"/>
  <c r="K1274" i="1"/>
  <c r="K1102" i="1"/>
  <c r="K11" i="1"/>
  <c r="K164" i="1"/>
  <c r="K642" i="1"/>
  <c r="K928" i="1"/>
  <c r="K531" i="1"/>
  <c r="K1064" i="1"/>
  <c r="K941" i="1"/>
  <c r="K310" i="1"/>
  <c r="K1450" i="1"/>
  <c r="K1397" i="1"/>
  <c r="K602" i="1"/>
  <c r="K1095" i="1"/>
  <c r="K52" i="1"/>
  <c r="K1122" i="1"/>
  <c r="K913" i="1"/>
  <c r="K1449" i="1"/>
  <c r="K143" i="1"/>
  <c r="K423" i="1"/>
  <c r="K1147" i="1"/>
  <c r="K886" i="1"/>
  <c r="K889" i="1"/>
  <c r="K783" i="1"/>
  <c r="K452" i="1"/>
  <c r="K1479" i="1"/>
  <c r="K350" i="1"/>
  <c r="K1070" i="1"/>
  <c r="K203" i="1"/>
  <c r="K1258" i="1"/>
  <c r="K1068" i="1"/>
  <c r="K543" i="1"/>
  <c r="K817" i="1"/>
  <c r="K696" i="1"/>
  <c r="L134" i="1"/>
  <c r="K134" i="1"/>
  <c r="L348" i="1"/>
  <c r="K348" i="1"/>
  <c r="L1075" i="1"/>
  <c r="K1075" i="1"/>
  <c r="L380" i="1"/>
  <c r="K380" i="1"/>
  <c r="L801" i="1"/>
  <c r="K801" i="1"/>
  <c r="L1277" i="1"/>
  <c r="K1277" i="1"/>
  <c r="L1500" i="1"/>
  <c r="K1500" i="1"/>
  <c r="L1363" i="1"/>
  <c r="K1363" i="1"/>
  <c r="L392" i="1"/>
  <c r="K392" i="1"/>
  <c r="L858" i="1"/>
  <c r="K858" i="1"/>
  <c r="L811" i="1"/>
  <c r="K811" i="1"/>
  <c r="L355" i="1"/>
  <c r="K355" i="1"/>
  <c r="L993" i="1"/>
  <c r="K993" i="1"/>
  <c r="L970" i="1"/>
  <c r="K970" i="1"/>
  <c r="L905" i="1"/>
  <c r="K905" i="1"/>
  <c r="L946" i="1"/>
  <c r="K946" i="1"/>
  <c r="L770" i="1"/>
  <c r="K770" i="1"/>
  <c r="L411" i="1"/>
  <c r="K411" i="1"/>
  <c r="L1462" i="1"/>
  <c r="K1462" i="1"/>
  <c r="L1009" i="1"/>
  <c r="K1009" i="1"/>
  <c r="L1188" i="1"/>
  <c r="K1188" i="1"/>
  <c r="L429" i="1"/>
  <c r="K429" i="1"/>
  <c r="L1289" i="1"/>
  <c r="K1289" i="1"/>
  <c r="L326" i="1"/>
  <c r="K326" i="1"/>
  <c r="L844" i="1"/>
  <c r="K844" i="1"/>
  <c r="L1234" i="1"/>
  <c r="K1234" i="1"/>
  <c r="L794" i="1"/>
  <c r="K794" i="1"/>
  <c r="L176" i="1"/>
  <c r="K176" i="1"/>
  <c r="L861" i="1"/>
  <c r="K861" i="1"/>
  <c r="L329" i="1"/>
  <c r="K329" i="1"/>
  <c r="L1073" i="1"/>
  <c r="K1073" i="1"/>
  <c r="L1006" i="1"/>
  <c r="K1006" i="1"/>
  <c r="L466" i="1"/>
  <c r="K466" i="1"/>
  <c r="L1313" i="1"/>
  <c r="K1313" i="1"/>
  <c r="L538" i="1"/>
  <c r="K538" i="1"/>
  <c r="L581" i="1"/>
  <c r="K581" i="1"/>
  <c r="L764" i="1"/>
  <c r="K764" i="1"/>
  <c r="L1426" i="1"/>
  <c r="K1426" i="1"/>
  <c r="L242" i="1"/>
  <c r="N9" i="5" s="1"/>
  <c r="N10" i="5" s="1"/>
  <c r="K242" i="1"/>
  <c r="L708" i="1"/>
  <c r="K708" i="1"/>
  <c r="L917" i="1"/>
  <c r="K917" i="1"/>
  <c r="L1098" i="1"/>
  <c r="K1098" i="1"/>
  <c r="L330" i="1"/>
  <c r="K330" i="1"/>
  <c r="L77" i="1"/>
  <c r="K77" i="1"/>
  <c r="K413" i="1"/>
  <c r="K1194" i="1"/>
  <c r="K378" i="1"/>
  <c r="K1324" i="1"/>
  <c r="K1453" i="1"/>
  <c r="K922" i="1"/>
  <c r="K868" i="1"/>
  <c r="K952" i="1"/>
  <c r="K991" i="1"/>
  <c r="K28" i="1"/>
  <c r="K1328" i="1"/>
  <c r="K1185" i="1"/>
  <c r="K792" i="1"/>
  <c r="K311" i="1"/>
  <c r="K324" i="1"/>
  <c r="K820" i="1"/>
  <c r="K387" i="1"/>
  <c r="K349" i="1"/>
  <c r="K126" i="1"/>
  <c r="K541" i="1"/>
  <c r="K670" i="1"/>
  <c r="K1159" i="1"/>
  <c r="K352" i="1"/>
  <c r="K15" i="1"/>
  <c r="K1385" i="1"/>
  <c r="K1396" i="1"/>
  <c r="K492" i="1"/>
  <c r="K467" i="1"/>
  <c r="K702" i="1"/>
  <c r="K975" i="1"/>
  <c r="K211" i="1"/>
  <c r="K1505" i="1"/>
  <c r="K512" i="1"/>
  <c r="K899" i="1"/>
  <c r="K407" i="1"/>
  <c r="K1401" i="1"/>
  <c r="K38" i="1"/>
  <c r="K445" i="1"/>
  <c r="K1469" i="1"/>
  <c r="K1225" i="1"/>
  <c r="K850" i="1"/>
  <c r="K950" i="1"/>
  <c r="K1357" i="1"/>
  <c r="K265" i="1"/>
  <c r="K673" i="1"/>
  <c r="K1455" i="1"/>
  <c r="K1478" i="1"/>
  <c r="K1010" i="1"/>
  <c r="K612" i="1"/>
  <c r="K1061" i="1"/>
  <c r="K1219" i="1"/>
  <c r="K214" i="1"/>
  <c r="K1090" i="1"/>
  <c r="K540" i="1"/>
  <c r="K239" i="1"/>
  <c r="K259" i="1"/>
  <c r="K1142" i="1"/>
  <c r="K1180" i="1"/>
  <c r="K608" i="1"/>
  <c r="K294" i="1"/>
  <c r="K231" i="1"/>
  <c r="K826" i="1"/>
  <c r="K362" i="1"/>
  <c r="K1383" i="1"/>
  <c r="K360" i="1"/>
  <c r="K482" i="1"/>
  <c r="K217" i="1"/>
  <c r="K580" i="1"/>
  <c r="K633" i="1"/>
  <c r="K553" i="1"/>
  <c r="K896" i="1"/>
  <c r="K318" i="1"/>
  <c r="K35" i="1"/>
  <c r="K618" i="1"/>
  <c r="K1071" i="1"/>
  <c r="K1211" i="1"/>
  <c r="K26" i="1"/>
  <c r="K916" i="1"/>
  <c r="K450" i="1"/>
  <c r="K682" i="1"/>
  <c r="K366" i="1"/>
  <c r="K453" i="1"/>
  <c r="K656" i="1"/>
  <c r="K339" i="1"/>
  <c r="K226" i="1"/>
  <c r="K365" i="1"/>
  <c r="K791" i="1"/>
  <c r="K309" i="1"/>
  <c r="K431" i="1"/>
  <c r="K357" i="1"/>
  <c r="K1346" i="1"/>
  <c r="K346" i="1"/>
  <c r="K989" i="1"/>
  <c r="K687" i="1"/>
  <c r="L589" i="1"/>
  <c r="K589" i="1"/>
  <c r="L761" i="1"/>
  <c r="K761" i="1"/>
  <c r="L865" i="1"/>
  <c r="K865" i="1"/>
  <c r="L1498" i="1"/>
  <c r="K1498" i="1"/>
  <c r="L692" i="1"/>
  <c r="K692" i="1"/>
  <c r="L282" i="1"/>
  <c r="K282" i="1"/>
  <c r="L924" i="1"/>
  <c r="K924" i="1"/>
  <c r="L1255" i="1"/>
  <c r="K1255" i="1"/>
  <c r="L1123" i="1"/>
  <c r="K1123" i="1"/>
  <c r="L448" i="1"/>
  <c r="K448" i="1"/>
  <c r="L443" i="1"/>
  <c r="K443" i="1"/>
  <c r="L623" i="1"/>
  <c r="K623" i="1"/>
  <c r="L1182" i="1"/>
  <c r="K1182" i="1"/>
  <c r="L1266" i="1"/>
  <c r="K1266" i="1"/>
  <c r="L60" i="1"/>
  <c r="K60" i="1"/>
  <c r="L25" i="1"/>
  <c r="K25" i="1"/>
  <c r="L336" i="1"/>
  <c r="K336" i="1"/>
  <c r="L971" i="1"/>
  <c r="K971" i="1"/>
  <c r="L1404" i="1"/>
  <c r="K1404" i="1"/>
  <c r="L1158" i="1"/>
  <c r="K1158" i="1"/>
  <c r="L39" i="1"/>
  <c r="K39" i="1"/>
  <c r="L1030" i="1"/>
  <c r="K1030" i="1"/>
  <c r="L701" i="1"/>
  <c r="K701" i="1"/>
  <c r="L1424" i="1"/>
  <c r="K1424" i="1"/>
  <c r="L694" i="1"/>
  <c r="K694" i="1"/>
  <c r="L911" i="1"/>
  <c r="K911" i="1"/>
  <c r="L1372" i="1"/>
  <c r="K1372" i="1"/>
  <c r="L419" i="1"/>
  <c r="K419" i="1"/>
  <c r="L830" i="1"/>
  <c r="K830" i="1"/>
  <c r="L1045" i="1"/>
  <c r="K1045" i="1"/>
  <c r="L1281" i="1"/>
  <c r="K1281" i="1"/>
  <c r="L557" i="1"/>
  <c r="K557" i="1"/>
  <c r="L1390" i="1"/>
  <c r="K1390" i="1"/>
  <c r="L1354" i="1"/>
  <c r="K1354" i="1"/>
  <c r="L257" i="1"/>
  <c r="K257" i="1"/>
  <c r="L821" i="1"/>
  <c r="K821" i="1"/>
  <c r="L1228" i="1"/>
  <c r="K1228" i="1"/>
  <c r="L1463" i="1"/>
  <c r="K1463" i="1"/>
  <c r="L933" i="1"/>
  <c r="K933" i="1"/>
  <c r="L53" i="1"/>
  <c r="K53" i="1"/>
  <c r="L842" i="1"/>
  <c r="K842" i="1"/>
  <c r="L593" i="1"/>
  <c r="K593" i="1"/>
  <c r="L463" i="1"/>
  <c r="K463" i="1"/>
  <c r="L727" i="1"/>
  <c r="K727" i="1"/>
  <c r="L1062" i="1"/>
  <c r="K1062" i="1"/>
  <c r="L91" i="1"/>
  <c r="K91" i="1"/>
  <c r="L862" i="1"/>
  <c r="K862" i="1"/>
  <c r="L662" i="1"/>
  <c r="K662" i="1"/>
  <c r="L383" i="1"/>
  <c r="K383" i="1"/>
  <c r="L465" i="1"/>
  <c r="K465" i="1"/>
  <c r="L1476" i="1"/>
  <c r="K1476" i="1"/>
  <c r="L1205" i="1"/>
  <c r="K1205" i="1"/>
  <c r="L353" i="1"/>
  <c r="K353" i="1"/>
  <c r="L1195" i="1"/>
  <c r="K1195" i="1"/>
  <c r="L141" i="1"/>
  <c r="K141" i="1"/>
  <c r="L1037" i="1"/>
  <c r="K1037" i="1"/>
  <c r="L101" i="1"/>
  <c r="K101" i="1"/>
  <c r="L1376" i="1"/>
  <c r="K1376" i="1"/>
  <c r="L9" i="1"/>
  <c r="K9" i="1"/>
  <c r="L1251" i="1"/>
  <c r="K1251" i="1"/>
  <c r="L657" i="1"/>
  <c r="K657" i="1"/>
  <c r="L949" i="1"/>
  <c r="K949" i="1"/>
  <c r="L304" i="1"/>
  <c r="K304" i="1"/>
  <c r="L1204" i="1"/>
  <c r="K1204" i="1"/>
  <c r="L142" i="1"/>
  <c r="K142" i="1"/>
  <c r="L338" i="1"/>
  <c r="K338" i="1"/>
  <c r="L45" i="1"/>
  <c r="K45" i="1"/>
  <c r="L146" i="1"/>
  <c r="K146" i="1"/>
  <c r="L186" i="1"/>
  <c r="K186" i="1"/>
  <c r="L435" i="1"/>
  <c r="K435" i="1"/>
  <c r="L1104" i="1"/>
  <c r="K1104" i="1"/>
  <c r="L187" i="1"/>
  <c r="K187" i="1"/>
  <c r="L29" i="1"/>
  <c r="K29" i="1"/>
  <c r="L1282" i="1"/>
  <c r="K1282" i="1"/>
  <c r="L504" i="1"/>
  <c r="K504" i="1"/>
  <c r="L1402" i="1"/>
  <c r="K1402" i="1"/>
  <c r="L996" i="1"/>
  <c r="K996" i="1"/>
  <c r="L1040" i="1"/>
  <c r="K1040" i="1"/>
  <c r="L1349" i="1"/>
  <c r="K1349" i="1"/>
  <c r="L823" i="1"/>
  <c r="K823" i="1"/>
  <c r="L857" i="1"/>
  <c r="K857" i="1"/>
  <c r="L1187" i="1"/>
  <c r="K1187" i="1"/>
  <c r="L1110" i="1"/>
  <c r="K1110" i="1"/>
  <c r="L895" i="1"/>
  <c r="K895" i="1"/>
  <c r="L305" i="1"/>
  <c r="K305" i="1"/>
  <c r="L133" i="1"/>
  <c r="K133" i="1"/>
  <c r="L822" i="1"/>
  <c r="K822" i="1"/>
  <c r="L189" i="1"/>
  <c r="K189" i="1"/>
  <c r="L1160" i="1"/>
  <c r="K1160" i="1"/>
  <c r="L375" i="1"/>
  <c r="K375" i="1"/>
  <c r="L517" i="1"/>
  <c r="K517" i="1"/>
  <c r="L994" i="1"/>
  <c r="K994" i="1"/>
  <c r="L480" i="1"/>
  <c r="K480" i="1"/>
  <c r="L709" i="1"/>
  <c r="K709" i="1"/>
  <c r="L1063" i="1"/>
  <c r="K1063" i="1"/>
  <c r="L1339" i="1"/>
  <c r="K1339" i="1"/>
  <c r="L113" i="1"/>
  <c r="K113" i="1"/>
  <c r="L1243" i="1"/>
  <c r="K1243" i="1"/>
  <c r="L737" i="1"/>
  <c r="K737" i="1"/>
  <c r="L777" i="1"/>
  <c r="K777" i="1"/>
  <c r="L224" i="1"/>
  <c r="K224" i="1"/>
  <c r="L749" i="1"/>
  <c r="K749" i="1"/>
  <c r="L1334" i="1"/>
  <c r="K1334" i="1"/>
  <c r="L1506" i="1"/>
  <c r="K1506" i="1"/>
  <c r="L725" i="1"/>
  <c r="K725" i="1"/>
  <c r="L677" i="1"/>
  <c r="K677" i="1"/>
  <c r="L328" i="1"/>
  <c r="K328" i="1"/>
  <c r="L750" i="1"/>
  <c r="K750" i="1"/>
  <c r="L1461" i="1"/>
  <c r="K1461" i="1"/>
  <c r="L88" i="1"/>
  <c r="K88" i="1"/>
  <c r="L1293" i="1"/>
  <c r="K1293" i="1"/>
  <c r="L432" i="1"/>
  <c r="K432" i="1"/>
  <c r="L131" i="1"/>
  <c r="K131" i="1"/>
  <c r="L984" i="1"/>
  <c r="K984" i="1"/>
  <c r="L522" i="1"/>
  <c r="K522" i="1"/>
  <c r="L1167" i="1"/>
  <c r="K1167" i="1"/>
  <c r="L1217" i="1"/>
  <c r="K1217" i="1"/>
  <c r="L578" i="1"/>
  <c r="K578" i="1"/>
  <c r="L703" i="1"/>
  <c r="K703" i="1"/>
  <c r="L1165" i="1"/>
  <c r="K1165" i="1"/>
  <c r="L711" i="1"/>
  <c r="K711" i="1"/>
  <c r="L1086" i="1"/>
  <c r="K1086" i="1"/>
  <c r="L1494" i="1"/>
  <c r="K1494" i="1"/>
  <c r="L882" i="1"/>
  <c r="K882" i="1"/>
  <c r="L518" i="1"/>
  <c r="K518" i="1"/>
  <c r="L704" i="1"/>
  <c r="K704" i="1"/>
  <c r="L1034" i="1"/>
  <c r="K1034" i="1"/>
  <c r="L1491" i="1"/>
  <c r="K1491" i="1"/>
  <c r="L17" i="1"/>
  <c r="K17" i="1"/>
  <c r="L1275" i="1"/>
  <c r="K1275" i="1"/>
  <c r="L105" i="1"/>
  <c r="K105" i="1"/>
  <c r="L481" i="1"/>
  <c r="K481" i="1"/>
  <c r="L706" i="1"/>
  <c r="K706" i="1"/>
  <c r="L247" i="1"/>
  <c r="K247" i="1"/>
  <c r="L254" i="1"/>
  <c r="K254" i="1"/>
  <c r="L44" i="1"/>
  <c r="K44" i="1"/>
  <c r="L1508" i="1"/>
  <c r="K1508" i="1"/>
  <c r="L720" i="1"/>
  <c r="K720" i="1"/>
  <c r="L233" i="1"/>
  <c r="K233" i="1"/>
  <c r="L668" i="1"/>
  <c r="K668" i="1"/>
  <c r="L1141" i="1"/>
  <c r="K1141" i="1"/>
  <c r="L920" i="1"/>
  <c r="K920" i="1"/>
  <c r="L379" i="1"/>
  <c r="K379" i="1"/>
  <c r="L1121" i="1"/>
  <c r="K1121" i="1"/>
  <c r="L103" i="1"/>
  <c r="K103" i="1"/>
  <c r="L1421" i="1"/>
  <c r="K1421" i="1"/>
  <c r="L983" i="1"/>
  <c r="K983" i="1"/>
  <c r="L1418" i="1"/>
  <c r="K1418" i="1"/>
  <c r="L200" i="1"/>
  <c r="K200" i="1"/>
  <c r="L473" i="1"/>
  <c r="K473" i="1"/>
  <c r="L1411" i="1"/>
  <c r="K1411" i="1"/>
  <c r="L121" i="1"/>
  <c r="K121" i="1"/>
  <c r="L498" i="1"/>
  <c r="K498" i="1"/>
  <c r="L1409" i="1"/>
  <c r="K1409" i="1"/>
  <c r="L870" i="1"/>
  <c r="K870" i="1"/>
  <c r="L655" i="1"/>
  <c r="K655" i="1"/>
  <c r="L20" i="1"/>
  <c r="K20" i="1"/>
  <c r="L23" i="1"/>
  <c r="K23" i="1"/>
  <c r="L2" i="1"/>
  <c r="K2" i="1"/>
  <c r="L284" i="1"/>
  <c r="K284" i="1"/>
  <c r="L1101" i="1"/>
  <c r="K1101" i="1"/>
  <c r="L1127" i="1"/>
  <c r="K1127" i="1"/>
  <c r="L890" i="1"/>
  <c r="K890" i="1"/>
  <c r="L1375" i="1"/>
  <c r="K1375" i="1"/>
  <c r="L1115" i="1"/>
  <c r="K1115" i="1"/>
  <c r="L199" i="1"/>
  <c r="K199" i="1"/>
  <c r="L1057" i="1"/>
  <c r="K1057" i="1"/>
  <c r="L1171" i="1"/>
  <c r="K1171" i="1"/>
  <c r="L767" i="1"/>
  <c r="K767" i="1"/>
  <c r="L1231" i="1"/>
  <c r="K1231" i="1"/>
  <c r="K1054" i="1"/>
  <c r="K798" i="1"/>
  <c r="K812" i="1"/>
  <c r="K470" i="1"/>
  <c r="K65" i="1"/>
  <c r="K1407" i="1"/>
  <c r="K397" i="1"/>
  <c r="K1089" i="1"/>
  <c r="K1304" i="1"/>
  <c r="K1041" i="1"/>
  <c r="K1366" i="1"/>
  <c r="K426" i="1"/>
  <c r="K491" i="1"/>
  <c r="K1388" i="1"/>
  <c r="K183" i="1"/>
  <c r="K118" i="1"/>
  <c r="K1286" i="1"/>
  <c r="K880" i="1"/>
  <c r="K297" i="1"/>
  <c r="K1088" i="1"/>
  <c r="K1272" i="1"/>
  <c r="K398" i="1"/>
  <c r="K1489" i="1"/>
  <c r="K918" i="1"/>
  <c r="K1156" i="1"/>
  <c r="K782" i="1"/>
  <c r="K292" i="1"/>
  <c r="K1264" i="1"/>
  <c r="K762" i="1"/>
  <c r="K104" i="1"/>
  <c r="K713" i="1"/>
  <c r="K869" i="1"/>
  <c r="K307" i="1"/>
  <c r="K1036" i="1"/>
  <c r="K1112" i="1"/>
  <c r="K382" i="1"/>
  <c r="K332" i="1"/>
  <c r="K976" i="1"/>
  <c r="K1400" i="1"/>
  <c r="K1406" i="1"/>
  <c r="K184" i="1"/>
  <c r="K1230" i="1"/>
  <c r="K1076" i="1"/>
  <c r="K5" i="1"/>
  <c r="K824" i="1"/>
  <c r="K505" i="1"/>
  <c r="K1417" i="1"/>
  <c r="K61" i="1"/>
  <c r="K605" i="1"/>
  <c r="K571" i="1"/>
  <c r="K402" i="1"/>
  <c r="K1245" i="1"/>
  <c r="K1029" i="1"/>
  <c r="K648" i="1"/>
  <c r="K58" i="1"/>
  <c r="K881" i="1"/>
  <c r="K384" i="1"/>
  <c r="K178" i="1"/>
  <c r="K769" i="1"/>
  <c r="K150" i="1"/>
  <c r="K910" i="1"/>
  <c r="K567" i="1"/>
  <c r="K358" i="1"/>
  <c r="K98" i="1"/>
  <c r="K1051" i="1"/>
  <c r="K123" i="1"/>
  <c r="K646" i="1"/>
  <c r="K456" i="1"/>
  <c r="K819" i="1"/>
  <c r="K594" i="1"/>
  <c r="K1083" i="1"/>
  <c r="K80" i="1"/>
  <c r="K361" i="1"/>
  <c r="K686" i="1"/>
  <c r="K628" i="1"/>
  <c r="K96" i="1"/>
  <c r="K1150" i="1"/>
  <c r="K31" i="1"/>
  <c r="K1003" i="1"/>
  <c r="K981" i="1"/>
  <c r="K276" i="1"/>
  <c r="K815" i="1"/>
  <c r="K490" i="1"/>
  <c r="K112" i="1"/>
  <c r="K82" i="1"/>
  <c r="K321" i="1"/>
  <c r="K679" i="1"/>
  <c r="K1060" i="1"/>
  <c r="K396" i="1"/>
  <c r="K1326" i="1"/>
  <c r="K1109" i="1"/>
  <c r="K15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<sst xmlns="http://schemas.openxmlformats.org/spreadsheetml/2006/main" count="9083" uniqueCount="4441">
  <si>
    <t>SL NO</t>
  </si>
  <si>
    <t>NAME</t>
  </si>
  <si>
    <t>UID</t>
  </si>
  <si>
    <t>CONTACT NO</t>
  </si>
  <si>
    <t>YEAR</t>
  </si>
  <si>
    <t>SEM</t>
  </si>
  <si>
    <t>MATHS</t>
  </si>
  <si>
    <t>ECO</t>
  </si>
  <si>
    <t>ENG</t>
  </si>
  <si>
    <t>Payal</t>
  </si>
  <si>
    <t>Akash Rowl</t>
  </si>
  <si>
    <t>Krish Ghosh</t>
  </si>
  <si>
    <t>Abhiron Paul</t>
  </si>
  <si>
    <t>Chaitanya soni</t>
  </si>
  <si>
    <t>Saurav</t>
  </si>
  <si>
    <t>Aryan Jain</t>
  </si>
  <si>
    <t>Ritu Raj</t>
  </si>
  <si>
    <t>Shubham Shaw</t>
  </si>
  <si>
    <t>Debanik kundu</t>
  </si>
  <si>
    <t>Kumar Manglam</t>
  </si>
  <si>
    <t>Isha Chanda</t>
  </si>
  <si>
    <t>Reshmi Prasad</t>
  </si>
  <si>
    <t>Prashant Kumar</t>
  </si>
  <si>
    <t>Ayush Agarwala</t>
  </si>
  <si>
    <t>Jojafa Khanum</t>
  </si>
  <si>
    <t>Najmin Nahar</t>
  </si>
  <si>
    <t>Samrin Ali</t>
  </si>
  <si>
    <t>Trisha Raha</t>
  </si>
  <si>
    <t>Manya Ganatra</t>
  </si>
  <si>
    <t>Prothoma Sengupta</t>
  </si>
  <si>
    <t>Aritra Mullick</t>
  </si>
  <si>
    <t>Maryam khan</t>
  </si>
  <si>
    <t>Ritika Daultani</t>
  </si>
  <si>
    <t>SHIVAM KUMAR SINGH</t>
  </si>
  <si>
    <t>Puja singh</t>
  </si>
  <si>
    <t>Harsh kumar shaw</t>
  </si>
  <si>
    <t>Ankit Raj</t>
  </si>
  <si>
    <t>Shruti Chowdhury</t>
  </si>
  <si>
    <t>Naqiyah kaukawala</t>
  </si>
  <si>
    <t>Ayush saraogi</t>
  </si>
  <si>
    <t>Shruti shreya</t>
  </si>
  <si>
    <t>Rupesh Kumar Jha</t>
  </si>
  <si>
    <t>Md Huzaifa Aftab</t>
  </si>
  <si>
    <t>Roshmi Saha</t>
  </si>
  <si>
    <t>Hemanth Sharma</t>
  </si>
  <si>
    <t>Utkarsh Jaiswal</t>
  </si>
  <si>
    <t>Karan shah</t>
  </si>
  <si>
    <t>Ravi Kumar</t>
  </si>
  <si>
    <t>Aritro Sarkar</t>
  </si>
  <si>
    <t>Argha Saha</t>
  </si>
  <si>
    <t>Aryan soni</t>
  </si>
  <si>
    <t>Sania Parveen</t>
  </si>
  <si>
    <t>Rahul yadav</t>
  </si>
  <si>
    <t>Md Abdullah Khan</t>
  </si>
  <si>
    <t>Shreya Gautam</t>
  </si>
  <si>
    <t>Ashutosh Kumar</t>
  </si>
  <si>
    <t>Neha banthia</t>
  </si>
  <si>
    <t>Sanjana Singh</t>
  </si>
  <si>
    <t>VAIBHAV VARMA</t>
  </si>
  <si>
    <t>Abhay Kumar Agrawal</t>
  </si>
  <si>
    <t>Simran Das</t>
  </si>
  <si>
    <t>Saniya Chatterjee</t>
  </si>
  <si>
    <t>Anish Gotecha</t>
  </si>
  <si>
    <t>Tannushree</t>
  </si>
  <si>
    <t>Ankita Suman</t>
  </si>
  <si>
    <t>TANISHA SINGH</t>
  </si>
  <si>
    <t>Nabeel Iftekhar</t>
  </si>
  <si>
    <t>Abhinav Kumar Shah</t>
  </si>
  <si>
    <t>Anurag Singh</t>
  </si>
  <si>
    <t>Awais ul mulk</t>
  </si>
  <si>
    <t>SURAJ BARANWAL</t>
  </si>
  <si>
    <t>Arman Sevak</t>
  </si>
  <si>
    <t>Dev kumar</t>
  </si>
  <si>
    <t>PRINCE MISHRA</t>
  </si>
  <si>
    <t>Khushi Bihani</t>
  </si>
  <si>
    <t>Anamika Upadhyay</t>
  </si>
  <si>
    <t>Sai krishna sahoo</t>
  </si>
  <si>
    <t>Sadaf Imteyaz</t>
  </si>
  <si>
    <t>Shwati Singh</t>
  </si>
  <si>
    <t>Zaid Ahmed</t>
  </si>
  <si>
    <t>Shashank Shanu</t>
  </si>
  <si>
    <t>Saptarchi Chatterjee</t>
  </si>
  <si>
    <t>Julie mandal</t>
  </si>
  <si>
    <t>Riya Raj</t>
  </si>
  <si>
    <t>Tushar Sarawgee</t>
  </si>
  <si>
    <t>Rajnish Kumar</t>
  </si>
  <si>
    <t>Altamash Irshad</t>
  </si>
  <si>
    <t>Bhuwan Sharma</t>
  </si>
  <si>
    <t>Sujal rajak</t>
  </si>
  <si>
    <t>Sana khan</t>
  </si>
  <si>
    <t>Sujal chourasiya</t>
  </si>
  <si>
    <t>Sukanya Paul</t>
  </si>
  <si>
    <t>Rishabh Ojha</t>
  </si>
  <si>
    <t>SANSKAR SAHOO</t>
  </si>
  <si>
    <t>Swati Jaiswal</t>
  </si>
  <si>
    <t>Ruhika jaiswal</t>
  </si>
  <si>
    <t>Ritik Singhaniya</t>
  </si>
  <si>
    <t>Ayushi Chaudhary</t>
  </si>
  <si>
    <t>Harshita</t>
  </si>
  <si>
    <t>Ritu Kumari mandal</t>
  </si>
  <si>
    <t>Sumit Rajak</t>
  </si>
  <si>
    <t>Krishna Jaiswal</t>
  </si>
  <si>
    <t>Anisha kumari</t>
  </si>
  <si>
    <t>Ayesha khatoon</t>
  </si>
  <si>
    <t>Krish Modi</t>
  </si>
  <si>
    <t>Aabha Jain</t>
  </si>
  <si>
    <t>Riti Gupta</t>
  </si>
  <si>
    <t>Priya Mishra</t>
  </si>
  <si>
    <t>Divya agarwal</t>
  </si>
  <si>
    <t>Aanushka verma</t>
  </si>
  <si>
    <t>Sakshi Gupta</t>
  </si>
  <si>
    <t>Harsh Surana</t>
  </si>
  <si>
    <t>AMANDEEP BANERJEE</t>
  </si>
  <si>
    <t>Abhilesh bhagat</t>
  </si>
  <si>
    <t>Saima Idris jahan</t>
  </si>
  <si>
    <t>Kallyan Deb</t>
  </si>
  <si>
    <t>JAYANT MUNDHRA</t>
  </si>
  <si>
    <t>Devam Sipani</t>
  </si>
  <si>
    <t>Soumyajit Saha</t>
  </si>
  <si>
    <t>Prachi Sonthalia</t>
  </si>
  <si>
    <t>Khushi Gupta</t>
  </si>
  <si>
    <t>Abdul haris</t>
  </si>
  <si>
    <t>Darsh vora</t>
  </si>
  <si>
    <t>Akash Kumar</t>
  </si>
  <si>
    <t>Jaspreet Kaur</t>
  </si>
  <si>
    <t>Ekta Toppo</t>
  </si>
  <si>
    <t>Somsuvra nag</t>
  </si>
  <si>
    <t>Fahim Gazi</t>
  </si>
  <si>
    <t>Md affif hossain mullick</t>
  </si>
  <si>
    <t>Latika Shah</t>
  </si>
  <si>
    <t>Prakash Kumar Singh</t>
  </si>
  <si>
    <t>Dev Agarwal</t>
  </si>
  <si>
    <t>MD Azhar Hossain</t>
  </si>
  <si>
    <t>Shoaib Khaled Dadabhai</t>
  </si>
  <si>
    <t>Vedika Daga</t>
  </si>
  <si>
    <t>Prachi Daga</t>
  </si>
  <si>
    <t>Farhan Yousuf Khan</t>
  </si>
  <si>
    <t>Prasanjeet Palai</t>
  </si>
  <si>
    <t>Anshuman Anchal</t>
  </si>
  <si>
    <t>Jatin Bihani</t>
  </si>
  <si>
    <t>Abu Sayeed Md Bashirur Rahman</t>
  </si>
  <si>
    <t>Radhika kumari Gupta</t>
  </si>
  <si>
    <t>Sneha Yadav</t>
  </si>
  <si>
    <t>Shalil Kumar Rai</t>
  </si>
  <si>
    <t>Sidhartha Jain</t>
  </si>
  <si>
    <t>Ujjwal kumar agarwal</t>
  </si>
  <si>
    <t>Nikhil Jaiswal</t>
  </si>
  <si>
    <t>Jaywardhan Samsukha</t>
  </si>
  <si>
    <t>Sonal Gupta</t>
  </si>
  <si>
    <t>Sidharth goyal</t>
  </si>
  <si>
    <t>Vishwajeet kumar singh</t>
  </si>
  <si>
    <t>Bhumika Goyal</t>
  </si>
  <si>
    <t>Charu Bardia</t>
  </si>
  <si>
    <t>Insha Hassan</t>
  </si>
  <si>
    <t>Shyam kumar sarraf</t>
  </si>
  <si>
    <t>Akansha Solanki</t>
  </si>
  <si>
    <t>Om Prakash Barik</t>
  </si>
  <si>
    <t>Dipesh Dhariwal</t>
  </si>
  <si>
    <t>Sanika Shaw</t>
  </si>
  <si>
    <t>Tasfia Hossain</t>
  </si>
  <si>
    <t>Mudit Barmecha</t>
  </si>
  <si>
    <t>Ananya ghosh</t>
  </si>
  <si>
    <t>Piyush Agarwal</t>
  </si>
  <si>
    <t>Priya Fulfagar</t>
  </si>
  <si>
    <t>Sabarna Paul</t>
  </si>
  <si>
    <t>Chetna Atal</t>
  </si>
  <si>
    <t>Riona Chakraborty</t>
  </si>
  <si>
    <t>Tanish Desai</t>
  </si>
  <si>
    <t>Agrag Ghosh</t>
  </si>
  <si>
    <t>Umang Banka</t>
  </si>
  <si>
    <t>Darakhshan Ali</t>
  </si>
  <si>
    <t>Khyati S. Bansal</t>
  </si>
  <si>
    <t>SANJANA SAHA</t>
  </si>
  <si>
    <t>FARHAN ALAM MOLLA</t>
  </si>
  <si>
    <t>Krish Mahidhar</t>
  </si>
  <si>
    <t>Diksha Baid</t>
  </si>
  <si>
    <t>Ekta Panda</t>
  </si>
  <si>
    <t>Hemant Kaushik</t>
  </si>
  <si>
    <t>Soumyadeep Brahma</t>
  </si>
  <si>
    <t>Aditi singh</t>
  </si>
  <si>
    <t>Kushagra Gupta</t>
  </si>
  <si>
    <t>Kahkashan Tabassum</t>
  </si>
  <si>
    <t>Chetan Singh</t>
  </si>
  <si>
    <t>Mahima kejriwal</t>
  </si>
  <si>
    <t>Ansh Bhutoria</t>
  </si>
  <si>
    <t>Arham baid</t>
  </si>
  <si>
    <t>Gurvir Singh</t>
  </si>
  <si>
    <t>Lakshya Bhutoria</t>
  </si>
  <si>
    <t>Rashi Nahar</t>
  </si>
  <si>
    <t>Manjari Pandey</t>
  </si>
  <si>
    <t>Hiral Mohata</t>
  </si>
  <si>
    <t>Shruti Gupta</t>
  </si>
  <si>
    <t>Naina Chandak</t>
  </si>
  <si>
    <t>Urvi Sheth</t>
  </si>
  <si>
    <t>Shreya Gupta</t>
  </si>
  <si>
    <t>Tanisha Rani</t>
  </si>
  <si>
    <t>Vedanshi Sharma</t>
  </si>
  <si>
    <t>Dibyarup Hazra</t>
  </si>
  <si>
    <t>Harsh Khara</t>
  </si>
  <si>
    <t>Vivek Kumar Jha</t>
  </si>
  <si>
    <t>GRACY SHAH</t>
  </si>
  <si>
    <t>Rifa Sanzidah</t>
  </si>
  <si>
    <t>Ritika Agarwal</t>
  </si>
  <si>
    <t>Sristi sarkar</t>
  </si>
  <si>
    <t>Priya sharma</t>
  </si>
  <si>
    <t>ANMOL SUBASH</t>
  </si>
  <si>
    <t>Varun Kr Shukla</t>
  </si>
  <si>
    <t>Swati Patodia</t>
  </si>
  <si>
    <t>Sohan banerjee</t>
  </si>
  <si>
    <t>Utkarsh Goyal</t>
  </si>
  <si>
    <t>Viraj kothari</t>
  </si>
  <si>
    <t>Kushagra Barjatya</t>
  </si>
  <si>
    <t>Vaibhavi Patel</t>
  </si>
  <si>
    <t>Vivek Prasad Tanti</t>
  </si>
  <si>
    <t>SAMMAN</t>
  </si>
  <si>
    <t>Shreya Jain</t>
  </si>
  <si>
    <t>ARCHI SHAW</t>
  </si>
  <si>
    <t>Aman Pal</t>
  </si>
  <si>
    <t>Gaurav Shukla</t>
  </si>
  <si>
    <t>Bakshish Singh</t>
  </si>
  <si>
    <t>Swastik Jaiswal</t>
  </si>
  <si>
    <t>Aditya Kumar Singh</t>
  </si>
  <si>
    <t>Ridhi Patel</t>
  </si>
  <si>
    <t>ANOUSHKA SAMANTA</t>
  </si>
  <si>
    <t>Ishika Jain</t>
  </si>
  <si>
    <t>Sanskar Jain</t>
  </si>
  <si>
    <t>Naman Goel</t>
  </si>
  <si>
    <t>Raunak Mishra</t>
  </si>
  <si>
    <t>Chirag Lohariwal</t>
  </si>
  <si>
    <t>Karishma Bagri</t>
  </si>
  <si>
    <t>Kariya Viraj Deven</t>
  </si>
  <si>
    <t>Anuska Shaw</t>
  </si>
  <si>
    <t>Abhishek Kumar Sahu</t>
  </si>
  <si>
    <t>Divya Pandey</t>
  </si>
  <si>
    <t>Rajat Choudhuri</t>
  </si>
  <si>
    <t>vaibhav Tibrewal</t>
  </si>
  <si>
    <t>Samriddhi Ghosh</t>
  </si>
  <si>
    <t>Jayashree Gopalan</t>
  </si>
  <si>
    <t>PREM WALA</t>
  </si>
  <si>
    <t>Pragya Kumari</t>
  </si>
  <si>
    <t>Ayush chandra</t>
  </si>
  <si>
    <t>Purvi agarwal</t>
  </si>
  <si>
    <t>Priyanshi jalan</t>
  </si>
  <si>
    <t>Priyanshee chourasia</t>
  </si>
  <si>
    <t>Aanchal Kanodia</t>
  </si>
  <si>
    <t>Sahidul Islam Mullick</t>
  </si>
  <si>
    <t>Avantas Arora</t>
  </si>
  <si>
    <t>Aaliya Ebad</t>
  </si>
  <si>
    <t>Mishika Priya</t>
  </si>
  <si>
    <t>Sekhar Bajpai</t>
  </si>
  <si>
    <t>Reet Kothari</t>
  </si>
  <si>
    <t>Md saim</t>
  </si>
  <si>
    <t>Nishit Khorasia</t>
  </si>
  <si>
    <t>Akshat Jaiswal</t>
  </si>
  <si>
    <t>Akshat Parekh</t>
  </si>
  <si>
    <t>Manthan Kumar</t>
  </si>
  <si>
    <t>Ayush kumar</t>
  </si>
  <si>
    <t>Malaika Jain</t>
  </si>
  <si>
    <t>Rishi kajoria</t>
  </si>
  <si>
    <t>Rashi Agrawal</t>
  </si>
  <si>
    <t>Raina Rahman</t>
  </si>
  <si>
    <t>Unnati Shah</t>
  </si>
  <si>
    <t>Aryan Gupta</t>
  </si>
  <si>
    <t>Ayesha Riaz</t>
  </si>
  <si>
    <t>Shayan Seraj</t>
  </si>
  <si>
    <t>Aryan Agarwal</t>
  </si>
  <si>
    <t>Devanshi Bachhuka</t>
  </si>
  <si>
    <t>Prastuti Prayas</t>
  </si>
  <si>
    <t>Kumkum Bagri</t>
  </si>
  <si>
    <t>Sanchita Agarwal</t>
  </si>
  <si>
    <t>Manav Juthani</t>
  </si>
  <si>
    <t>Sana Fatma</t>
  </si>
  <si>
    <t>yazdan khan</t>
  </si>
  <si>
    <t>Md Zaid Adnan</t>
  </si>
  <si>
    <t>Nooman Ali</t>
  </si>
  <si>
    <t>Yuvraj Chouhan</t>
  </si>
  <si>
    <t>Md saqib</t>
  </si>
  <si>
    <t>Kashish Sharma</t>
  </si>
  <si>
    <t>Mohammed shaifta Shahbaz</t>
  </si>
  <si>
    <t>Rohan Chakraborty</t>
  </si>
  <si>
    <t>Karishma Maharwal</t>
  </si>
  <si>
    <t>Zeeshan Ejaz</t>
  </si>
  <si>
    <t>Pradip Mondal</t>
  </si>
  <si>
    <t>Simran bagaria</t>
  </si>
  <si>
    <t>Harsh Baid</t>
  </si>
  <si>
    <t>Mansiz Khandoker</t>
  </si>
  <si>
    <t>Aayush Sharma</t>
  </si>
  <si>
    <t>Adarsh balduva</t>
  </si>
  <si>
    <t>Kashish poddar</t>
  </si>
  <si>
    <t>Aditi Saraf</t>
  </si>
  <si>
    <t>Ejupi Das</t>
  </si>
  <si>
    <t>Kanishka Shaw</t>
  </si>
  <si>
    <t>Ameer ali</t>
  </si>
  <si>
    <t>Khushi Bhinde</t>
  </si>
  <si>
    <t>Prakriti Prasad</t>
  </si>
  <si>
    <t>Samipyaa Kaundilya</t>
  </si>
  <si>
    <t>Pratham jaiswal</t>
  </si>
  <si>
    <t>Atique Islam</t>
  </si>
  <si>
    <t>Syeda faria karim</t>
  </si>
  <si>
    <t>Gulfishan Bano</t>
  </si>
  <si>
    <t>Priya Jana</t>
  </si>
  <si>
    <t>Shahin Parveen</t>
  </si>
  <si>
    <t>Harsh singh</t>
  </si>
  <si>
    <t>Chirag Khajanchi</t>
  </si>
  <si>
    <t>Rohit Nag</t>
  </si>
  <si>
    <t>Ashish Chourasia</t>
  </si>
  <si>
    <t>Yuvraaj Shaw</t>
  </si>
  <si>
    <t>SHUBHAM KUMAR</t>
  </si>
  <si>
    <t>Smriti</t>
  </si>
  <si>
    <t>Goon Agarwal</t>
  </si>
  <si>
    <t>Payal Singh</t>
  </si>
  <si>
    <t>Ahtesham Rahim</t>
  </si>
  <si>
    <t>Md Daniyal</t>
  </si>
  <si>
    <t>Somaiya fatma</t>
  </si>
  <si>
    <t>Waquas Akhter</t>
  </si>
  <si>
    <t>Hrishita Damani</t>
  </si>
  <si>
    <t>Arnav Singh</t>
  </si>
  <si>
    <t>Gaurav Shyamsukha</t>
  </si>
  <si>
    <t>Suraj Kumar</t>
  </si>
  <si>
    <t>Harsimran Singh</t>
  </si>
  <si>
    <t>Himanshu Kandhway</t>
  </si>
  <si>
    <t>Niraj Kumar jalan</t>
  </si>
  <si>
    <t>Suraj Kumar Dey</t>
  </si>
  <si>
    <t>Krishna Agarwal</t>
  </si>
  <si>
    <t>Mayank Agarwal</t>
  </si>
  <si>
    <t>Shaswat Dodrajka</t>
  </si>
  <si>
    <t>Shreya lohani</t>
  </si>
  <si>
    <t>Syed Umar Ali</t>
  </si>
  <si>
    <t>Aman Shaw</t>
  </si>
  <si>
    <t>Divyam Bagla</t>
  </si>
  <si>
    <t>Lakshya Khaitan</t>
  </si>
  <si>
    <t>Swayam Jain</t>
  </si>
  <si>
    <t>Ayush Kumar Giri</t>
  </si>
  <si>
    <t>Nandani kumari</t>
  </si>
  <si>
    <t>Anshika singh</t>
  </si>
  <si>
    <t>Nayrit Ghosh</t>
  </si>
  <si>
    <t>SOFIA ALI</t>
  </si>
  <si>
    <t>Sakcham Agarwal</t>
  </si>
  <si>
    <t>Himanshu kumar Mishra</t>
  </si>
  <si>
    <t>Sk Mahmud Ul Hasan</t>
  </si>
  <si>
    <t>Arindam Karmakar</t>
  </si>
  <si>
    <t>Swastik Bose</t>
  </si>
  <si>
    <t>Mudit Damani</t>
  </si>
  <si>
    <t>Shrestha Dey</t>
  </si>
  <si>
    <t>Aasthaa ranjan</t>
  </si>
  <si>
    <t>Devang kachhawa</t>
  </si>
  <si>
    <t>Archita Chandak</t>
  </si>
  <si>
    <t>Ojasvi sekhani</t>
  </si>
  <si>
    <t>Dhrub Hans</t>
  </si>
  <si>
    <t>Bhavya Dugar</t>
  </si>
  <si>
    <t>Adrija Ghosal</t>
  </si>
  <si>
    <t>Gaurav Agarwal</t>
  </si>
  <si>
    <t>Yashree Pathak</t>
  </si>
  <si>
    <t>Aniruddha Paul</t>
  </si>
  <si>
    <t>Deependra Mohan Jha</t>
  </si>
  <si>
    <t>Tarun mohata</t>
  </si>
  <si>
    <t>Omkar Jena</t>
  </si>
  <si>
    <t>Anmol Kumar</t>
  </si>
  <si>
    <t>Rakshit Nahata</t>
  </si>
  <si>
    <t>Syed Danish Ali</t>
  </si>
  <si>
    <t>Roheal Jaiswal</t>
  </si>
  <si>
    <t>Manthan Agarwal</t>
  </si>
  <si>
    <t>Dipika biswas</t>
  </si>
  <si>
    <t>Pratham Ladia</t>
  </si>
  <si>
    <t>Yashraj Banthia</t>
  </si>
  <si>
    <t>SOUMYA BANERJEE</t>
  </si>
  <si>
    <t>Rajat Hemani</t>
  </si>
  <si>
    <t>Hrishi Shaw</t>
  </si>
  <si>
    <t>Md Ayanuddin</t>
  </si>
  <si>
    <t>Sreya Gupta</t>
  </si>
  <si>
    <t>Akanksha jaiswal</t>
  </si>
  <si>
    <t>Sujal Kumar Singh</t>
  </si>
  <si>
    <t>Hamza Hanif</t>
  </si>
  <si>
    <t>mufaddal hussain</t>
  </si>
  <si>
    <t>Nikita Goswami</t>
  </si>
  <si>
    <t>Satyam Kumar</t>
  </si>
  <si>
    <t>Ishu yadav</t>
  </si>
  <si>
    <t>Tanushree Mogra</t>
  </si>
  <si>
    <t>Himanshi mittal</t>
  </si>
  <si>
    <t>Sahil Thakur</t>
  </si>
  <si>
    <t>Prateeti Agarwal</t>
  </si>
  <si>
    <t>Devanshi Soni</t>
  </si>
  <si>
    <t>Chirag Agarwal</t>
  </si>
  <si>
    <t>SAKSHAM AGARWAL</t>
  </si>
  <si>
    <t>Pratyush pandey</t>
  </si>
  <si>
    <t>Ayush Kejriwal</t>
  </si>
  <si>
    <t>Dhruv Patel</t>
  </si>
  <si>
    <t>Nandani Gupta</t>
  </si>
  <si>
    <t>Yash Doshi</t>
  </si>
  <si>
    <t>Payal Shaw</t>
  </si>
  <si>
    <t>Vanshika khandelwal</t>
  </si>
  <si>
    <t>Yatharth nirmal</t>
  </si>
  <si>
    <t>Yuvraj Jain</t>
  </si>
  <si>
    <t>Ridhima kanodia</t>
  </si>
  <si>
    <t>Palak Joshi</t>
  </si>
  <si>
    <t>Ankit sharma</t>
  </si>
  <si>
    <t>ISHIKA JAGNANI</t>
  </si>
  <si>
    <t>Neha Bilakhia</t>
  </si>
  <si>
    <t>Ayendrila Ash</t>
  </si>
  <si>
    <t>Samadrita Bera</t>
  </si>
  <si>
    <t>Ayati Goenka</t>
  </si>
  <si>
    <t>Shrestha Shaw</t>
  </si>
  <si>
    <t>Risita Kumari</t>
  </si>
  <si>
    <t>ARYA GUPTA</t>
  </si>
  <si>
    <t>MD TAUSIF ALI</t>
  </si>
  <si>
    <t>Nitish Kumar Singh</t>
  </si>
  <si>
    <t>Hutasha Mishra</t>
  </si>
  <si>
    <t>Md Omar Tabrez</t>
  </si>
  <si>
    <t>ASEERUL HAQUE</t>
  </si>
  <si>
    <t>Risabh Dugar</t>
  </si>
  <si>
    <t>Janvi vyas</t>
  </si>
  <si>
    <t>Abhishek kumar singh</t>
  </si>
  <si>
    <t>Avishek Singh</t>
  </si>
  <si>
    <t>Sridhar mundra</t>
  </si>
  <si>
    <t>Riya kumari shaw</t>
  </si>
  <si>
    <t>Shiv sampati tewari</t>
  </si>
  <si>
    <t>Pratham Sanghvi</t>
  </si>
  <si>
    <t>Sanvi nowlakha</t>
  </si>
  <si>
    <t>Prakriti Gadia</t>
  </si>
  <si>
    <t>Shubham Pandey</t>
  </si>
  <si>
    <t>Mohtaseen alam</t>
  </si>
  <si>
    <t>Khushi Daga</t>
  </si>
  <si>
    <t>Rick Das</t>
  </si>
  <si>
    <t>Md Atif Alam</t>
  </si>
  <si>
    <t>Piyush Chaudhuri</t>
  </si>
  <si>
    <t>Keshav Joshi</t>
  </si>
  <si>
    <t>Sudhanshu Tiwary</t>
  </si>
  <si>
    <t>Ankur Agrawal</t>
  </si>
  <si>
    <t>Lakshya Agarwal</t>
  </si>
  <si>
    <t>Shaique Ahmad Rashid</t>
  </si>
  <si>
    <t>Chitra Jamuwal</t>
  </si>
  <si>
    <t>Khushbu Daga</t>
  </si>
  <si>
    <t>Yash kejriwal</t>
  </si>
  <si>
    <t>SHIVAM</t>
  </si>
  <si>
    <t>Ishika Chowdhury</t>
  </si>
  <si>
    <t>Anshu kumar</t>
  </si>
  <si>
    <t>Diya Darshna Jain</t>
  </si>
  <si>
    <t>Aniket Kumar Singh</t>
  </si>
  <si>
    <t>SUMIT JHA</t>
  </si>
  <si>
    <t>Shruti Mishra</t>
  </si>
  <si>
    <t>Bhavya Tantia</t>
  </si>
  <si>
    <t>Mahek Hirawat</t>
  </si>
  <si>
    <t>Swarnjit Singh</t>
  </si>
  <si>
    <t>Harsh kumar anand</t>
  </si>
  <si>
    <t>khushi Mathur</t>
  </si>
  <si>
    <t>Harshit soni</t>
  </si>
  <si>
    <t>Chandra Shekhar Raj</t>
  </si>
  <si>
    <t>Shivam Agarwal</t>
  </si>
  <si>
    <t>Shaniya Parveen</t>
  </si>
  <si>
    <t>Koustav paul</t>
  </si>
  <si>
    <t>Sonu kumar Sahani</t>
  </si>
  <si>
    <t>Devanshu Gupta</t>
  </si>
  <si>
    <t>Sk sakil imam</t>
  </si>
  <si>
    <t>Divya Adesara</t>
  </si>
  <si>
    <t>Keyur Sheth</t>
  </si>
  <si>
    <t>Jai kedia</t>
  </si>
  <si>
    <t>Ritesh Gupta</t>
  </si>
  <si>
    <t>Aman Gupta</t>
  </si>
  <si>
    <t>Shraddha Arya</t>
  </si>
  <si>
    <t>Sampriti Chowrasia</t>
  </si>
  <si>
    <t>AMAR SINGH</t>
  </si>
  <si>
    <t>ANBIYA FATMA</t>
  </si>
  <si>
    <t>Fareeha fatma</t>
  </si>
  <si>
    <t>Rimmi Anurag</t>
  </si>
  <si>
    <t>DHANANJAY KASHYAP</t>
  </si>
  <si>
    <t>Om kumar</t>
  </si>
  <si>
    <t>Krrish Agarwal</t>
  </si>
  <si>
    <t>Shaan Daga</t>
  </si>
  <si>
    <t>SUJAL GUPTA</t>
  </si>
  <si>
    <t>Gourav Chowdhury</t>
  </si>
  <si>
    <t>Anisha</t>
  </si>
  <si>
    <t>ANIKET SHAW</t>
  </si>
  <si>
    <t>Piyush Banerjee</t>
  </si>
  <si>
    <t>Harshita Jain</t>
  </si>
  <si>
    <t>Puja Naredi</t>
  </si>
  <si>
    <t>Manu Raj Singh</t>
  </si>
  <si>
    <t>Amish Paliwal</t>
  </si>
  <si>
    <t>Disha agarwal</t>
  </si>
  <si>
    <t>Mishquat Fatma</t>
  </si>
  <si>
    <t>Haiqua Rashid Ansari</t>
  </si>
  <si>
    <t>Piyush Solanki</t>
  </si>
  <si>
    <t>Sagar Rathi</t>
  </si>
  <si>
    <t>Khushal Rajpurohit</t>
  </si>
  <si>
    <t>MD AHTESHAM MUKHTAR</t>
  </si>
  <si>
    <t>Shafkatun Nisha</t>
  </si>
  <si>
    <t>Ohm Ahuja</t>
  </si>
  <si>
    <t>Tisa Jain</t>
  </si>
  <si>
    <t>Sourav Kumar</t>
  </si>
  <si>
    <t>Sayan Bhattacharjee</t>
  </si>
  <si>
    <t>Md Faraz Najam</t>
  </si>
  <si>
    <t>Tanushree Pradhan</t>
  </si>
  <si>
    <t>Apurba Routh</t>
  </si>
  <si>
    <t>Nausheen Khan</t>
  </si>
  <si>
    <t>SANISH RAJ</t>
  </si>
  <si>
    <t>Surbhi kumari</t>
  </si>
  <si>
    <t>Akshit kumar</t>
  </si>
  <si>
    <t>Raman Goswami</t>
  </si>
  <si>
    <t>Rishikesh Mukherjee</t>
  </si>
  <si>
    <t>Shoubhagya Agarwalla</t>
  </si>
  <si>
    <t>Aditya Fitkariwala</t>
  </si>
  <si>
    <t>Anshul Bajaj</t>
  </si>
  <si>
    <t>Ashmita Dasgupta</t>
  </si>
  <si>
    <t>Shrestha Mittal</t>
  </si>
  <si>
    <t>Vineet Dhruv</t>
  </si>
  <si>
    <t>Avishek Kumar Sharma</t>
  </si>
  <si>
    <t>VIRAL SHAH</t>
  </si>
  <si>
    <t>Saloni Vijay</t>
  </si>
  <si>
    <t>Farhat Naaz</t>
  </si>
  <si>
    <t>Sanskar chokhani</t>
  </si>
  <si>
    <t>Shad Zaid Khan</t>
  </si>
  <si>
    <t>Kavya Somani</t>
  </si>
  <si>
    <t>Mriga Rakshit</t>
  </si>
  <si>
    <t>Dhruv Khurana</t>
  </si>
  <si>
    <t>Aryan Raj</t>
  </si>
  <si>
    <t>Kashvi Choudhary</t>
  </si>
  <si>
    <t>Devaleena Sarkar</t>
  </si>
  <si>
    <t>Aryaman Agrawal</t>
  </si>
  <si>
    <t>Madiha Imtiaz</t>
  </si>
  <si>
    <t>MAYANK PODDAR</t>
  </si>
  <si>
    <t>Darsh shah</t>
  </si>
  <si>
    <t>Renu kumari</t>
  </si>
  <si>
    <t>Akshat gupta</t>
  </si>
  <si>
    <t>Jyoti Das</t>
  </si>
  <si>
    <t>Nirbhay Kumar</t>
  </si>
  <si>
    <t>Tabinda Kalim</t>
  </si>
  <si>
    <t>Abus ali</t>
  </si>
  <si>
    <t>Aditi Ranjan</t>
  </si>
  <si>
    <t>Manish Sharma</t>
  </si>
  <si>
    <t>Tarun bafna</t>
  </si>
  <si>
    <t>Vrinda Mantry</t>
  </si>
  <si>
    <t>Sakshi Verma</t>
  </si>
  <si>
    <t>Samip Sharma</t>
  </si>
  <si>
    <t>Harsh Shaw</t>
  </si>
  <si>
    <t>Ghanshyam Rathore</t>
  </si>
  <si>
    <t>Vignesh Anantha Krishnan</t>
  </si>
  <si>
    <t>Megha Shaw</t>
  </si>
  <si>
    <t>Shruti Kumari</t>
  </si>
  <si>
    <t>Anshu Kumari</t>
  </si>
  <si>
    <t>Ishika Poddar</t>
  </si>
  <si>
    <t>Khwaaish Thacker</t>
  </si>
  <si>
    <t>Khushi Kumari</t>
  </si>
  <si>
    <t>Kunal Bhagat</t>
  </si>
  <si>
    <t>Aditya Kumar Gupta</t>
  </si>
  <si>
    <t>Zara Akhtar</t>
  </si>
  <si>
    <t>Milan Kandhway</t>
  </si>
  <si>
    <t>Aniket Dasgupta</t>
  </si>
  <si>
    <t>Tanisha gattani</t>
  </si>
  <si>
    <t>Anjali Sarraf</t>
  </si>
  <si>
    <t>Suryanshu Pratap Singh</t>
  </si>
  <si>
    <t>Sk Masih Uz Zaman</t>
  </si>
  <si>
    <t>Shyam Agarwal</t>
  </si>
  <si>
    <t>Surya Prakash</t>
  </si>
  <si>
    <t>Darsh Ghiya</t>
  </si>
  <si>
    <t>Rashika Shaw</t>
  </si>
  <si>
    <t>Arun Dugar</t>
  </si>
  <si>
    <t>Varnica Gupta</t>
  </si>
  <si>
    <t>Anshika Yajnik</t>
  </si>
  <si>
    <t>Khush Dharewa</t>
  </si>
  <si>
    <t>Harshita Jaiswal</t>
  </si>
  <si>
    <t>MRIDUL KRISHNA BINANI</t>
  </si>
  <si>
    <t>Kashish Gupta</t>
  </si>
  <si>
    <t>Ayush Das</t>
  </si>
  <si>
    <t>Jayant Agarwal</t>
  </si>
  <si>
    <t>Chitrakshi Singh</t>
  </si>
  <si>
    <t>Raj jaiswal</t>
  </si>
  <si>
    <t>Veer Shah</t>
  </si>
  <si>
    <t>Kamal Narayan Das</t>
  </si>
  <si>
    <t>Arpita Tiwari</t>
  </si>
  <si>
    <t>Arnab Chatterjee</t>
  </si>
  <si>
    <t>Shreyan Majhi</t>
  </si>
  <si>
    <t>Haider Patel</t>
  </si>
  <si>
    <t>Pammi Chowrasia</t>
  </si>
  <si>
    <t>Priya verma</t>
  </si>
  <si>
    <t>Arfa Arif</t>
  </si>
  <si>
    <t>malaika trish tewari</t>
  </si>
  <si>
    <t>Nandini Modi</t>
  </si>
  <si>
    <t>Owais Ahmed</t>
  </si>
  <si>
    <t>SHRUTI SHAW</t>
  </si>
  <si>
    <t>Swarnadipta Roy</t>
  </si>
  <si>
    <t>Chahat Agarwal</t>
  </si>
  <si>
    <t>Meghna Jain</t>
  </si>
  <si>
    <t>Subham Gupta</t>
  </si>
  <si>
    <t>Zeeshan Anwar</t>
  </si>
  <si>
    <t>Mohammad Adnan</t>
  </si>
  <si>
    <t>Harsh sharma</t>
  </si>
  <si>
    <t>Sabina Anwar</t>
  </si>
  <si>
    <t>Shourya Singhania</t>
  </si>
  <si>
    <t>Reuben Lalchhanchhuaha</t>
  </si>
  <si>
    <t>Prince Choudhary</t>
  </si>
  <si>
    <t>Sanjana jaiswal</t>
  </si>
  <si>
    <t>Sidra Nemat</t>
  </si>
  <si>
    <t>Kumari Apoorva</t>
  </si>
  <si>
    <t>Gureet Kaur</t>
  </si>
  <si>
    <t>Kushal Singhania</t>
  </si>
  <si>
    <t>Krish Sharma</t>
  </si>
  <si>
    <t>Siddharth Budhia</t>
  </si>
  <si>
    <t>Aditya kumar sharma</t>
  </si>
  <si>
    <t>Gaurav Sharma</t>
  </si>
  <si>
    <t>Amira abbas</t>
  </si>
  <si>
    <t>Medhansh jalan</t>
  </si>
  <si>
    <t>Puja Kumari</t>
  </si>
  <si>
    <t>Vaishnavi Sooryavanshi</t>
  </si>
  <si>
    <t>Anay Ranjan</t>
  </si>
  <si>
    <t>Yash Soni</t>
  </si>
  <si>
    <t>Raghav Sharda</t>
  </si>
  <si>
    <t>Nirmalya Roy</t>
  </si>
  <si>
    <t>Susmita Pandey</t>
  </si>
  <si>
    <t>Vanisha Baheti</t>
  </si>
  <si>
    <t>TUSHAR JHUNJHUNWALA</t>
  </si>
  <si>
    <t>Kumar ayush</t>
  </si>
  <si>
    <t>Aakriti Modi</t>
  </si>
  <si>
    <t>Vishakha Modi</t>
  </si>
  <si>
    <t>Priya Shaw</t>
  </si>
  <si>
    <t>QAMAR SIDDIQUE</t>
  </si>
  <si>
    <t>SACHIN MISHRA</t>
  </si>
  <si>
    <t>Harsh Kumar</t>
  </si>
  <si>
    <t>Kunal Kumar</t>
  </si>
  <si>
    <t>Sonali Srivastav</t>
  </si>
  <si>
    <t>Shruti suman</t>
  </si>
  <si>
    <t>Ayush Abhi</t>
  </si>
  <si>
    <t>Abdur Rahman Khan</t>
  </si>
  <si>
    <t>Srishti Parakh</t>
  </si>
  <si>
    <t>Md Modassir</t>
  </si>
  <si>
    <t>Shivam Goyal</t>
  </si>
  <si>
    <t>Komal Churiwala</t>
  </si>
  <si>
    <t>Anushka</t>
  </si>
  <si>
    <t>Mudit Daga</t>
  </si>
  <si>
    <t>Mahi Bosmia</t>
  </si>
  <si>
    <t>Shrimant sarda</t>
  </si>
  <si>
    <t>Neha vyas</t>
  </si>
  <si>
    <t>Himanshu jain</t>
  </si>
  <si>
    <t>Urvi V Doshi</t>
  </si>
  <si>
    <t>Akansh Agarwal</t>
  </si>
  <si>
    <t>Jay patel</t>
  </si>
  <si>
    <t>Deep Patel</t>
  </si>
  <si>
    <t>Pratham Dhand</t>
  </si>
  <si>
    <t>Shubham Mehrotra</t>
  </si>
  <si>
    <t>Rishi Khanna</t>
  </si>
  <si>
    <t>Rudra Khanna</t>
  </si>
  <si>
    <t>Yaksh B SHETH</t>
  </si>
  <si>
    <t>Shreya kumari</t>
  </si>
  <si>
    <t>Ansh jhunjhunwala</t>
  </si>
  <si>
    <t>Arvind Agrawal</t>
  </si>
  <si>
    <t>Anshika Agarwal</t>
  </si>
  <si>
    <t>RACHIT SINGHAL</t>
  </si>
  <si>
    <t>Ishu Raj</t>
  </si>
  <si>
    <t>Unnati raj</t>
  </si>
  <si>
    <t>Aman Jaiswal</t>
  </si>
  <si>
    <t>Vidhi Dutia</t>
  </si>
  <si>
    <t>Altamash Ahmed</t>
  </si>
  <si>
    <t>Mohammed Shafique</t>
  </si>
  <si>
    <t>Sujal Sharma</t>
  </si>
  <si>
    <t>Rohit Lal Burnwal</t>
  </si>
  <si>
    <t>Dishan Joshi</t>
  </si>
  <si>
    <t>Komal Kumari Mahato</t>
  </si>
  <si>
    <t>Vedika Sharma</t>
  </si>
  <si>
    <t>Dhairya Agarwal</t>
  </si>
  <si>
    <t>Manan Mehta</t>
  </si>
  <si>
    <t>Prachi Khandelwal</t>
  </si>
  <si>
    <t>SNEH SHARMA</t>
  </si>
  <si>
    <t>Dona Saha</t>
  </si>
  <si>
    <t>Shifa Parveen</t>
  </si>
  <si>
    <t>Ruchi Dey</t>
  </si>
  <si>
    <t>Saloni Gupta</t>
  </si>
  <si>
    <t>Ritika Paul</t>
  </si>
  <si>
    <t>Kaushal Jalan</t>
  </si>
  <si>
    <t>Krishna Jogani</t>
  </si>
  <si>
    <t>Riya Garodia</t>
  </si>
  <si>
    <t>Ayushi Mohata</t>
  </si>
  <si>
    <t>Anushka Vastrakar</t>
  </si>
  <si>
    <t>Bhumika karel</t>
  </si>
  <si>
    <t>Rithika</t>
  </si>
  <si>
    <t>Ishika Goyal</t>
  </si>
  <si>
    <t>Bhawana dudhoria</t>
  </si>
  <si>
    <t>Khushi Sukhani</t>
  </si>
  <si>
    <t>Ansh Surana</t>
  </si>
  <si>
    <t>PRATIMA GUPTA</t>
  </si>
  <si>
    <t>PALAK AGARWAL</t>
  </si>
  <si>
    <t>Shivam Kumar Jajodia</t>
  </si>
  <si>
    <t>Aditi Bhuwalka</t>
  </si>
  <si>
    <t>Aditya Raj Singh</t>
  </si>
  <si>
    <t>Ankit Kumar singh</t>
  </si>
  <si>
    <t>Riya Soni</t>
  </si>
  <si>
    <t>Khushi Chourasia</t>
  </si>
  <si>
    <t>Rittik Roy</t>
  </si>
  <si>
    <t>Anirban Das</t>
  </si>
  <si>
    <t>Hirak Hazra</t>
  </si>
  <si>
    <t>Biraj Saha</t>
  </si>
  <si>
    <t>VANSHIKA BANSAL</t>
  </si>
  <si>
    <t>sakshi chourasia</t>
  </si>
  <si>
    <t>Ishrat jahan</t>
  </si>
  <si>
    <t>Ankush Modi</t>
  </si>
  <si>
    <t>Rishit Tandon</t>
  </si>
  <si>
    <t>Bhumika verma</t>
  </si>
  <si>
    <t>Ayanna Ghosh</t>
  </si>
  <si>
    <t>Tanisha Shah</t>
  </si>
  <si>
    <t>Devansh Dhanuka</t>
  </si>
  <si>
    <t>Puja Saraf</t>
  </si>
  <si>
    <t>Rahul Tekriwal</t>
  </si>
  <si>
    <t>Ishita Gupta</t>
  </si>
  <si>
    <t>Sahil jalan</t>
  </si>
  <si>
    <t>Priya Rakhecha</t>
  </si>
  <si>
    <t>Priyanshu Saha</t>
  </si>
  <si>
    <t>Syed Awais Tauheed</t>
  </si>
  <si>
    <t>Anchal Gupta</t>
  </si>
  <si>
    <t>Yamini Daga</t>
  </si>
  <si>
    <t>Vansh Beria</t>
  </si>
  <si>
    <t>Priyangsu Chourasia</t>
  </si>
  <si>
    <t>Rajeshwari Dutta</t>
  </si>
  <si>
    <t>SANIYA DAS</t>
  </si>
  <si>
    <t>Mohammad Rasikh</t>
  </si>
  <si>
    <t>Ankit Basak</t>
  </si>
  <si>
    <t>Rajnandini Arya</t>
  </si>
  <si>
    <t>SOUNAK CHAKRABORTY</t>
  </si>
  <si>
    <t>Yash Aryan Gupta</t>
  </si>
  <si>
    <t>Akansha Gupta</t>
  </si>
  <si>
    <t>Shikha Anupam</t>
  </si>
  <si>
    <t>Shreya Ghorai</t>
  </si>
  <si>
    <t>Roshni Sarkar</t>
  </si>
  <si>
    <t>Aanchal Karel</t>
  </si>
  <si>
    <t>Naman Agarwal</t>
  </si>
  <si>
    <t>Piyush Taparia</t>
  </si>
  <si>
    <t>Umme habiba</t>
  </si>
  <si>
    <t>Raj khordia</t>
  </si>
  <si>
    <t>Jai balaji pandey</t>
  </si>
  <si>
    <t>Prachi Tripathi</t>
  </si>
  <si>
    <t>Kareena. Sharma</t>
  </si>
  <si>
    <t>Simran kumari</t>
  </si>
  <si>
    <t>Sanjay Mazumder</t>
  </si>
  <si>
    <t>Anubhav Verma</t>
  </si>
  <si>
    <t>Nupur Jaiswal</t>
  </si>
  <si>
    <t>KESAV TIBREWALA</t>
  </si>
  <si>
    <t>Kritika agarwal</t>
  </si>
  <si>
    <t>Palak Agarwal</t>
  </si>
  <si>
    <t>INDRAYUDH KUNDU</t>
  </si>
  <si>
    <t>Kashish Baid</t>
  </si>
  <si>
    <t>Amarjeet kumar</t>
  </si>
  <si>
    <t>SHRUTI JHA</t>
  </si>
  <si>
    <t>Yogshree Khaitan</t>
  </si>
  <si>
    <t>Sidhi Agarwal</t>
  </si>
  <si>
    <t>Vedant Gupta</t>
  </si>
  <si>
    <t>Swastik Saha</t>
  </si>
  <si>
    <t>Vishal Surana</t>
  </si>
  <si>
    <t>Rahul Rai</t>
  </si>
  <si>
    <t>UJJAWAL KHEMKA</t>
  </si>
  <si>
    <t>Priya</t>
  </si>
  <si>
    <t>Shireen Ahamed</t>
  </si>
  <si>
    <t>Mukand Agarwal</t>
  </si>
  <si>
    <t>Mihir Sheth</t>
  </si>
  <si>
    <t>Rohit sharma</t>
  </si>
  <si>
    <t>Eshani Gandhi</t>
  </si>
  <si>
    <t>Joy Patel</t>
  </si>
  <si>
    <t>Harsh Vardhan sharma</t>
  </si>
  <si>
    <t>Doli kumari</t>
  </si>
  <si>
    <t>Kunal Shaw</t>
  </si>
  <si>
    <t>Ayush Agarwal</t>
  </si>
  <si>
    <t>Rishi Shankar Tiwary</t>
  </si>
  <si>
    <t>Shubham Kumar Ram</t>
  </si>
  <si>
    <t>Mayank Sureka</t>
  </si>
  <si>
    <t>Nehal bhadani</t>
  </si>
  <si>
    <t>Sarthak sharma</t>
  </si>
  <si>
    <t>Siddhant Jayaswal</t>
  </si>
  <si>
    <t>Tanush Daga</t>
  </si>
  <si>
    <t>Aaditi Rajpuria</t>
  </si>
  <si>
    <t>Tushar Dubey</t>
  </si>
  <si>
    <t>Divyanshu Agrahari</t>
  </si>
  <si>
    <t>Vivek Dasgupta</t>
  </si>
  <si>
    <t>Siddharth Kejriwal</t>
  </si>
  <si>
    <t>Dipali kumari</t>
  </si>
  <si>
    <t>Parnavi Banerjee</t>
  </si>
  <si>
    <t>Sneha Sharma</t>
  </si>
  <si>
    <t>Vasudha Bagaria</t>
  </si>
  <si>
    <t>Ishani Mukherjee</t>
  </si>
  <si>
    <t>Jagriti Verma</t>
  </si>
  <si>
    <t>Pratyush Gupta</t>
  </si>
  <si>
    <t>Harsh Jaiswal</t>
  </si>
  <si>
    <t>Rahul Poddar</t>
  </si>
  <si>
    <t>Akash Gupta</t>
  </si>
  <si>
    <t>Aman Kumar Singh</t>
  </si>
  <si>
    <t>Shreyansh Kutriyar</t>
  </si>
  <si>
    <t>Sonali Majumder</t>
  </si>
  <si>
    <t>Hitesh Sehgal</t>
  </si>
  <si>
    <t>aditya saha</t>
  </si>
  <si>
    <t>ADITYA SHAW</t>
  </si>
  <si>
    <t>ADARSH GUPTA</t>
  </si>
  <si>
    <t>Roopraj Singh</t>
  </si>
  <si>
    <t>Rishav Shaw</t>
  </si>
  <si>
    <t>Priyanka Mandak</t>
  </si>
  <si>
    <t>Abhishek Kumar</t>
  </si>
  <si>
    <t>Shivam Shaw</t>
  </si>
  <si>
    <t>Nakul bengani</t>
  </si>
  <si>
    <t>Vishal Das</t>
  </si>
  <si>
    <t>Kusumika</t>
  </si>
  <si>
    <t>Krishna choudhary</t>
  </si>
  <si>
    <t>Shruti Singh</t>
  </si>
  <si>
    <t>Shruti Jaiswal</t>
  </si>
  <si>
    <t>Anushka Gupta</t>
  </si>
  <si>
    <t>Janhvi Verma</t>
  </si>
  <si>
    <t>Harshitaa rathi</t>
  </si>
  <si>
    <t>Surbhi Verma</t>
  </si>
  <si>
    <t>Sanu kumar</t>
  </si>
  <si>
    <t>Sabahat Iqbal</t>
  </si>
  <si>
    <t>Shrinjoy Chakraborty</t>
  </si>
  <si>
    <t>Anish Modi</t>
  </si>
  <si>
    <t>Sanchita saha</t>
  </si>
  <si>
    <t>MANAJ BHARDWAJ</t>
  </si>
  <si>
    <t>Jhanvi Agrahari</t>
  </si>
  <si>
    <t>Rishi Lodha</t>
  </si>
  <si>
    <t>Mohammad Abdullah Shahid</t>
  </si>
  <si>
    <t>Sania Mustafa</t>
  </si>
  <si>
    <t>Mahi Gupta</t>
  </si>
  <si>
    <t>Harsh raj</t>
  </si>
  <si>
    <t>Hamza Mujtaba Khan</t>
  </si>
  <si>
    <t>Rahul Shaw</t>
  </si>
  <si>
    <t>Amar Sultan Seikh</t>
  </si>
  <si>
    <t>Anushka Biswas</t>
  </si>
  <si>
    <t>Tanmay Karmakar</t>
  </si>
  <si>
    <t>Diya</t>
  </si>
  <si>
    <t>K SHAKTI GANESH</t>
  </si>
  <si>
    <t>Ayush Tripathi</t>
  </si>
  <si>
    <t>Anushka Dutta</t>
  </si>
  <si>
    <t>Tuhin Sardar</t>
  </si>
  <si>
    <t>Sanchita Das</t>
  </si>
  <si>
    <t>Sneha Ghosh</t>
  </si>
  <si>
    <t>Sampurna Saha</t>
  </si>
  <si>
    <t>Ankit Kumar Yadav</t>
  </si>
  <si>
    <t>Debesh poddar</t>
  </si>
  <si>
    <t>Anuska Pandey</t>
  </si>
  <si>
    <t>Anjalina gogoi</t>
  </si>
  <si>
    <t>Riya Thakur</t>
  </si>
  <si>
    <t>Garima Bachchan</t>
  </si>
  <si>
    <t>Akriri kumari</t>
  </si>
  <si>
    <t>Shristi Singh</t>
  </si>
  <si>
    <t>Sayna Gupta</t>
  </si>
  <si>
    <t>Ritika gupta</t>
  </si>
  <si>
    <t>Shristy Agarwal</t>
  </si>
  <si>
    <t>Aditi sharma</t>
  </si>
  <si>
    <t>Aashutosh Mohata</t>
  </si>
  <si>
    <t>Simran bharti</t>
  </si>
  <si>
    <t>Priyadarshini Sahu</t>
  </si>
  <si>
    <t>Aditya Sharma</t>
  </si>
  <si>
    <t>Ishika Gattani</t>
  </si>
  <si>
    <t>Mausam Kumari</t>
  </si>
  <si>
    <t>Khushi Sethia</t>
  </si>
  <si>
    <t>Deepak Baid</t>
  </si>
  <si>
    <t>Aanchal Shaw</t>
  </si>
  <si>
    <t>Parikshit Jaiswal</t>
  </si>
  <si>
    <t>Farhan Akhtar</t>
  </si>
  <si>
    <t>Ishika Parmar</t>
  </si>
  <si>
    <t>Soundrya Kumari</t>
  </si>
  <si>
    <t>Milan khanal</t>
  </si>
  <si>
    <t>Mohit Agarwal</t>
  </si>
  <si>
    <t>Anjali Mishra</t>
  </si>
  <si>
    <t>Subham Agarwal</t>
  </si>
  <si>
    <t>Kushal Bajoria</t>
  </si>
  <si>
    <t>Gyan Agarwal</t>
  </si>
  <si>
    <t>Keshav Goel</t>
  </si>
  <si>
    <t>Shivam Srivastava</t>
  </si>
  <si>
    <t>Ankit Agrawal</t>
  </si>
  <si>
    <t>Hitesh shaw</t>
  </si>
  <si>
    <t>Shristi jaiswal</t>
  </si>
  <si>
    <t>Ambika kulthia</t>
  </si>
  <si>
    <t>Sujal Mondal</t>
  </si>
  <si>
    <t>Mikul Jain</t>
  </si>
  <si>
    <t>Fhalak Shaheen</t>
  </si>
  <si>
    <t>Subhro Bhattacharjee</t>
  </si>
  <si>
    <t>Somnath Chowdhury</t>
  </si>
  <si>
    <t>Bhumika Koley</t>
  </si>
  <si>
    <t>Samreen Prodhan</t>
  </si>
  <si>
    <t>Irtaza Alam</t>
  </si>
  <si>
    <t>Aditya Raj</t>
  </si>
  <si>
    <t>Kirti Tantia</t>
  </si>
  <si>
    <t>Ridhima Sharma</t>
  </si>
  <si>
    <t>Mansi Sugla</t>
  </si>
  <si>
    <t>Parthi Subba</t>
  </si>
  <si>
    <t>Rajita Sahay</t>
  </si>
  <si>
    <t>Anjali kumari</t>
  </si>
  <si>
    <t>Priyanshu Goswami</t>
  </si>
  <si>
    <t>Riya Kumari</t>
  </si>
  <si>
    <t>Komal Jaiswal</t>
  </si>
  <si>
    <t>Shriya Smita Mishra</t>
  </si>
  <si>
    <t>Krishna Soni</t>
  </si>
  <si>
    <t>Chanchal daga</t>
  </si>
  <si>
    <t>Lubhanshi Mahto</t>
  </si>
  <si>
    <t>Zainab Sajjad</t>
  </si>
  <si>
    <t>Hemlata Rathore</t>
  </si>
  <si>
    <t>HARSH KUMAR SWAMI</t>
  </si>
  <si>
    <t>Aditya Shome</t>
  </si>
  <si>
    <t>Md Zaid Amin</t>
  </si>
  <si>
    <t>Ramisha Arman</t>
  </si>
  <si>
    <t>Sanvi Saraf</t>
  </si>
  <si>
    <t>Sk Imran Ali</t>
  </si>
  <si>
    <t>Komal kumari</t>
  </si>
  <si>
    <t>Armaan Biswas</t>
  </si>
  <si>
    <t>Shahid nawaz</t>
  </si>
  <si>
    <t>Nayanci kumari</t>
  </si>
  <si>
    <t>Yashvi Shah</t>
  </si>
  <si>
    <t>Yash lathia</t>
  </si>
  <si>
    <t>Khushi Agarwal</t>
  </si>
  <si>
    <t>Aaleya Anwar</t>
  </si>
  <si>
    <t>Raoufa Dil</t>
  </si>
  <si>
    <t>Aditya Tiwari</t>
  </si>
  <si>
    <t>Rhytham Gupta</t>
  </si>
  <si>
    <t>Megha Nagar</t>
  </si>
  <si>
    <t>Vanshika Baid</t>
  </si>
  <si>
    <t>Md Ali Nizamuddin</t>
  </si>
  <si>
    <t>Ayaan Raseikh Hafiz</t>
  </si>
  <si>
    <t>Tanisha Singhi</t>
  </si>
  <si>
    <t>Saqlain</t>
  </si>
  <si>
    <t>Sanjeevan Bhutra</t>
  </si>
  <si>
    <t>Urja Malhotra</t>
  </si>
  <si>
    <t>MD ARSH ALAM</t>
  </si>
  <si>
    <t>Siddhartha Dutta</t>
  </si>
  <si>
    <t>Sneha Saha</t>
  </si>
  <si>
    <t>Umang jain</t>
  </si>
  <si>
    <t>Aman Kumar Jain</t>
  </si>
  <si>
    <t>Aman Kumar</t>
  </si>
  <si>
    <t>Ananya Ashka</t>
  </si>
  <si>
    <t>Ayushi kumari</t>
  </si>
  <si>
    <t>Ishika</t>
  </si>
  <si>
    <t>Sanjukta Chakraborty</t>
  </si>
  <si>
    <t>Prachi Bothra</t>
  </si>
  <si>
    <t>Danikka Poddar</t>
  </si>
  <si>
    <t>Rohit Kumar Gupta</t>
  </si>
  <si>
    <t>Shinjini ghosh</t>
  </si>
  <si>
    <t>Khushi Khandelwal</t>
  </si>
  <si>
    <t>Harmann Singh</t>
  </si>
  <si>
    <t>Harsh</t>
  </si>
  <si>
    <t>Rahil Mujtaba</t>
  </si>
  <si>
    <t>Sharjil Abid</t>
  </si>
  <si>
    <t>Ibra Ali</t>
  </si>
  <si>
    <t>Anjali Menon</t>
  </si>
  <si>
    <t>Armaghan Masoom</t>
  </si>
  <si>
    <t>Karishma lakhotia</t>
  </si>
  <si>
    <t>Ajay Kumar choudhary</t>
  </si>
  <si>
    <t>Sneha Talukder</t>
  </si>
  <si>
    <t>Pallabi kumari Sinha</t>
  </si>
  <si>
    <t>Saiyada parveen</t>
  </si>
  <si>
    <t>Apurva Tiwary</t>
  </si>
  <si>
    <t>Shreya Singh</t>
  </si>
  <si>
    <t>Harsh Kheria</t>
  </si>
  <si>
    <t>Kusum Kumari</t>
  </si>
  <si>
    <t>Ridhi Agarwal</t>
  </si>
  <si>
    <t>Aman kr Agrawal</t>
  </si>
  <si>
    <t>Lucky bagri</t>
  </si>
  <si>
    <t>Tanish Sharma</t>
  </si>
  <si>
    <t>Aditya</t>
  </si>
  <si>
    <t>Devansh Kapoor</t>
  </si>
  <si>
    <t>Harshita Dhal</t>
  </si>
  <si>
    <t>Arrohi Bhattacharjee</t>
  </si>
  <si>
    <t>Prince kumar</t>
  </si>
  <si>
    <t>Komal chomal</t>
  </si>
  <si>
    <t>PRIYANSHU KUMAR</t>
  </si>
  <si>
    <t>Himank deo</t>
  </si>
  <si>
    <t>Satwik Nag</t>
  </si>
  <si>
    <t>Shristi Khetan</t>
  </si>
  <si>
    <t>Huma Fatma</t>
  </si>
  <si>
    <t>Sarbanee Saha</t>
  </si>
  <si>
    <t>Prerna Prasad</t>
  </si>
  <si>
    <t>Sneha Jajodia</t>
  </si>
  <si>
    <t>Naval Patel</t>
  </si>
  <si>
    <t>YASHI JAIN</t>
  </si>
  <si>
    <t>Yagya Sharma</t>
  </si>
  <si>
    <t>Sital Jhawar</t>
  </si>
  <si>
    <t>Aakancha Dhaniwal</t>
  </si>
  <si>
    <t>Tiya kumari</t>
  </si>
  <si>
    <t>ADRITA MUKHERJEE</t>
  </si>
  <si>
    <t>Suprabha Basu Mullick</t>
  </si>
  <si>
    <t>Roshni Thakur</t>
  </si>
  <si>
    <t>Vidushee Singh</t>
  </si>
  <si>
    <t>Harshit Taparia</t>
  </si>
  <si>
    <t>Washika Aftab</t>
  </si>
  <si>
    <t>Insha Shahzad</t>
  </si>
  <si>
    <t>Sakina Hashmi</t>
  </si>
  <si>
    <t>Tanwi vijaywargia</t>
  </si>
  <si>
    <t>Abhishek Singh</t>
  </si>
  <si>
    <t>Asmit Pandey</t>
  </si>
  <si>
    <t>SYED SOHAIL ALI</t>
  </si>
  <si>
    <t>Divyanshi Jangid</t>
  </si>
  <si>
    <t>Nistha Jain</t>
  </si>
  <si>
    <t>Sudarshana Kasyap</t>
  </si>
  <si>
    <t>JAY AGARWALA</t>
  </si>
  <si>
    <t>Shubham Rathi</t>
  </si>
  <si>
    <t>Aryan pandey</t>
  </si>
  <si>
    <t>Yash Changoiwala</t>
  </si>
  <si>
    <t>Ekta mehra</t>
  </si>
  <si>
    <t>Mahasweta De</t>
  </si>
  <si>
    <t>Anjani Kr Agarwal</t>
  </si>
  <si>
    <t>Ayan Mukherjee</t>
  </si>
  <si>
    <t>Maehek Agarwal</t>
  </si>
  <si>
    <t>Parwati Das Adhikari</t>
  </si>
  <si>
    <t>Akshat Kumar</t>
  </si>
  <si>
    <t>Neeha Agarwal</t>
  </si>
  <si>
    <t>Mahi alam</t>
  </si>
  <si>
    <t>Prakrit gupta</t>
  </si>
  <si>
    <t>Deblina Chatterjee</t>
  </si>
  <si>
    <t>Shreya Malhotra</t>
  </si>
  <si>
    <t>Dipti Singh</t>
  </si>
  <si>
    <t>Riddhi Mavani</t>
  </si>
  <si>
    <t>Rashi pandya</t>
  </si>
  <si>
    <t>Aniket Kothari</t>
  </si>
  <si>
    <t>Apurwa Pandey</t>
  </si>
  <si>
    <t>Aliya shah</t>
  </si>
  <si>
    <t>Ankita Khandelwal</t>
  </si>
  <si>
    <t>SONIA XAXA</t>
  </si>
  <si>
    <t>Ariyan Das</t>
  </si>
  <si>
    <t>Aniket Agarwala</t>
  </si>
  <si>
    <t>Chetan Jogani</t>
  </si>
  <si>
    <t>Anurag Aryan Singh</t>
  </si>
  <si>
    <t>SABYASACHI BHATTACHARJEE</t>
  </si>
  <si>
    <t>AARAV TULSYAN</t>
  </si>
  <si>
    <t>Nandini Mahanty</t>
  </si>
  <si>
    <t>Shahzaan Hussain</t>
  </si>
  <si>
    <t>Ishika Agarwal</t>
  </si>
  <si>
    <t>Manish yadav</t>
  </si>
  <si>
    <t>Md zeshan Hasan</t>
  </si>
  <si>
    <t>Aksheen Oberoi</t>
  </si>
  <si>
    <t>Mehek khatoon</t>
  </si>
  <si>
    <t>Anushka Bhowal</t>
  </si>
  <si>
    <t>Devansh hain</t>
  </si>
  <si>
    <t>Sashi Kiran Podder</t>
  </si>
  <si>
    <t>Gulshan Jaiswal</t>
  </si>
  <si>
    <t>Alia Nigar Haque</t>
  </si>
  <si>
    <t>Neha parveen</t>
  </si>
  <si>
    <t>Yatharth Kanodia</t>
  </si>
  <si>
    <t>Harshika Bhardwaj</t>
  </si>
  <si>
    <t>Akshay Tulshyan</t>
  </si>
  <si>
    <t>Uday Gupta</t>
  </si>
  <si>
    <t>Shifa Ali</t>
  </si>
  <si>
    <t>SAMARTH AGRAWAL</t>
  </si>
  <si>
    <t>Yashika Choradia</t>
  </si>
  <si>
    <t>Shruti Farmania</t>
  </si>
  <si>
    <t>Kishan Jha</t>
  </si>
  <si>
    <t>Khushvinder kaur</t>
  </si>
  <si>
    <t>Pratik Mishra</t>
  </si>
  <si>
    <t>Vansikha Keshri</t>
  </si>
  <si>
    <t>Trisha Roy</t>
  </si>
  <si>
    <t>Mallika Aaliya</t>
  </si>
  <si>
    <t>Hiten Gupta</t>
  </si>
  <si>
    <t>Pranay Dattani</t>
  </si>
  <si>
    <t>Kshitij</t>
  </si>
  <si>
    <t>Pinky Mondal</t>
  </si>
  <si>
    <t>Rudra Sharma</t>
  </si>
  <si>
    <t>Arju Kumar Thakur</t>
  </si>
  <si>
    <t>Raunak Roy</t>
  </si>
  <si>
    <t>Rhythm Sarkar</t>
  </si>
  <si>
    <t>Ragini Kumari</t>
  </si>
  <si>
    <t>Harsh jain</t>
  </si>
  <si>
    <t>Akshata Beriwal</t>
  </si>
  <si>
    <t>Aditya Pratap singh</t>
  </si>
  <si>
    <t>Ayushman Ghosal</t>
  </si>
  <si>
    <t>Shireen patel</t>
  </si>
  <si>
    <t>Sujan Manna</t>
  </si>
  <si>
    <t>Srishti Kumari</t>
  </si>
  <si>
    <t>Rishika Saraf</t>
  </si>
  <si>
    <t>Umang Burnwal</t>
  </si>
  <si>
    <t>Rohini Pradhan</t>
  </si>
  <si>
    <t>Ragini pradhan</t>
  </si>
  <si>
    <t>Chelsi Sanghai</t>
  </si>
  <si>
    <t>Tanisha Agarwal</t>
  </si>
  <si>
    <t>Nandini Keshri</t>
  </si>
  <si>
    <t>Monu Kumar Sahani</t>
  </si>
  <si>
    <t>PALAK SANGANERIA</t>
  </si>
  <si>
    <t>Hetanshi Mall</t>
  </si>
  <si>
    <t>Saumya Sureka</t>
  </si>
  <si>
    <t>Viraj singh</t>
  </si>
  <si>
    <t>Vandana Kumari Yadav</t>
  </si>
  <si>
    <t>Aditi Agarwal</t>
  </si>
  <si>
    <t>Disha Bajaj</t>
  </si>
  <si>
    <t>Sreyansh Singh</t>
  </si>
  <si>
    <t>raksha</t>
  </si>
  <si>
    <t>Priyesh Sangani</t>
  </si>
  <si>
    <t>Krish sharma</t>
  </si>
  <si>
    <t>SHUBHAM PODDAR</t>
  </si>
  <si>
    <t>Jyoti Srivastav</t>
  </si>
  <si>
    <t>Arpan Pathak</t>
  </si>
  <si>
    <t>nandini singh</t>
  </si>
  <si>
    <t>Tripti agarwal</t>
  </si>
  <si>
    <t>Harsh Agarwal</t>
  </si>
  <si>
    <t>Riya Rajak</t>
  </si>
  <si>
    <t>Suhani Surana</t>
  </si>
  <si>
    <t>P Pavithra</t>
  </si>
  <si>
    <t>Debarpan Chakraborty</t>
  </si>
  <si>
    <t>Angad</t>
  </si>
  <si>
    <t>Disha Patel</t>
  </si>
  <si>
    <t>Bhumika Agarwal</t>
  </si>
  <si>
    <t>Tanmay Chaudhary</t>
  </si>
  <si>
    <t>Gurmann Singh Kohli</t>
  </si>
  <si>
    <t>Avantika Saha</t>
  </si>
  <si>
    <t>Nandini Gupta</t>
  </si>
  <si>
    <t>Divyansh jain</t>
  </si>
  <si>
    <t>Devansh Agarwal</t>
  </si>
  <si>
    <t>Keshav Kumar Budhia</t>
  </si>
  <si>
    <t>Anirban chowdhury</t>
  </si>
  <si>
    <t>Akarsh kumar</t>
  </si>
  <si>
    <t>Disha Taparia</t>
  </si>
  <si>
    <t>Swati Suman</t>
  </si>
  <si>
    <t>Bhumi Jaiswal</t>
  </si>
  <si>
    <t>Anjali Kumari</t>
  </si>
  <si>
    <t>Sanjana Rathi</t>
  </si>
  <si>
    <t>Diya verma</t>
  </si>
  <si>
    <t>Radhika ojha</t>
  </si>
  <si>
    <t>Riya Gupta</t>
  </si>
  <si>
    <t>Priyanka Rathor</t>
  </si>
  <si>
    <t>Tazakka Arsh</t>
  </si>
  <si>
    <t>Tripti Dutta</t>
  </si>
  <si>
    <t>Eklavya Agarwal</t>
  </si>
  <si>
    <t>Jatin Kumar Jha</t>
  </si>
  <si>
    <t>Rohit Jangra</t>
  </si>
  <si>
    <t>Ankush Kaushik</t>
  </si>
  <si>
    <t>MRIGANKSHI SHARMA</t>
  </si>
  <si>
    <t>Gurpreet Kour</t>
  </si>
  <si>
    <t>Kartikay Singh</t>
  </si>
  <si>
    <t>Ritik Jaiswal</t>
  </si>
  <si>
    <t>Susmit Dutta</t>
  </si>
  <si>
    <t>Zahiah</t>
  </si>
  <si>
    <t>Sarad bharti shaw</t>
  </si>
  <si>
    <t>SK MD IMRAN ALAM</t>
  </si>
  <si>
    <t>Rishi Singh</t>
  </si>
  <si>
    <t>Ishita Dey</t>
  </si>
  <si>
    <t>Sonali bharti</t>
  </si>
  <si>
    <t>Vanshika Jain</t>
  </si>
  <si>
    <t>Mobasshir Ahmed</t>
  </si>
  <si>
    <t>Rudri Nagar</t>
  </si>
  <si>
    <t>nikita agarwal</t>
  </si>
  <si>
    <t>Arnav Kumar</t>
  </si>
  <si>
    <t>Mahak Agarwal</t>
  </si>
  <si>
    <t>Shivangi Khemka</t>
  </si>
  <si>
    <t>Roshni Singh</t>
  </si>
  <si>
    <t>Lakshya Bihani</t>
  </si>
  <si>
    <t>Ram Purohit</t>
  </si>
  <si>
    <t>Pragati Kumari</t>
  </si>
  <si>
    <t>Harsh shaw</t>
  </si>
  <si>
    <t>Rudra Joshi</t>
  </si>
  <si>
    <t>Md Saif Uddin</t>
  </si>
  <si>
    <t>Palak Shaw</t>
  </si>
  <si>
    <t>Owaish Hossain</t>
  </si>
  <si>
    <t>KRITI GAUTAM</t>
  </si>
  <si>
    <t>Debankan Chowdhury</t>
  </si>
  <si>
    <t>Naheed Saba</t>
  </si>
  <si>
    <t>Sneha Chakraborty</t>
  </si>
  <si>
    <t>Arpita Mondal</t>
  </si>
  <si>
    <t>Keshav Agarwal</t>
  </si>
  <si>
    <t>Gourav sethia</t>
  </si>
  <si>
    <t>BIKRAM SINGH</t>
  </si>
  <si>
    <t>Daksh Hirawat</t>
  </si>
  <si>
    <t>Moumita Samanta</t>
  </si>
  <si>
    <t>Gurpreet Singh</t>
  </si>
  <si>
    <t>Rizak Chawla</t>
  </si>
  <si>
    <t>Sakshi jha</t>
  </si>
  <si>
    <t>Tanisha Mittal</t>
  </si>
  <si>
    <t>Pranjal kumar Singh</t>
  </si>
  <si>
    <t>CHANAKIYA SARAVANA KUMAR</t>
  </si>
  <si>
    <t>Krishna Saraf</t>
  </si>
  <si>
    <t>Preyansh Bhatter</t>
  </si>
  <si>
    <t>Hardik Kaushik</t>
  </si>
  <si>
    <t>sakshi</t>
  </si>
  <si>
    <t>Priyanshu Singh</t>
  </si>
  <si>
    <t>Aryan Sharma</t>
  </si>
  <si>
    <t>Nitya Agarwal</t>
  </si>
  <si>
    <t>Md Sahil Kabir</t>
  </si>
  <si>
    <t>Nidhi Bajaj</t>
  </si>
  <si>
    <t>Aakriti Choubey</t>
  </si>
  <si>
    <t>Raunak Gupta</t>
  </si>
  <si>
    <t>Krissh Jaiswal</t>
  </si>
  <si>
    <t>Mayank soni</t>
  </si>
  <si>
    <t>Shubham Raj Singh</t>
  </si>
  <si>
    <t>Mohammad Athar</t>
  </si>
  <si>
    <t>Vinay malu</t>
  </si>
  <si>
    <t>Aman Parashar</t>
  </si>
  <si>
    <t>Mohit Sharma</t>
  </si>
  <si>
    <t>Akshat Gupta</t>
  </si>
  <si>
    <t>Vanshika Shah</t>
  </si>
  <si>
    <t>Vaibhav raj</t>
  </si>
  <si>
    <t>Satyaki Kundu</t>
  </si>
  <si>
    <t>Syed Badiuddin Ahmed</t>
  </si>
  <si>
    <t>Arpan Pari</t>
  </si>
  <si>
    <t>shreya tulsyan</t>
  </si>
  <si>
    <t>Riya Agarwal</t>
  </si>
  <si>
    <t>Md Sayem Hussain</t>
  </si>
  <si>
    <t>Md Arif</t>
  </si>
  <si>
    <t>Md Musaddique Ansari</t>
  </si>
  <si>
    <t>Rachit Tibrewal</t>
  </si>
  <si>
    <t>Adnan Ahmed</t>
  </si>
  <si>
    <t>Kinshuk Manna</t>
  </si>
  <si>
    <t>Tezash Chaurasia</t>
  </si>
  <si>
    <t>Vaishnavi Lall</t>
  </si>
  <si>
    <t>DIVYANKA SHARMA</t>
  </si>
  <si>
    <t>Riza Paul</t>
  </si>
  <si>
    <t>Rahul banerjee</t>
  </si>
  <si>
    <t>Devang Baid</t>
  </si>
  <si>
    <t>PRIYANSHU KESHRI</t>
  </si>
  <si>
    <t>Manashi Agarwal</t>
  </si>
  <si>
    <t>SOURAV RATHI</t>
  </si>
  <si>
    <t>Shivam Kumar Jha</t>
  </si>
  <si>
    <t>Ankur saha</t>
  </si>
  <si>
    <t>Adarsh Jha</t>
  </si>
  <si>
    <t>Shreya</t>
  </si>
  <si>
    <t>Nishika Sahal</t>
  </si>
  <si>
    <t>Arsalan Aziz</t>
  </si>
  <si>
    <t>Rishita Mandal</t>
  </si>
  <si>
    <t>Arshi Alam</t>
  </si>
  <si>
    <t>Riya Khetan</t>
  </si>
  <si>
    <t>Ashis Mohanty</t>
  </si>
  <si>
    <t>Sheeshant Jaiswal</t>
  </si>
  <si>
    <t>Muskan Singh</t>
  </si>
  <si>
    <t>Supriya shaw</t>
  </si>
  <si>
    <t>Tanisha jaiswal</t>
  </si>
  <si>
    <t>Deepak Kumar Singh</t>
  </si>
  <si>
    <t>Syed Mohd Zaynuddin</t>
  </si>
  <si>
    <t>Harsh Vardhan</t>
  </si>
  <si>
    <t>Yahya maaz</t>
  </si>
  <si>
    <t>Tushar Mantri</t>
  </si>
  <si>
    <t>Kashish Jaiswal</t>
  </si>
  <si>
    <t>Sneha Gupta</t>
  </si>
  <si>
    <t>Abhishek Agrawalla</t>
  </si>
  <si>
    <t>Rajveer Jaiswal</t>
  </si>
  <si>
    <t>Lakshita Singh</t>
  </si>
  <si>
    <t>Suzain Afshan</t>
  </si>
  <si>
    <t>Shreyash Nayak</t>
  </si>
  <si>
    <t>Rehan Nawaz Khan</t>
  </si>
  <si>
    <t>Sagar Dey</t>
  </si>
  <si>
    <t>Md Ramiz</t>
  </si>
  <si>
    <t>Bhavna Halwasia</t>
  </si>
  <si>
    <t>Rishi</t>
  </si>
  <si>
    <t>Priyanshu Kairi</t>
  </si>
  <si>
    <t>Pranak Gupta</t>
  </si>
  <si>
    <t>Lakshmi Chourasia</t>
  </si>
  <si>
    <t>Deblina Goswami</t>
  </si>
  <si>
    <t>Gaurav kumar Jha</t>
  </si>
  <si>
    <t>Aryan R Doshi</t>
  </si>
  <si>
    <t>Gourav Choudhary</t>
  </si>
  <si>
    <t>Nayan purohit</t>
  </si>
  <si>
    <t>Aakriti Manot</t>
  </si>
  <si>
    <t>Kasak Kothari</t>
  </si>
  <si>
    <t>Sagar Konwar</t>
  </si>
  <si>
    <t>Abhinav Prasad</t>
  </si>
  <si>
    <t>Krishi mantri</t>
  </si>
  <si>
    <t>Neha Sharma</t>
  </si>
  <si>
    <t>Ayush jha</t>
  </si>
  <si>
    <t>Shashishan prajapati</t>
  </si>
  <si>
    <t>Ruchi Patel</t>
  </si>
  <si>
    <t>Sneha Deb Amin</t>
  </si>
  <si>
    <t>Ritika Kejriwal</t>
  </si>
  <si>
    <t>Aditya Singhania</t>
  </si>
  <si>
    <t>Usha Mazumder</t>
  </si>
  <si>
    <t>Keshav Shukla</t>
  </si>
  <si>
    <t>Smriti Khandelwal</t>
  </si>
  <si>
    <t>Kush banerjee</t>
  </si>
  <si>
    <t>Sk Afrid</t>
  </si>
  <si>
    <t>Dipta Singha</t>
  </si>
  <si>
    <t>Amit Kanawjia</t>
  </si>
  <si>
    <t>Sneha Kumari</t>
  </si>
  <si>
    <t>Ankita sultania</t>
  </si>
  <si>
    <t>Uzma Rashid</t>
  </si>
  <si>
    <t>Rohan Agarwal</t>
  </si>
  <si>
    <t>Saanchi Minia</t>
  </si>
  <si>
    <t>Nishant Agarwal</t>
  </si>
  <si>
    <t>SAIKH AZIMUDDIN</t>
  </si>
  <si>
    <t>Humaira Feroze</t>
  </si>
  <si>
    <t>Shrestha Kolay</t>
  </si>
  <si>
    <t>Rajshree Singhania</t>
  </si>
  <si>
    <t>Arifah Zaman</t>
  </si>
  <si>
    <t>Anjali negi</t>
  </si>
  <si>
    <t>Asmita Paul</t>
  </si>
  <si>
    <t>NIKHIL VIJAY</t>
  </si>
  <si>
    <t>Deepti Jain</t>
  </si>
  <si>
    <t>Yubrajrudra</t>
  </si>
  <si>
    <t>Krishna Sultania</t>
  </si>
  <si>
    <t>Shaswata Saha</t>
  </si>
  <si>
    <t>Pranay patalia</t>
  </si>
  <si>
    <t>KUNAL AGARWAL</t>
  </si>
  <si>
    <t>Vedant Todi</t>
  </si>
  <si>
    <t>Vidhi Rathod</t>
  </si>
  <si>
    <t>Taiyyaba Aftab</t>
  </si>
  <si>
    <t>Arpit Singh</t>
  </si>
  <si>
    <t>Nidhi Dattani</t>
  </si>
  <si>
    <t>Puneet saraswat</t>
  </si>
  <si>
    <t>Pushkar Gupta</t>
  </si>
  <si>
    <t>Deeptanshu Dey</t>
  </si>
  <si>
    <t>Murtaza Aziz</t>
  </si>
  <si>
    <t>Aman Jain</t>
  </si>
  <si>
    <t>Rahul Soni</t>
  </si>
  <si>
    <t>Harsh kulthia</t>
  </si>
  <si>
    <t>Mrinank Pal</t>
  </si>
  <si>
    <t>Tirth Shah</t>
  </si>
  <si>
    <t>YASHIKA KHANDELWAL</t>
  </si>
  <si>
    <t>Veer S Doshi</t>
  </si>
  <si>
    <t>Soumya Nilesh Doshi</t>
  </si>
  <si>
    <t>Mrinmoy Das</t>
  </si>
  <si>
    <t>Sujal Kataria</t>
  </si>
  <si>
    <t>Sanskar Tripathi</t>
  </si>
  <si>
    <t>Mehul Chowdhary</t>
  </si>
  <si>
    <t>Ved Mehta</t>
  </si>
  <si>
    <t>Eshani Badiyani</t>
  </si>
  <si>
    <t>Aditya Gaurav</t>
  </si>
  <si>
    <t>Sampat Mitra</t>
  </si>
  <si>
    <t>Dristi Rungta</t>
  </si>
  <si>
    <t>Sk Sadab</t>
  </si>
  <si>
    <t>Krishna Malani</t>
  </si>
  <si>
    <t>Vaidehi Udeshi</t>
  </si>
  <si>
    <t>Suhani Toshniwal</t>
  </si>
  <si>
    <t>BHAWNA AGARWAL</t>
  </si>
  <si>
    <t>Amatullah Rangwala</t>
  </si>
  <si>
    <t>Ammar haji</t>
  </si>
  <si>
    <t>Antara Chandra</t>
  </si>
  <si>
    <t>Qutubkhan Huzefa Totanawala</t>
  </si>
  <si>
    <t>Himaghna Sarkar</t>
  </si>
  <si>
    <t>Samyak kothari</t>
  </si>
  <si>
    <t>Aranya Bag</t>
  </si>
  <si>
    <t>KUSHAL dugar</t>
  </si>
  <si>
    <t>Swapnendu Pal</t>
  </si>
  <si>
    <t>Shivam Seth</t>
  </si>
  <si>
    <t>Sayan Bardhan</t>
  </si>
  <si>
    <t>Ayush Thakur</t>
  </si>
  <si>
    <t>Ananya Bag</t>
  </si>
  <si>
    <t>Avinash Gupta</t>
  </si>
  <si>
    <t>Vedant Dubey</t>
  </si>
  <si>
    <t>Stuti Vyas</t>
  </si>
  <si>
    <t>Aman Choraria</t>
  </si>
  <si>
    <t>Arijit Das</t>
  </si>
  <si>
    <t>Arka kiran Dhar</t>
  </si>
  <si>
    <t>Mayank Kumar Dalania</t>
  </si>
  <si>
    <t>Suleman Fahim</t>
  </si>
  <si>
    <t>Kashish</t>
  </si>
  <si>
    <t>Lipika thakker</t>
  </si>
  <si>
    <t>Vedika Baid</t>
  </si>
  <si>
    <t>Gourav Das</t>
  </si>
  <si>
    <t>Nishita Mehta</t>
  </si>
  <si>
    <t>Nandini Mahato</t>
  </si>
  <si>
    <t>Yug Patel</t>
  </si>
  <si>
    <t>Sneha udaipuria</t>
  </si>
  <si>
    <t>Divya Bansal</t>
  </si>
  <si>
    <t>Abhisek</t>
  </si>
  <si>
    <t>Harsh ojha</t>
  </si>
  <si>
    <t>Nilesh Chandra</t>
  </si>
  <si>
    <t>Kirtika Khater</t>
  </si>
  <si>
    <t>Piyali Majee</t>
  </si>
  <si>
    <t>Prakriti Sharma</t>
  </si>
  <si>
    <t>Manav Sharma</t>
  </si>
  <si>
    <t>Samayra Sayeed</t>
  </si>
  <si>
    <t>Shreya Sharma</t>
  </si>
  <si>
    <t>Kangan singh</t>
  </si>
  <si>
    <t>Kajal kumari</t>
  </si>
  <si>
    <t>Harkirat Singh Bedi</t>
  </si>
  <si>
    <t>Muskan Kumari Agarwal</t>
  </si>
  <si>
    <t>Koena Das</t>
  </si>
  <si>
    <t>BHAWNA KANODIA</t>
  </si>
  <si>
    <t>Geetika Mussady</t>
  </si>
  <si>
    <t>Karan kumar</t>
  </si>
  <si>
    <t>Rakshita Sharma</t>
  </si>
  <si>
    <t>Aryann Shaw</t>
  </si>
  <si>
    <t>Khushi kumari</t>
  </si>
  <si>
    <t>Ankit Bhadani</t>
  </si>
  <si>
    <t>Akash Roy</t>
  </si>
  <si>
    <t>Kunal Agarwal</t>
  </si>
  <si>
    <t>Pratyaksh Banka</t>
  </si>
  <si>
    <t>Swastika Bhagat</t>
  </si>
  <si>
    <t>Arkajit Das</t>
  </si>
  <si>
    <t>Koustav Hazra</t>
  </si>
  <si>
    <t>Hammad Bin Fahim</t>
  </si>
  <si>
    <t>ALINA ALAM</t>
  </si>
  <si>
    <t>Sukhman kaur</t>
  </si>
  <si>
    <t>Shristi kumari</t>
  </si>
  <si>
    <t>Soumik Paul</t>
  </si>
  <si>
    <t>Arnav Modi</t>
  </si>
  <si>
    <t>Tisha Shah</t>
  </si>
  <si>
    <t>Isha jaiswal</t>
  </si>
  <si>
    <t>Manan Desai</t>
  </si>
  <si>
    <t>Devansh Gharwra</t>
  </si>
  <si>
    <t>Pratyush Saha</t>
  </si>
  <si>
    <t>Parth Popat</t>
  </si>
  <si>
    <t>Anant Prabhat Bezboruah</t>
  </si>
  <si>
    <t>Krish Singh</t>
  </si>
  <si>
    <t>Ankan Kumar Ghosh</t>
  </si>
  <si>
    <t>Sneha Ray</t>
  </si>
  <si>
    <t>Aritro Adhikary</t>
  </si>
  <si>
    <t>Dipti Kumari</t>
  </si>
  <si>
    <t>Priyanka panchamia</t>
  </si>
  <si>
    <t>Bhavika Srimal</t>
  </si>
  <si>
    <t>Anushka Baid</t>
  </si>
  <si>
    <t>SHIVAMM BAHETI</t>
  </si>
  <si>
    <t>Kriti kumari</t>
  </si>
  <si>
    <t>Arpit m shah</t>
  </si>
  <si>
    <t>MD ALI</t>
  </si>
  <si>
    <t>Purvi Dalmia</t>
  </si>
  <si>
    <t>Ritul kumari</t>
  </si>
  <si>
    <t>Tarusee Beria</t>
  </si>
  <si>
    <t>khushi julka</t>
  </si>
  <si>
    <t>Preeti Gorai</t>
  </si>
  <si>
    <t>Hardik Patel</t>
  </si>
  <si>
    <t>Aadya Shakti</t>
  </si>
  <si>
    <t>Harsh Pal Singh Arora</t>
  </si>
  <si>
    <t>Nikita Agarwal</t>
  </si>
  <si>
    <t>Sharansh Agarwal</t>
  </si>
  <si>
    <t>Hrittik</t>
  </si>
  <si>
    <t>Moumita Mandal</t>
  </si>
  <si>
    <t>Joyasmita Nandy</t>
  </si>
  <si>
    <t>Paridhi mishra</t>
  </si>
  <si>
    <t>Aliza Iman</t>
  </si>
  <si>
    <t>Ashmi Rupda</t>
  </si>
  <si>
    <t>RISHABH CHATURVEDI</t>
  </si>
  <si>
    <t>Raj savaliya</t>
  </si>
  <si>
    <t>SUVRAT ITALIYA</t>
  </si>
  <si>
    <t>Prachi Murarka</t>
  </si>
  <si>
    <t>Indrani kundu</t>
  </si>
  <si>
    <t>Rachana Gupta</t>
  </si>
  <si>
    <t>Abbas</t>
  </si>
  <si>
    <t>PIYUSH AGARWAL</t>
  </si>
  <si>
    <t>Anushka Jaiswal</t>
  </si>
  <si>
    <t>Tania Biswas</t>
  </si>
  <si>
    <t>Arpita Kucheria</t>
  </si>
  <si>
    <t>Abhishek Kumar Soni</t>
  </si>
  <si>
    <t>Ashmita Bhutra</t>
  </si>
  <si>
    <t>Mansi chandak</t>
  </si>
  <si>
    <t>Sanjana Shah</t>
  </si>
  <si>
    <t>Kasis Gul</t>
  </si>
  <si>
    <t>Devansh Prasad</t>
  </si>
  <si>
    <t>Romit Ganguly</t>
  </si>
  <si>
    <t>Ritika shaw</t>
  </si>
  <si>
    <t>Kiah Khetan</t>
  </si>
  <si>
    <t>Sital Mall</t>
  </si>
  <si>
    <t>Radhika Modi</t>
  </si>
  <si>
    <t>Tanisha Verma</t>
  </si>
  <si>
    <t>Tejaswa Gupta</t>
  </si>
  <si>
    <t>Avani Ghelani</t>
  </si>
  <si>
    <t>Subhadip maity</t>
  </si>
  <si>
    <t>palak kochar</t>
  </si>
  <si>
    <t>Barun Kumar</t>
  </si>
  <si>
    <t>drishti</t>
  </si>
  <si>
    <t>Govind Kumar Soni</t>
  </si>
  <si>
    <t>Mustari khatun</t>
  </si>
  <si>
    <t>Ansh Jaiswal</t>
  </si>
  <si>
    <t>Bhumika Jaiswal</t>
  </si>
  <si>
    <t>Sameeksha Agarwal</t>
  </si>
  <si>
    <t>Shrishti Tater</t>
  </si>
  <si>
    <t>Punit R Radia</t>
  </si>
  <si>
    <t>Rishabh Birmecha</t>
  </si>
  <si>
    <t>Mariya Kapadia</t>
  </si>
  <si>
    <t>Kushal Agarwal</t>
  </si>
  <si>
    <t>Rounak Kumar Agarwal</t>
  </si>
  <si>
    <t>MD SALMAN SAYEED</t>
  </si>
  <si>
    <t>Esha Kamani</t>
  </si>
  <si>
    <t>SANJANA VERMA</t>
  </si>
  <si>
    <t>Tanurjay Rakshit</t>
  </si>
  <si>
    <t>Ayushi Mahanty</t>
  </si>
  <si>
    <t>Anushka Baheti</t>
  </si>
  <si>
    <t>Aryan Ahmed</t>
  </si>
  <si>
    <t>Palak Mishra</t>
  </si>
  <si>
    <t>Debjit Hazra</t>
  </si>
  <si>
    <t>Udit Hazra</t>
  </si>
  <si>
    <t>AYAN</t>
  </si>
  <si>
    <t>Muskaan Bhalotia</t>
  </si>
  <si>
    <t>Vinayak Agarwal</t>
  </si>
  <si>
    <t>Swati Agarwal</t>
  </si>
  <si>
    <t>Vanshika Agarwal</t>
  </si>
  <si>
    <t>Sristi Jaiswal</t>
  </si>
  <si>
    <t>Yuvikaa Somani</t>
  </si>
  <si>
    <t>Afsara Parveen</t>
  </si>
  <si>
    <t>Jyoti chowrasia</t>
  </si>
  <si>
    <t>Arshdeep kaur</t>
  </si>
  <si>
    <t>Rishika Mahato</t>
  </si>
  <si>
    <t>Prachi Dhanania</t>
  </si>
  <si>
    <t>Akansha Dhanania</t>
  </si>
  <si>
    <t>Bhumi Goel</t>
  </si>
  <si>
    <t>Kanakpreet kaur dang</t>
  </si>
  <si>
    <t>Harshita Murarka</t>
  </si>
  <si>
    <t>Rudraksh Gadia</t>
  </si>
  <si>
    <t>Isha Soni</t>
  </si>
  <si>
    <t>Ananya lath</t>
  </si>
  <si>
    <t>Rajveer matharoo</t>
  </si>
  <si>
    <t>Piyush Jha</t>
  </si>
  <si>
    <t>Vanshika Vora</t>
  </si>
  <si>
    <t>Hiteshri Soni</t>
  </si>
  <si>
    <t>Nupur</t>
  </si>
  <si>
    <t>Anjali tiwari</t>
  </si>
  <si>
    <t>Rishi Agarwal</t>
  </si>
  <si>
    <t>Shreyansh jain</t>
  </si>
  <si>
    <t>Shubham jaria</t>
  </si>
  <si>
    <t>Abhishek Ughrija</t>
  </si>
  <si>
    <t>Ayush Kumar Shaw</t>
  </si>
  <si>
    <t>Yash Mehta</t>
  </si>
  <si>
    <t>Nikita Agrawal</t>
  </si>
  <si>
    <t>Adhiraj Sahoo</t>
  </si>
  <si>
    <t>Sweta Shaw</t>
  </si>
  <si>
    <t>Suryansh Dave</t>
  </si>
  <si>
    <t>Ashika jaiswal</t>
  </si>
  <si>
    <t>Swagata Bhanja</t>
  </si>
  <si>
    <t>Swarna chakraborty</t>
  </si>
  <si>
    <t>Mohammed Faizan Khan</t>
  </si>
  <si>
    <t>Rudransh Agarwal</t>
  </si>
  <si>
    <t>Saksham saraf</t>
  </si>
  <si>
    <t>Umang Agrawal</t>
  </si>
  <si>
    <t>Vyom Jhunjhunwala</t>
  </si>
  <si>
    <t>Jaanvi nahata</t>
  </si>
  <si>
    <t>Smita kumari</t>
  </si>
  <si>
    <t>Sourav manna</t>
  </si>
  <si>
    <t>A</t>
  </si>
  <si>
    <t>K</t>
  </si>
  <si>
    <t>C</t>
  </si>
  <si>
    <t>S</t>
  </si>
  <si>
    <t>R</t>
  </si>
  <si>
    <t>D</t>
  </si>
  <si>
    <t>I</t>
  </si>
  <si>
    <t>P</t>
  </si>
  <si>
    <t>J</t>
  </si>
  <si>
    <t>N</t>
  </si>
  <si>
    <t>T</t>
  </si>
  <si>
    <t>M</t>
  </si>
  <si>
    <t>H</t>
  </si>
  <si>
    <t>PAYAL</t>
  </si>
  <si>
    <t>AKASH ROWL</t>
  </si>
  <si>
    <t>KRISH GHOSH</t>
  </si>
  <si>
    <t>ABHIRON PAUL</t>
  </si>
  <si>
    <t>CHAITANYA SONI</t>
  </si>
  <si>
    <t>SAURAV</t>
  </si>
  <si>
    <t>ARYAN JAIN</t>
  </si>
  <si>
    <t>RITU RAJ</t>
  </si>
  <si>
    <t>SHUBHAM SHAW</t>
  </si>
  <si>
    <t>DEBANIK KUNDU</t>
  </si>
  <si>
    <t>KUMAR MANGLAM</t>
  </si>
  <si>
    <t>ISHA CHANDA</t>
  </si>
  <si>
    <t>RESHMI PRASAD</t>
  </si>
  <si>
    <t>PRASHANT KUMAR</t>
  </si>
  <si>
    <t>AYUSH AGARWALA</t>
  </si>
  <si>
    <t>JOJAFA KHANUM</t>
  </si>
  <si>
    <t>NAJMIN NAHAR</t>
  </si>
  <si>
    <t>SAMRIN ALI</t>
  </si>
  <si>
    <t>TRISHA RAHA</t>
  </si>
  <si>
    <t>MANYA GANATRA</t>
  </si>
  <si>
    <t>PROTHOMA SENGUPTA</t>
  </si>
  <si>
    <t>ARITRA MULLICK</t>
  </si>
  <si>
    <t>MARYAM KHAN</t>
  </si>
  <si>
    <t>RITIKA DAULTANI</t>
  </si>
  <si>
    <t>PUJA SINGH</t>
  </si>
  <si>
    <t>HARSH KUMAR SHAW</t>
  </si>
  <si>
    <t>ANKIT RAJ</t>
  </si>
  <si>
    <t>SHRUTI CHOWDHURY</t>
  </si>
  <si>
    <t>NAQIYAH KAUKAWALA</t>
  </si>
  <si>
    <t>AYUSH SARAOGI</t>
  </si>
  <si>
    <t>SHRUTI SHREYA</t>
  </si>
  <si>
    <t>RUPESH KUMAR JHA</t>
  </si>
  <si>
    <t>MD HUZAIFA AFTAB</t>
  </si>
  <si>
    <t>ROSHMI SAHA</t>
  </si>
  <si>
    <t>HEMANTH SHARMA</t>
  </si>
  <si>
    <t>UTKARSH JAISWAL</t>
  </si>
  <si>
    <t>KARAN SHAH</t>
  </si>
  <si>
    <t>RAVI KUMAR</t>
  </si>
  <si>
    <t>ARITRO SARKAR</t>
  </si>
  <si>
    <t>ARGHA SAHA</t>
  </si>
  <si>
    <t>ARYAN SONI</t>
  </si>
  <si>
    <t>SANIA PARVEEN</t>
  </si>
  <si>
    <t>RAHUL YADAV</t>
  </si>
  <si>
    <t>MD ABDULLAH KHAN</t>
  </si>
  <si>
    <t>SHREYA GAUTAM</t>
  </si>
  <si>
    <t>ASHUTOSH KUMAR</t>
  </si>
  <si>
    <t>NEHA BANTHIA</t>
  </si>
  <si>
    <t>SANJANA SINGH</t>
  </si>
  <si>
    <t>ABHAY KUMAR AGRAWAL</t>
  </si>
  <si>
    <t>SIMRAN DAS</t>
  </si>
  <si>
    <t>SANIYA CHATTERJEE</t>
  </si>
  <si>
    <t>ANISH GOTECHA</t>
  </si>
  <si>
    <t>TANNUSHREE</t>
  </si>
  <si>
    <t>ANKITA SUMAN</t>
  </si>
  <si>
    <t>NABEEL IFTEKHAR</t>
  </si>
  <si>
    <t>ABHINAV KUMAR SHAH</t>
  </si>
  <si>
    <t>ANURAG SINGH</t>
  </si>
  <si>
    <t>AWAIS UL MULK</t>
  </si>
  <si>
    <t>ARMAN SEVAK</t>
  </si>
  <si>
    <t>DEV KUMAR</t>
  </si>
  <si>
    <t>KHUSHI BIHANI</t>
  </si>
  <si>
    <t>ANAMIKA UPADHYAY</t>
  </si>
  <si>
    <t>SAI KRISHNA SAHOO</t>
  </si>
  <si>
    <t>SADAF IMTEYAZ</t>
  </si>
  <si>
    <t>SHWATI SINGH</t>
  </si>
  <si>
    <t>ZAID AHMED</t>
  </si>
  <si>
    <t>SHASHANK SHANU</t>
  </si>
  <si>
    <t>SAPTARCHI CHATTERJEE</t>
  </si>
  <si>
    <t>JULIE MANDAL</t>
  </si>
  <si>
    <t>RIYA RAJ</t>
  </si>
  <si>
    <t>TUSHAR SARAWGEE</t>
  </si>
  <si>
    <t>RAJNISH KUMAR</t>
  </si>
  <si>
    <t>ALTAMASH IRSHAD</t>
  </si>
  <si>
    <t>BHUWAN SHARMA</t>
  </si>
  <si>
    <t>SUJAL RAJAK</t>
  </si>
  <si>
    <t>SANA KHAN</t>
  </si>
  <si>
    <t>SUJAL CHOURASIYA</t>
  </si>
  <si>
    <t>SUKANYA PAUL</t>
  </si>
  <si>
    <t>RISHABH OJHA</t>
  </si>
  <si>
    <t>SWATI JAISWAL</t>
  </si>
  <si>
    <t>RUHIKA JAISWAL</t>
  </si>
  <si>
    <t>RITIK SINGHANIYA</t>
  </si>
  <si>
    <t>AYUSHI CHAUDHARY</t>
  </si>
  <si>
    <t>HARSHITA</t>
  </si>
  <si>
    <t>RITU KUMARI MANDAL</t>
  </si>
  <si>
    <t>SUMIT RAJAK</t>
  </si>
  <si>
    <t>KRISHNA JAISWAL</t>
  </si>
  <si>
    <t>ANISHA KUMARI</t>
  </si>
  <si>
    <t>AYESHA KHATOON</t>
  </si>
  <si>
    <t>KRISH MODI</t>
  </si>
  <si>
    <t>AABHA JAIN</t>
  </si>
  <si>
    <t>RITI GUPTA</t>
  </si>
  <si>
    <t>PRIYA MISHRA</t>
  </si>
  <si>
    <t>DIVYA AGARWAL</t>
  </si>
  <si>
    <t>AANUSHKA VERMA</t>
  </si>
  <si>
    <t>SAKSHI GUPTA</t>
  </si>
  <si>
    <t>HARSH SURANA</t>
  </si>
  <si>
    <t>ABHILESH BHAGAT</t>
  </si>
  <si>
    <t>SAIMA IDRIS JAHAN</t>
  </si>
  <si>
    <t>KALLYAN DEB</t>
  </si>
  <si>
    <t>DEVAM SIPANI</t>
  </si>
  <si>
    <t>SOUMYAJIT SAHA</t>
  </si>
  <si>
    <t>PRACHI SONTHALIA</t>
  </si>
  <si>
    <t>KHUSHI GUPTA</t>
  </si>
  <si>
    <t>ABDUL HARIS</t>
  </si>
  <si>
    <t>DARSH VORA</t>
  </si>
  <si>
    <t>AKASH KUMAR</t>
  </si>
  <si>
    <t>JASPREET KAUR</t>
  </si>
  <si>
    <t>EKTA TOPPO</t>
  </si>
  <si>
    <t>SOMSUVRA NAG</t>
  </si>
  <si>
    <t>FAHIM GAZI</t>
  </si>
  <si>
    <t>MD AFFIF HOSSAIN MULLICK</t>
  </si>
  <si>
    <t>LATIKA SHAH</t>
  </si>
  <si>
    <t>PRAKASH KUMAR SINGH</t>
  </si>
  <si>
    <t>DEV AGARWAL</t>
  </si>
  <si>
    <t>MD AZHAR HOSSAIN</t>
  </si>
  <si>
    <t>SHOAIB KHALED DADABHAI</t>
  </si>
  <si>
    <t>VEDIKA DAGA</t>
  </si>
  <si>
    <t>PRACHI DAGA</t>
  </si>
  <si>
    <t>FARHAN YOUSUF KHAN</t>
  </si>
  <si>
    <t>PRASANJEET PALAI</t>
  </si>
  <si>
    <t>ANSHUMAN ANCHAL</t>
  </si>
  <si>
    <t>JATIN BIHANI</t>
  </si>
  <si>
    <t>ABU SAYEED MD BASHIRUR RAHMAN</t>
  </si>
  <si>
    <t>RADHIKA KUMARI GUPTA</t>
  </si>
  <si>
    <t>SNEHA YADAV</t>
  </si>
  <si>
    <t>SHALIL KUMAR RAI</t>
  </si>
  <si>
    <t>SIDHARTHA JAIN</t>
  </si>
  <si>
    <t>UJJWAL KUMAR AGARWAL</t>
  </si>
  <si>
    <t>NIKHIL JAISWAL</t>
  </si>
  <si>
    <t>JAYWARDHAN SAMSUKHA</t>
  </si>
  <si>
    <t>SONAL GUPTA</t>
  </si>
  <si>
    <t>SIDHARTH GOYAL</t>
  </si>
  <si>
    <t>VISHWAJEET KUMAR SINGH</t>
  </si>
  <si>
    <t>BHUMIKA GOYAL</t>
  </si>
  <si>
    <t>CHARU BARDIA</t>
  </si>
  <si>
    <t>INSHA HASSAN</t>
  </si>
  <si>
    <t>SHYAM KUMAR SARRAF</t>
  </si>
  <si>
    <t>AKANSHA SOLANKI</t>
  </si>
  <si>
    <t>OM PRAKASH BARIK</t>
  </si>
  <si>
    <t>DIPESH DHARIWAL</t>
  </si>
  <si>
    <t>SANIKA SHAW</t>
  </si>
  <si>
    <t>TASFIA HOSSAIN</t>
  </si>
  <si>
    <t>MUDIT BARMECHA</t>
  </si>
  <si>
    <t>ANANYA GHOSH</t>
  </si>
  <si>
    <t>PRIYA FULFAGAR</t>
  </si>
  <si>
    <t>SABARNA PAUL</t>
  </si>
  <si>
    <t>CHETNA ATAL</t>
  </si>
  <si>
    <t>RIONA CHAKRABORTY</t>
  </si>
  <si>
    <t>TANISH DESAI</t>
  </si>
  <si>
    <t>AGRAG GHOSH</t>
  </si>
  <si>
    <t>UMANG BANKA</t>
  </si>
  <si>
    <t>DARAKHSHAN ALI</t>
  </si>
  <si>
    <t>KHYATI S. BANSAL</t>
  </si>
  <si>
    <t>KRISH MAHIDHAR</t>
  </si>
  <si>
    <t>DIKSHA BAID</t>
  </si>
  <si>
    <t>EKTA PANDA</t>
  </si>
  <si>
    <t>HEMANT KAUSHIK</t>
  </si>
  <si>
    <t>SOUMYADEEP BRAHMA</t>
  </si>
  <si>
    <t>ADITI SINGH</t>
  </si>
  <si>
    <t>KUSHAGRA GUPTA</t>
  </si>
  <si>
    <t>KAHKASHAN TABASSUM</t>
  </si>
  <si>
    <t>CHETAN SINGH</t>
  </si>
  <si>
    <t>MAHIMA KEJRIWAL</t>
  </si>
  <si>
    <t>ANSH BHUTORIA</t>
  </si>
  <si>
    <t>ARHAM BAID</t>
  </si>
  <si>
    <t>GURVIR SINGH</t>
  </si>
  <si>
    <t>LAKSHYA BHUTORIA</t>
  </si>
  <si>
    <t>RASHI NAHAR</t>
  </si>
  <si>
    <t>MANJARI PANDEY</t>
  </si>
  <si>
    <t>HIRAL MOHATA</t>
  </si>
  <si>
    <t>SHRUTI GUPTA</t>
  </si>
  <si>
    <t>NAINA CHANDAK</t>
  </si>
  <si>
    <t>URVI SHETH</t>
  </si>
  <si>
    <t>SHREYA GUPTA</t>
  </si>
  <si>
    <t>TANISHA RANI</t>
  </si>
  <si>
    <t>VEDANSHI SHARMA</t>
  </si>
  <si>
    <t>DIBYARUP HAZRA</t>
  </si>
  <si>
    <t>HARSH KHARA</t>
  </si>
  <si>
    <t>VIVEK KUMAR JHA</t>
  </si>
  <si>
    <t>RIFA SANZIDAH</t>
  </si>
  <si>
    <t>RITIKA AGARWAL</t>
  </si>
  <si>
    <t>SRISTI SARKAR</t>
  </si>
  <si>
    <t>PRIYA SHARMA</t>
  </si>
  <si>
    <t>VARUN KR SHUKLA</t>
  </si>
  <si>
    <t>SWATI PATODIA</t>
  </si>
  <si>
    <t>SOHAN BANERJEE</t>
  </si>
  <si>
    <t>UTKARSH GOYAL</t>
  </si>
  <si>
    <t>VIRAJ KOTHARI</t>
  </si>
  <si>
    <t>KUSHAGRA BARJATYA</t>
  </si>
  <si>
    <t>VAIBHAVI PATEL</t>
  </si>
  <si>
    <t>VIVEK PRASAD TANTI</t>
  </si>
  <si>
    <t>SHREYA JAIN</t>
  </si>
  <si>
    <t>AMAN PAL</t>
  </si>
  <si>
    <t>GAURAV SHUKLA</t>
  </si>
  <si>
    <t>BAKSHISH SINGH</t>
  </si>
  <si>
    <t>SWASTIK JAISWAL</t>
  </si>
  <si>
    <t>ADITYA KUMAR SINGH</t>
  </si>
  <si>
    <t>RIDHI PATEL</t>
  </si>
  <si>
    <t>ISHIKA JAIN</t>
  </si>
  <si>
    <t>SANSKAR JAIN</t>
  </si>
  <si>
    <t>NAMAN GOEL</t>
  </si>
  <si>
    <t>RAUNAK MISHRA</t>
  </si>
  <si>
    <t>CHIRAG LOHARIWAL</t>
  </si>
  <si>
    <t>KARISHMA BAGRI</t>
  </si>
  <si>
    <t>KARIYA VIRAJ DEVEN</t>
  </si>
  <si>
    <t>ANUSKA SHAW</t>
  </si>
  <si>
    <t>ABHISHEK KUMAR SAHU</t>
  </si>
  <si>
    <t>DIVYA PANDEY</t>
  </si>
  <si>
    <t>RAJAT CHOUDHURI</t>
  </si>
  <si>
    <t>VAIBHAV TIBREWAL</t>
  </si>
  <si>
    <t>SAMRIDDHI GHOSH</t>
  </si>
  <si>
    <t>JAYASHREE GOPALAN</t>
  </si>
  <si>
    <t>PRAGYA KUMARI</t>
  </si>
  <si>
    <t>AYUSH CHANDRA</t>
  </si>
  <si>
    <t>PURVI AGARWAL</t>
  </si>
  <si>
    <t>PRIYANSHI JALAN</t>
  </si>
  <si>
    <t>PRIYANSHEE CHOURASIA</t>
  </si>
  <si>
    <t>AANCHAL KANODIA</t>
  </si>
  <si>
    <t>SAHIDUL ISLAM MULLICK</t>
  </si>
  <si>
    <t>AVANTAS ARORA</t>
  </si>
  <si>
    <t>AALIYA EBAD</t>
  </si>
  <si>
    <t>MISHIKA PRIYA</t>
  </si>
  <si>
    <t>SEKHAR BAJPAI</t>
  </si>
  <si>
    <t>REET KOTHARI</t>
  </si>
  <si>
    <t>MD SAIM</t>
  </si>
  <si>
    <t>NISHIT KHORASIA</t>
  </si>
  <si>
    <t>AKSHAT JAISWAL</t>
  </si>
  <si>
    <t>AKSHAT PAREKH</t>
  </si>
  <si>
    <t>MANTHAN KUMAR</t>
  </si>
  <si>
    <t>AYUSH KUMAR</t>
  </si>
  <si>
    <t>MALAIKA JAIN</t>
  </si>
  <si>
    <t>RISHI KAJORIA</t>
  </si>
  <si>
    <t>RASHI AGRAWAL</t>
  </si>
  <si>
    <t>RAINA RAHMAN</t>
  </si>
  <si>
    <t>UNNATI SHAH</t>
  </si>
  <si>
    <t>ARYAN GUPTA</t>
  </si>
  <si>
    <t>AYESHA RIAZ</t>
  </si>
  <si>
    <t>SHAYAN SERAJ</t>
  </si>
  <si>
    <t>ARYAN AGARWAL</t>
  </si>
  <si>
    <t>DEVANSHI BACHHUKA</t>
  </si>
  <si>
    <t>PRASTUTI PRAYAS</t>
  </si>
  <si>
    <t>KUMKUM BAGRI</t>
  </si>
  <si>
    <t>SANCHITA AGARWAL</t>
  </si>
  <si>
    <t>MANAV JUTHANI</t>
  </si>
  <si>
    <t>SANA FATMA</t>
  </si>
  <si>
    <t>YAZDAN KHAN</t>
  </si>
  <si>
    <t>MD ZAID ADNAN</t>
  </si>
  <si>
    <t>NOOMAN ALI</t>
  </si>
  <si>
    <t>YUVRAJ CHOUHAN</t>
  </si>
  <si>
    <t>MD SAQIB</t>
  </si>
  <si>
    <t>KASHISH SHARMA</t>
  </si>
  <si>
    <t>MOHAMMED SHAIFTA SHAHBAZ</t>
  </si>
  <si>
    <t>ROHAN CHAKRABORTY</t>
  </si>
  <si>
    <t>KARISHMA MAHARWAL</t>
  </si>
  <si>
    <t>ZEESHAN EJAZ</t>
  </si>
  <si>
    <t>PRADIP MONDAL</t>
  </si>
  <si>
    <t>SIMRAN BAGARIA</t>
  </si>
  <si>
    <t>HARSH BAID</t>
  </si>
  <si>
    <t>MANSIZ KHANDOKER</t>
  </si>
  <si>
    <t>AAYUSH SHARMA</t>
  </si>
  <si>
    <t>ADARSH BALDUVA</t>
  </si>
  <si>
    <t>KASHISH PODDAR</t>
  </si>
  <si>
    <t>ADITI SARAF</t>
  </si>
  <si>
    <t>EJUPI DAS</t>
  </si>
  <si>
    <t>KANISHKA SHAW</t>
  </si>
  <si>
    <t>AMEER ALI</t>
  </si>
  <si>
    <t>KHUSHI BHINDE</t>
  </si>
  <si>
    <t>PRAKRITI PRASAD</t>
  </si>
  <si>
    <t>SAMIPYAA KAUNDILYA</t>
  </si>
  <si>
    <t>PRATHAM JAISWAL</t>
  </si>
  <si>
    <t>ATIQUE ISLAM</t>
  </si>
  <si>
    <t>SYEDA FARIA KARIM</t>
  </si>
  <si>
    <t>GULFISHAN BANO</t>
  </si>
  <si>
    <t>PRIYA JANA</t>
  </si>
  <si>
    <t>SHAHIN PARVEEN</t>
  </si>
  <si>
    <t>HARSH SINGH</t>
  </si>
  <si>
    <t>CHIRAG KHAJANCHI</t>
  </si>
  <si>
    <t>ROHIT NAG</t>
  </si>
  <si>
    <t>ASHISH CHOURASIA</t>
  </si>
  <si>
    <t>YUVRAAJ SHAW</t>
  </si>
  <si>
    <t>SMRITI</t>
  </si>
  <si>
    <t>GOON AGARWAL</t>
  </si>
  <si>
    <t>PAYAL SINGH</t>
  </si>
  <si>
    <t>AHTESHAM RAHIM</t>
  </si>
  <si>
    <t>MD DANIYAL</t>
  </si>
  <si>
    <t>SOMAIYA FATMA</t>
  </si>
  <si>
    <t>WAQUAS AKHTER</t>
  </si>
  <si>
    <t>HRISHITA DAMANI</t>
  </si>
  <si>
    <t>ARNAV SINGH</t>
  </si>
  <si>
    <t>GAURAV SHYAMSUKHA</t>
  </si>
  <si>
    <t>SURAJ KUMAR</t>
  </si>
  <si>
    <t>HARSIMRAN SINGH</t>
  </si>
  <si>
    <t>HIMANSHU KANDHWAY</t>
  </si>
  <si>
    <t>NIRAJ KUMAR JALAN</t>
  </si>
  <si>
    <t>SURAJ KUMAR DEY</t>
  </si>
  <si>
    <t>KRISHNA AGARWAL</t>
  </si>
  <si>
    <t>MAYANK AGARWAL</t>
  </si>
  <si>
    <t>SHASWAT DODRAJKA</t>
  </si>
  <si>
    <t>SHREYA LOHANI</t>
  </si>
  <si>
    <t>SYED UMAR ALI</t>
  </si>
  <si>
    <t>AMAN SHAW</t>
  </si>
  <si>
    <t>DIVYAM BAGLA</t>
  </si>
  <si>
    <t>LAKSHYA KHAITAN</t>
  </si>
  <si>
    <t>SWAYAM JAIN</t>
  </si>
  <si>
    <t>AYUSH KUMAR GIRI</t>
  </si>
  <si>
    <t>NANDANI KUMARI</t>
  </si>
  <si>
    <t>ANSHIKA SINGH</t>
  </si>
  <si>
    <t>NAYRIT GHOSH</t>
  </si>
  <si>
    <t>SAKCHAM AGARWAL</t>
  </si>
  <si>
    <t>HIMANSHU KUMAR MISHRA</t>
  </si>
  <si>
    <t>SK MAHMUD UL HASAN</t>
  </si>
  <si>
    <t>ARINDAM KARMAKAR</t>
  </si>
  <si>
    <t>SWASTIK BOSE</t>
  </si>
  <si>
    <t>MUDIT DAMANI</t>
  </si>
  <si>
    <t>SHRESTHA DEY</t>
  </si>
  <si>
    <t>AASTHAA RANJAN</t>
  </si>
  <si>
    <t>DEVANG KACHHAWA</t>
  </si>
  <si>
    <t>ARCHITA CHANDAK</t>
  </si>
  <si>
    <t>OJASVI SEKHANI</t>
  </si>
  <si>
    <t>DHRUB HANS</t>
  </si>
  <si>
    <t>BHAVYA DUGAR</t>
  </si>
  <si>
    <t>ADRIJA GHOSAL</t>
  </si>
  <si>
    <t>GAURAV AGARWAL</t>
  </si>
  <si>
    <t>YASHREE PATHAK</t>
  </si>
  <si>
    <t>ANIRUDDHA PAUL</t>
  </si>
  <si>
    <t>DEEPENDRA MOHAN JHA</t>
  </si>
  <si>
    <t>TARUN MOHATA</t>
  </si>
  <si>
    <t>OMKAR JENA</t>
  </si>
  <si>
    <t>ANMOL KUMAR</t>
  </si>
  <si>
    <t>RAKSHIT NAHATA</t>
  </si>
  <si>
    <t>SYED DANISH ALI</t>
  </si>
  <si>
    <t>ROHEAL JAISWAL</t>
  </si>
  <si>
    <t>MANTHAN AGARWAL</t>
  </si>
  <si>
    <t>DIPIKA BISWAS</t>
  </si>
  <si>
    <t>PRATHAM LADIA</t>
  </si>
  <si>
    <t>YASHRAJ BANTHIA</t>
  </si>
  <si>
    <t>RAJAT HEMANI</t>
  </si>
  <si>
    <t>HRISHI SHAW</t>
  </si>
  <si>
    <t>MD AYANUDDIN</t>
  </si>
  <si>
    <t>SREYA GUPTA</t>
  </si>
  <si>
    <t>AKANKSHA JAISWAL</t>
  </si>
  <si>
    <t>SUJAL KUMAR SINGH</t>
  </si>
  <si>
    <t>HAMZA HANIF</t>
  </si>
  <si>
    <t>MUFADDAL HUSSAIN</t>
  </si>
  <si>
    <t>NIKITA GOSWAMI</t>
  </si>
  <si>
    <t>SATYAM KUMAR</t>
  </si>
  <si>
    <t>ISHU YADAV</t>
  </si>
  <si>
    <t>TANUSHREE MOGRA</t>
  </si>
  <si>
    <t>HIMANSHI MITTAL</t>
  </si>
  <si>
    <t>SAHIL THAKUR</t>
  </si>
  <si>
    <t>PRATEETI AGARWAL</t>
  </si>
  <si>
    <t>DEVANSHI SONI</t>
  </si>
  <si>
    <t>CHIRAG AGARWAL</t>
  </si>
  <si>
    <t>PRATYUSH PANDEY</t>
  </si>
  <si>
    <t>AYUSH KEJRIWAL</t>
  </si>
  <si>
    <t>DHRUV PATEL</t>
  </si>
  <si>
    <t>NANDANI GUPTA</t>
  </si>
  <si>
    <t>YASH DOSHI</t>
  </si>
  <si>
    <t>PAYAL SHAW</t>
  </si>
  <si>
    <t>VANSHIKA KHANDELWAL</t>
  </si>
  <si>
    <t>YATHARTH NIRMAL</t>
  </si>
  <si>
    <t>YUVRAJ JAIN</t>
  </si>
  <si>
    <t>RIDHIMA KANODIA</t>
  </si>
  <si>
    <t>PALAK JOSHI</t>
  </si>
  <si>
    <t>ANKIT SHARMA</t>
  </si>
  <si>
    <t>NEHA BILAKHIA</t>
  </si>
  <si>
    <t>AYENDRILA ASH</t>
  </si>
  <si>
    <t>SAMADRITA BERA</t>
  </si>
  <si>
    <t>AYATI GOENKA</t>
  </si>
  <si>
    <t>SHRESTHA SHAW</t>
  </si>
  <si>
    <t>RISITA KUMARI</t>
  </si>
  <si>
    <t>NITISH KUMAR SINGH</t>
  </si>
  <si>
    <t>HUTASHA MISHRA</t>
  </si>
  <si>
    <t>MD OMAR TABREZ</t>
  </si>
  <si>
    <t>RISABH DUGAR</t>
  </si>
  <si>
    <t>JANVI VYAS</t>
  </si>
  <si>
    <t>ABHISHEK KUMAR SINGH</t>
  </si>
  <si>
    <t>AVISHEK SINGH</t>
  </si>
  <si>
    <t>SRIDHAR MUNDRA</t>
  </si>
  <si>
    <t>RIYA KUMARI SHAW</t>
  </si>
  <si>
    <t>SHIV SAMPATI TEWARI</t>
  </si>
  <si>
    <t>PRATHAM SANGHVI</t>
  </si>
  <si>
    <t>SANVI NOWLAKHA</t>
  </si>
  <si>
    <t>PRAKRITI GADIA</t>
  </si>
  <si>
    <t>SHUBHAM PANDEY</t>
  </si>
  <si>
    <t>MOHTASEEN ALAM</t>
  </si>
  <si>
    <t>KHUSHI DAGA</t>
  </si>
  <si>
    <t>RICK DAS</t>
  </si>
  <si>
    <t>MD ATIF ALAM</t>
  </si>
  <si>
    <t>PIYUSH CHAUDHURI</t>
  </si>
  <si>
    <t>KESHAV JOSHI</t>
  </si>
  <si>
    <t>SUDHANSHU TIWARY</t>
  </si>
  <si>
    <t>ANKUR AGRAWAL</t>
  </si>
  <si>
    <t>LAKSHYA AGARWAL</t>
  </si>
  <si>
    <t>SHAIQUE AHMAD RASHID</t>
  </si>
  <si>
    <t>CHITRA JAMUWAL</t>
  </si>
  <si>
    <t>KHUSHBU DAGA</t>
  </si>
  <si>
    <t>YASH KEJRIWAL</t>
  </si>
  <si>
    <t>ISHIKA CHOWDHURY</t>
  </si>
  <si>
    <t>ANSHU KUMAR</t>
  </si>
  <si>
    <t>DIYA DARSHNA JAIN</t>
  </si>
  <si>
    <t>ANIKET KUMAR SINGH</t>
  </si>
  <si>
    <t>SHRUTI MISHRA</t>
  </si>
  <si>
    <t>BHAVYA TANTIA</t>
  </si>
  <si>
    <t>MAHEK HIRAWAT</t>
  </si>
  <si>
    <t>SWARNJIT SINGH</t>
  </si>
  <si>
    <t>HARSH KUMAR ANAND</t>
  </si>
  <si>
    <t>KHUSHI MATHUR</t>
  </si>
  <si>
    <t>HARSHIT SONI</t>
  </si>
  <si>
    <t>CHANDRA SHEKHAR RAJ</t>
  </si>
  <si>
    <t>SHIVAM AGARWAL</t>
  </si>
  <si>
    <t>SHANIYA PARVEEN</t>
  </si>
  <si>
    <t>KOUSTAV PAUL</t>
  </si>
  <si>
    <t>SONU KUMAR SAHANI</t>
  </si>
  <si>
    <t>DEVANSHU GUPTA</t>
  </si>
  <si>
    <t>SK SAKIL IMAM</t>
  </si>
  <si>
    <t>DIVYA ADESARA</t>
  </si>
  <si>
    <t>KEYUR SHETH</t>
  </si>
  <si>
    <t>JAI KEDIA</t>
  </si>
  <si>
    <t>RITESH GUPTA</t>
  </si>
  <si>
    <t>AMAN GUPTA</t>
  </si>
  <si>
    <t>SHRADDHA ARYA</t>
  </si>
  <si>
    <t>SAMPRITI CHOWRASIA</t>
  </si>
  <si>
    <t>FAREEHA FATMA</t>
  </si>
  <si>
    <t>RIMMI ANURAG</t>
  </si>
  <si>
    <t>OM KUMAR</t>
  </si>
  <si>
    <t>KRRISH AGARWAL</t>
  </si>
  <si>
    <t>SHAAN DAGA</t>
  </si>
  <si>
    <t>GOURAV CHOWDHURY</t>
  </si>
  <si>
    <t>ANISHA</t>
  </si>
  <si>
    <t>PIYUSH BANERJEE</t>
  </si>
  <si>
    <t>HARSHITA JAIN</t>
  </si>
  <si>
    <t>PUJA NAREDI</t>
  </si>
  <si>
    <t>MANU RAJ SINGH</t>
  </si>
  <si>
    <t>AMISH PALIWAL</t>
  </si>
  <si>
    <t>DISHA AGARWAL</t>
  </si>
  <si>
    <t>MISHQUAT FATMA</t>
  </si>
  <si>
    <t>HAIQUA RASHID ANSARI</t>
  </si>
  <si>
    <t>PIYUSH SOLANKI</t>
  </si>
  <si>
    <t>SAGAR RATHI</t>
  </si>
  <si>
    <t>KHUSHAL RAJPUROHIT</t>
  </si>
  <si>
    <t>SHAFKATUN NISHA</t>
  </si>
  <si>
    <t>OHM AHUJA</t>
  </si>
  <si>
    <t>TISA JAIN</t>
  </si>
  <si>
    <t>SOURAV KUMAR</t>
  </si>
  <si>
    <t>SAYAN BHATTACHARJEE</t>
  </si>
  <si>
    <t>MD FARAZ NAJAM</t>
  </si>
  <si>
    <t>TANUSHREE PRADHAN</t>
  </si>
  <si>
    <t>APURBA ROUTH</t>
  </si>
  <si>
    <t>NAUSHEEN KHAN</t>
  </si>
  <si>
    <t>SURBHI KUMARI</t>
  </si>
  <si>
    <t>AKSHIT KUMAR</t>
  </si>
  <si>
    <t>RAMAN GOSWAMI</t>
  </si>
  <si>
    <t>RISHIKESH MUKHERJEE</t>
  </si>
  <si>
    <t>SHOUBHAGYA AGARWALLA</t>
  </si>
  <si>
    <t>ADITYA FITKARIWALA</t>
  </si>
  <si>
    <t>ANSHUL BAJAJ</t>
  </si>
  <si>
    <t>ASHMITA DASGUPTA</t>
  </si>
  <si>
    <t>SHRESTHA MITTAL</t>
  </si>
  <si>
    <t>VINEET DHRUV</t>
  </si>
  <si>
    <t>AVISHEK KUMAR SHARMA</t>
  </si>
  <si>
    <t>SALONI VIJAY</t>
  </si>
  <si>
    <t>FARHAT NAAZ</t>
  </si>
  <si>
    <t>SANSKAR CHOKHANI</t>
  </si>
  <si>
    <t>SHAD ZAID KHAN</t>
  </si>
  <si>
    <t>KAVYA SOMANI</t>
  </si>
  <si>
    <t>MRIGA RAKSHIT</t>
  </si>
  <si>
    <t>DHRUV KHURANA</t>
  </si>
  <si>
    <t>ARYAN RAJ</t>
  </si>
  <si>
    <t>KASHVI CHOUDHARY</t>
  </si>
  <si>
    <t>DEVALEENA SARKAR</t>
  </si>
  <si>
    <t>ARYAMAN AGRAWAL</t>
  </si>
  <si>
    <t>MADIHA IMTIAZ</t>
  </si>
  <si>
    <t>DARSH SHAH</t>
  </si>
  <si>
    <t>RENU KUMARI</t>
  </si>
  <si>
    <t>AKSHAT GUPTA</t>
  </si>
  <si>
    <t>JYOTI DAS</t>
  </si>
  <si>
    <t>NIRBHAY KUMAR</t>
  </si>
  <si>
    <t>TABINDA KALIM</t>
  </si>
  <si>
    <t>ABUS ALI</t>
  </si>
  <si>
    <t>ADITI RANJAN</t>
  </si>
  <si>
    <t>MANISH SHARMA</t>
  </si>
  <si>
    <t>TARUN BAFNA</t>
  </si>
  <si>
    <t>VRINDA MANTRY</t>
  </si>
  <si>
    <t>SAKSHI VERMA</t>
  </si>
  <si>
    <t>SAMIP SHARMA</t>
  </si>
  <si>
    <t>HARSH SHAW</t>
  </si>
  <si>
    <t>GHANSHYAM RATHORE</t>
  </si>
  <si>
    <t>VIGNESH ANANTHA KRISHNAN</t>
  </si>
  <si>
    <t>MEGHA SHAW</t>
  </si>
  <si>
    <t>SHRUTI KUMARI</t>
  </si>
  <si>
    <t>ANSHU KUMARI</t>
  </si>
  <si>
    <t>ISHIKA PODDAR</t>
  </si>
  <si>
    <t>KHWAAISH THACKER</t>
  </si>
  <si>
    <t>KHUSHI KUMARI</t>
  </si>
  <si>
    <t>KUNAL BHAGAT</t>
  </si>
  <si>
    <t>ADITYA KUMAR GUPTA</t>
  </si>
  <si>
    <t>ZARA AKHTAR</t>
  </si>
  <si>
    <t>MILAN KANDHWAY</t>
  </si>
  <si>
    <t>ANIKET DASGUPTA</t>
  </si>
  <si>
    <t>TANISHA GATTANI</t>
  </si>
  <si>
    <t>ANJALI SARRAF</t>
  </si>
  <si>
    <t>SURYANSHU PRATAP SINGH</t>
  </si>
  <si>
    <t>SK MASIH UZ ZAMAN</t>
  </si>
  <si>
    <t>SHYAM AGARWAL</t>
  </si>
  <si>
    <t>SURYA PRAKASH</t>
  </si>
  <si>
    <t>DARSH GHIYA</t>
  </si>
  <si>
    <t>RASHIKA SHAW</t>
  </si>
  <si>
    <t>ARUN DUGAR</t>
  </si>
  <si>
    <t>VARNICA GUPTA</t>
  </si>
  <si>
    <t>ANSHIKA YAJNIK</t>
  </si>
  <si>
    <t>KHUSH DHAREWA</t>
  </si>
  <si>
    <t>HARSHITA JAISWAL</t>
  </si>
  <si>
    <t>KASHISH GUPTA</t>
  </si>
  <si>
    <t>AYUSH DAS</t>
  </si>
  <si>
    <t>JAYANT AGARWAL</t>
  </si>
  <si>
    <t>CHITRAKSHI SINGH</t>
  </si>
  <si>
    <t>RAJ JAISWAL</t>
  </si>
  <si>
    <t>VEER SHAH</t>
  </si>
  <si>
    <t>KAMAL NARAYAN DAS</t>
  </si>
  <si>
    <t>ARPITA TIWARI</t>
  </si>
  <si>
    <t>ARNAB CHATTERJEE</t>
  </si>
  <si>
    <t>SHREYAN MAJHI</t>
  </si>
  <si>
    <t>HAIDER PATEL</t>
  </si>
  <si>
    <t>PAMMI CHOWRASIA</t>
  </si>
  <si>
    <t>PRIYA VERMA</t>
  </si>
  <si>
    <t>ARFA ARIF</t>
  </si>
  <si>
    <t>MALAIKA TRISH TEWARI</t>
  </si>
  <si>
    <t>NANDINI MODI</t>
  </si>
  <si>
    <t>OWAIS AHMED</t>
  </si>
  <si>
    <t>SWARNADIPTA ROY</t>
  </si>
  <si>
    <t>CHAHAT AGARWAL</t>
  </si>
  <si>
    <t>MEGHNA JAIN</t>
  </si>
  <si>
    <t>SUBHAM GUPTA</t>
  </si>
  <si>
    <t>ZEESHAN ANWAR</t>
  </si>
  <si>
    <t>MOHAMMAD ADNAN</t>
  </si>
  <si>
    <t>HARSH SHARMA</t>
  </si>
  <si>
    <t>SABINA ANWAR</t>
  </si>
  <si>
    <t>SHOURYA SINGHANIA</t>
  </si>
  <si>
    <t>REUBEN LALCHHANCHHUAHA</t>
  </si>
  <si>
    <t>PRINCE CHOUDHARY</t>
  </si>
  <si>
    <t>SANJANA JAISWAL</t>
  </si>
  <si>
    <t>SIDRA NEMAT</t>
  </si>
  <si>
    <t>KUMARI APOORVA</t>
  </si>
  <si>
    <t>GUREET KAUR</t>
  </si>
  <si>
    <t>KUSHAL SINGHANIA</t>
  </si>
  <si>
    <t>KRISH SHARMA</t>
  </si>
  <si>
    <t>SIDDHARTH BUDHIA</t>
  </si>
  <si>
    <t>ADITYA KUMAR SHARMA</t>
  </si>
  <si>
    <t>GAURAV SHARMA</t>
  </si>
  <si>
    <t>AMIRA ABBAS</t>
  </si>
  <si>
    <t>MEDHANSH JALAN</t>
  </si>
  <si>
    <t>PUJA KUMARI</t>
  </si>
  <si>
    <t>VAISHNAVI SOORYAVANSHI</t>
  </si>
  <si>
    <t>ANAY RANJAN</t>
  </si>
  <si>
    <t>YASH SONI</t>
  </si>
  <si>
    <t>RAGHAV SHARDA</t>
  </si>
  <si>
    <t>NIRMALYA ROY</t>
  </si>
  <si>
    <t>SUSMITA PANDEY</t>
  </si>
  <si>
    <t>VANISHA BAHETI</t>
  </si>
  <si>
    <t>KUMAR AYUSH</t>
  </si>
  <si>
    <t>AAKRITI MODI</t>
  </si>
  <si>
    <t>VISHAKHA MODI</t>
  </si>
  <si>
    <t>PRIYA SHAW</t>
  </si>
  <si>
    <t>HARSH KUMAR</t>
  </si>
  <si>
    <t>KUNAL KUMAR</t>
  </si>
  <si>
    <t>SONALI SRIVASTAV</t>
  </si>
  <si>
    <t>SHRUTI SUMAN</t>
  </si>
  <si>
    <t>AYUSH ABHI</t>
  </si>
  <si>
    <t>ABDUR RAHMAN KHAN</t>
  </si>
  <si>
    <t>SRISHTI PARAKH</t>
  </si>
  <si>
    <t>MD MODASSIR</t>
  </si>
  <si>
    <t>SHIVAM GOYAL</t>
  </si>
  <si>
    <t>KOMAL CHURIWALA</t>
  </si>
  <si>
    <t>ANUSHKA</t>
  </si>
  <si>
    <t>MUDIT DAGA</t>
  </si>
  <si>
    <t>MAHI BOSMIA</t>
  </si>
  <si>
    <t>SHRIMANT SARDA</t>
  </si>
  <si>
    <t>NEHA VYAS</t>
  </si>
  <si>
    <t>HIMANSHU JAIN</t>
  </si>
  <si>
    <t>URVI V DOSHI</t>
  </si>
  <si>
    <t>AKANSH AGARWAL</t>
  </si>
  <si>
    <t>JAY PATEL</t>
  </si>
  <si>
    <t>DEEP PATEL</t>
  </si>
  <si>
    <t>PRATHAM DHAND</t>
  </si>
  <si>
    <t>SHUBHAM MEHROTRA</t>
  </si>
  <si>
    <t>RISHI KHANNA</t>
  </si>
  <si>
    <t>RUDRA KHANNA</t>
  </si>
  <si>
    <t>YAKSH B SHETH</t>
  </si>
  <si>
    <t>SHREYA KUMARI</t>
  </si>
  <si>
    <t>ANSH JHUNJHUNWALA</t>
  </si>
  <si>
    <t>ARVIND AGRAWAL</t>
  </si>
  <si>
    <t>ANSHIKA AGARWAL</t>
  </si>
  <si>
    <t>ISHU RAJ</t>
  </si>
  <si>
    <t>UNNATI RAJ</t>
  </si>
  <si>
    <t>AMAN JAISWAL</t>
  </si>
  <si>
    <t>VIDHI DUTIA</t>
  </si>
  <si>
    <t>ALTAMASH AHMED</t>
  </si>
  <si>
    <t>MOHAMMED SHAFIQUE</t>
  </si>
  <si>
    <t>SUJAL SHARMA</t>
  </si>
  <si>
    <t>ROHIT LAL BURNWAL</t>
  </si>
  <si>
    <t>DISHAN JOSHI</t>
  </si>
  <si>
    <t>KOMAL KUMARI MAHATO</t>
  </si>
  <si>
    <t>VEDIKA SHARMA</t>
  </si>
  <si>
    <t>DHAIRYA AGARWAL</t>
  </si>
  <si>
    <t>MANAN MEHTA</t>
  </si>
  <si>
    <t>PRACHI KHANDELWAL</t>
  </si>
  <si>
    <t>DONA SAHA</t>
  </si>
  <si>
    <t>SHIFA PARVEEN</t>
  </si>
  <si>
    <t>RUCHI DEY</t>
  </si>
  <si>
    <t>SALONI GUPTA</t>
  </si>
  <si>
    <t>RITIKA PAUL</t>
  </si>
  <si>
    <t>KAUSHAL JALAN</t>
  </si>
  <si>
    <t>KRISHNA JOGANI</t>
  </si>
  <si>
    <t>RIYA GARODIA</t>
  </si>
  <si>
    <t>AYUSHI MOHATA</t>
  </si>
  <si>
    <t>ANUSHKA VASTRAKAR</t>
  </si>
  <si>
    <t>BHUMIKA KAREL</t>
  </si>
  <si>
    <t>RITHIKA</t>
  </si>
  <si>
    <t>ISHIKA GOYAL</t>
  </si>
  <si>
    <t>BHAWANA DUDHORIA</t>
  </si>
  <si>
    <t>KHUSHI SUKHANI</t>
  </si>
  <si>
    <t>ANSH SURANA</t>
  </si>
  <si>
    <t>SHIVAM KUMAR JAJODIA</t>
  </si>
  <si>
    <t>ADITI BHUWALKA</t>
  </si>
  <si>
    <t>ADITYA RAJ SINGH</t>
  </si>
  <si>
    <t>ANKIT KUMAR SINGH</t>
  </si>
  <si>
    <t>RIYA SONI</t>
  </si>
  <si>
    <t>KHUSHI CHOURASIA</t>
  </si>
  <si>
    <t>RITTIK ROY</t>
  </si>
  <si>
    <t>ANIRBAN DAS</t>
  </si>
  <si>
    <t>HIRAK HAZRA</t>
  </si>
  <si>
    <t>BIRAJ SAHA</t>
  </si>
  <si>
    <t>SAKSHI CHOURASIA</t>
  </si>
  <si>
    <t>ISHRAT JAHAN</t>
  </si>
  <si>
    <t>ANKUSH MODI</t>
  </si>
  <si>
    <t>RISHIT TANDON</t>
  </si>
  <si>
    <t>BHUMIKA VERMA</t>
  </si>
  <si>
    <t>AYANNA GHOSH</t>
  </si>
  <si>
    <t>TANISHA SHAH</t>
  </si>
  <si>
    <t>DEVANSH DHANUKA</t>
  </si>
  <si>
    <t>PUJA SARAF</t>
  </si>
  <si>
    <t>RAHUL TEKRIWAL</t>
  </si>
  <si>
    <t>ISHITA GUPTA</t>
  </si>
  <si>
    <t>SAHIL JALAN</t>
  </si>
  <si>
    <t>PRIYA RAKHECHA</t>
  </si>
  <si>
    <t>PRIYANSHU SAHA</t>
  </si>
  <si>
    <t>SYED AWAIS TAUHEED</t>
  </si>
  <si>
    <t>ANCHAL GUPTA</t>
  </si>
  <si>
    <t>YAMINI DAGA</t>
  </si>
  <si>
    <t>VANSH BERIA</t>
  </si>
  <si>
    <t>PRIYANGSU CHOURASIA</t>
  </si>
  <si>
    <t>RAJESHWARI DUTTA</t>
  </si>
  <si>
    <t>MOHAMMAD RASIKH</t>
  </si>
  <si>
    <t>ANKIT BASAK</t>
  </si>
  <si>
    <t>RAJNANDINI ARYA</t>
  </si>
  <si>
    <t>YASH ARYAN GUPTA</t>
  </si>
  <si>
    <t>AKANSHA GUPTA</t>
  </si>
  <si>
    <t>SHIKHA ANUPAM</t>
  </si>
  <si>
    <t>SHREYA GHORAI</t>
  </si>
  <si>
    <t>ROSHNI SARKAR</t>
  </si>
  <si>
    <t>AANCHAL KAREL</t>
  </si>
  <si>
    <t>NAMAN AGARWAL</t>
  </si>
  <si>
    <t>PIYUSH TAPARIA</t>
  </si>
  <si>
    <t>UMME HABIBA</t>
  </si>
  <si>
    <t>RAJ KHORDIA</t>
  </si>
  <si>
    <t>JAI BALAJI PANDEY</t>
  </si>
  <si>
    <t>PRACHI TRIPATHI</t>
  </si>
  <si>
    <t>KAREENA. SHARMA</t>
  </si>
  <si>
    <t>SIMRAN KUMARI</t>
  </si>
  <si>
    <t>SANJAY MAZUMDER</t>
  </si>
  <si>
    <t>ANUBHAV VERMA</t>
  </si>
  <si>
    <t>NUPUR JAISWAL</t>
  </si>
  <si>
    <t>KRITIKA AGARWAL</t>
  </si>
  <si>
    <t>KASHISH BAID</t>
  </si>
  <si>
    <t>AMARJEET KUMAR</t>
  </si>
  <si>
    <t>YOGSHREE KHAITAN</t>
  </si>
  <si>
    <t>SIDHI AGARWAL</t>
  </si>
  <si>
    <t>VEDANT GUPTA</t>
  </si>
  <si>
    <t>SWASTIK SAHA</t>
  </si>
  <si>
    <t>VISHAL SURANA</t>
  </si>
  <si>
    <t>RAHUL RAI</t>
  </si>
  <si>
    <t>PRIYA</t>
  </si>
  <si>
    <t>SHIREEN AHAMED</t>
  </si>
  <si>
    <t>MUKAND AGARWAL</t>
  </si>
  <si>
    <t>MIHIR SHETH</t>
  </si>
  <si>
    <t>ROHIT SHARMA</t>
  </si>
  <si>
    <t>ESHANI GANDHI</t>
  </si>
  <si>
    <t>JOY PATEL</t>
  </si>
  <si>
    <t>HARSH VARDHAN SHARMA</t>
  </si>
  <si>
    <t>DOLI KUMARI</t>
  </si>
  <si>
    <t>KUNAL SHAW</t>
  </si>
  <si>
    <t>AYUSH AGARWAL</t>
  </si>
  <si>
    <t>RISHI SHANKAR TIWARY</t>
  </si>
  <si>
    <t>SHUBHAM KUMAR RAM</t>
  </si>
  <si>
    <t>MAYANK SUREKA</t>
  </si>
  <si>
    <t>NEHAL BHADANI</t>
  </si>
  <si>
    <t>SARTHAK SHARMA</t>
  </si>
  <si>
    <t>SIDDHANT JAYASWAL</t>
  </si>
  <si>
    <t>TANUSH DAGA</t>
  </si>
  <si>
    <t>AADITI RAJPURIA</t>
  </si>
  <si>
    <t>TUSHAR DUBEY</t>
  </si>
  <si>
    <t>DIVYANSHU AGRAHARI</t>
  </si>
  <si>
    <t>VIVEK DASGUPTA</t>
  </si>
  <si>
    <t>SIDDHARTH KEJRIWAL</t>
  </si>
  <si>
    <t>DIPALI KUMARI</t>
  </si>
  <si>
    <t>PARNAVI BANERJEE</t>
  </si>
  <si>
    <t>SNEHA SHARMA</t>
  </si>
  <si>
    <t>VASUDHA BAGARIA</t>
  </si>
  <si>
    <t>ISHANI MUKHERJEE</t>
  </si>
  <si>
    <t>JAGRITI VERMA</t>
  </si>
  <si>
    <t>PRATYUSH GUPTA</t>
  </si>
  <si>
    <t>HARSH JAISWAL</t>
  </si>
  <si>
    <t>RAHUL PODDAR</t>
  </si>
  <si>
    <t>AKASH GUPTA</t>
  </si>
  <si>
    <t>AMAN KUMAR SINGH</t>
  </si>
  <si>
    <t>SHREYANSH KUTRIYAR</t>
  </si>
  <si>
    <t>SONALI MAJUMDER</t>
  </si>
  <si>
    <t>HITESH SEHGAL</t>
  </si>
  <si>
    <t>ADITYA SAHA</t>
  </si>
  <si>
    <t>ROOPRAJ SINGH</t>
  </si>
  <si>
    <t>RISHAV SHAW</t>
  </si>
  <si>
    <t>PRIYANKA MANDAK</t>
  </si>
  <si>
    <t>ABHISHEK KUMAR</t>
  </si>
  <si>
    <t>SHIVAM SHAW</t>
  </si>
  <si>
    <t>NAKUL BENGANI</t>
  </si>
  <si>
    <t>VISHAL DAS</t>
  </si>
  <si>
    <t>KUSUMIKA</t>
  </si>
  <si>
    <t>KRISHNA CHOUDHARY</t>
  </si>
  <si>
    <t>SHRUTI SINGH</t>
  </si>
  <si>
    <t>SHRUTI JAISWAL</t>
  </si>
  <si>
    <t>ANUSHKA GUPTA</t>
  </si>
  <si>
    <t>JANHVI VERMA</t>
  </si>
  <si>
    <t>HARSHITAA RATHI</t>
  </si>
  <si>
    <t>SURBHI VERMA</t>
  </si>
  <si>
    <t>SANU KUMAR</t>
  </si>
  <si>
    <t>SABAHAT IQBAL</t>
  </si>
  <si>
    <t>SHRINJOY CHAKRABORTY</t>
  </si>
  <si>
    <t>ANISH MODI</t>
  </si>
  <si>
    <t>SANCHITA SAHA</t>
  </si>
  <si>
    <t>JHANVI AGRAHARI</t>
  </si>
  <si>
    <t>RISHI LODHA</t>
  </si>
  <si>
    <t>MOHAMMAD ABDULLAH SHAHID</t>
  </si>
  <si>
    <t>SANIA MUSTAFA</t>
  </si>
  <si>
    <t>MAHI GUPTA</t>
  </si>
  <si>
    <t>HARSH RAJ</t>
  </si>
  <si>
    <t>HAMZA MUJTABA KHAN</t>
  </si>
  <si>
    <t>RAHUL SHAW</t>
  </si>
  <si>
    <t>AMAR SULTAN SEIKH</t>
  </si>
  <si>
    <t>ANUSHKA BISWAS</t>
  </si>
  <si>
    <t>TANMAY KARMAKAR</t>
  </si>
  <si>
    <t>DIYA</t>
  </si>
  <si>
    <t>AYUSH TRIPATHI</t>
  </si>
  <si>
    <t>ANUSHKA DUTTA</t>
  </si>
  <si>
    <t>TUHIN SARDAR</t>
  </si>
  <si>
    <t>SANCHITA DAS</t>
  </si>
  <si>
    <t>SNEHA GHOSH</t>
  </si>
  <si>
    <t>SAMPURNA SAHA</t>
  </si>
  <si>
    <t>ANKIT KUMAR YADAV</t>
  </si>
  <si>
    <t>DEBESH PODDAR</t>
  </si>
  <si>
    <t>ANUSKA PANDEY</t>
  </si>
  <si>
    <t>ANJALINA GOGOI</t>
  </si>
  <si>
    <t>RIYA THAKUR</t>
  </si>
  <si>
    <t>GARIMA BACHCHAN</t>
  </si>
  <si>
    <t>AKRIRI KUMARI</t>
  </si>
  <si>
    <t>SHRISTI SINGH</t>
  </si>
  <si>
    <t>SAYNA GUPTA</t>
  </si>
  <si>
    <t>RITIKA GUPTA</t>
  </si>
  <si>
    <t>SHRISTY AGARWAL</t>
  </si>
  <si>
    <t>ADITI SHARMA</t>
  </si>
  <si>
    <t>AASHUTOSH MOHATA</t>
  </si>
  <si>
    <t>SIMRAN BHARTI</t>
  </si>
  <si>
    <t>PRIYADARSHINI SAHU</t>
  </si>
  <si>
    <t>ADITYA SHARMA</t>
  </si>
  <si>
    <t>ISHIKA GATTANI</t>
  </si>
  <si>
    <t>MAUSAM KUMARI</t>
  </si>
  <si>
    <t>KHUSHI SETHIA</t>
  </si>
  <si>
    <t>DEEPAK BAID</t>
  </si>
  <si>
    <t>AANCHAL SHAW</t>
  </si>
  <si>
    <t>PARIKSHIT JAISWAL</t>
  </si>
  <si>
    <t>FARHAN AKHTAR</t>
  </si>
  <si>
    <t>ISHIKA PARMAR</t>
  </si>
  <si>
    <t>SOUNDRYA KUMARI</t>
  </si>
  <si>
    <t>MILAN KHANAL</t>
  </si>
  <si>
    <t>MOHIT AGARWAL</t>
  </si>
  <si>
    <t>ANJALI MISHRA</t>
  </si>
  <si>
    <t>SUBHAM AGARWAL</t>
  </si>
  <si>
    <t>KUSHAL BAJORIA</t>
  </si>
  <si>
    <t>GYAN AGARWAL</t>
  </si>
  <si>
    <t>KESHAV GOEL</t>
  </si>
  <si>
    <t>SHIVAM SRIVASTAVA</t>
  </si>
  <si>
    <t>ANKIT AGRAWAL</t>
  </si>
  <si>
    <t>HITESH SHAW</t>
  </si>
  <si>
    <t>SHRISTI JAISWAL</t>
  </si>
  <si>
    <t>AMBIKA KULTHIA</t>
  </si>
  <si>
    <t>SUJAL MONDAL</t>
  </si>
  <si>
    <t>MIKUL JAIN</t>
  </si>
  <si>
    <t>FHALAK SHAHEEN</t>
  </si>
  <si>
    <t>SUBHRO BHATTACHARJEE</t>
  </si>
  <si>
    <t>SOMNATH CHOWDHURY</t>
  </si>
  <si>
    <t>BHUMIKA KOLEY</t>
  </si>
  <si>
    <t>SAMREEN PRODHAN</t>
  </si>
  <si>
    <t>IRTAZA ALAM</t>
  </si>
  <si>
    <t>ADITYA RAJ</t>
  </si>
  <si>
    <t>KIRTI TANTIA</t>
  </si>
  <si>
    <t>RIDHIMA SHARMA</t>
  </si>
  <si>
    <t>MANSI SUGLA</t>
  </si>
  <si>
    <t>PARTHI SUBBA</t>
  </si>
  <si>
    <t>RAJITA SAHAY</t>
  </si>
  <si>
    <t>ANJALI KUMARI</t>
  </si>
  <si>
    <t>PRIYANSHU GOSWAMI</t>
  </si>
  <si>
    <t>RIYA KUMARI</t>
  </si>
  <si>
    <t>KOMAL JAISWAL</t>
  </si>
  <si>
    <t>SHRIYA SMITA MISHRA</t>
  </si>
  <si>
    <t>KRISHNA SONI</t>
  </si>
  <si>
    <t>CHANCHAL DAGA</t>
  </si>
  <si>
    <t>LUBHANSHI MAHTO</t>
  </si>
  <si>
    <t>ZAINAB SAJJAD</t>
  </si>
  <si>
    <t>HEMLATA RATHORE</t>
  </si>
  <si>
    <t>ADITYA SHOME</t>
  </si>
  <si>
    <t>MD ZAID AMIN</t>
  </si>
  <si>
    <t>RAMISHA ARMAN</t>
  </si>
  <si>
    <t>SANVI SARAF</t>
  </si>
  <si>
    <t>SK IMRAN ALI</t>
  </si>
  <si>
    <t>KOMAL KUMARI</t>
  </si>
  <si>
    <t>ARMAAN BISWAS</t>
  </si>
  <si>
    <t>SHAHID NAWAZ</t>
  </si>
  <si>
    <t>NAYANCI KUMARI</t>
  </si>
  <si>
    <t>YASHVI SHAH</t>
  </si>
  <si>
    <t>YASH LATHIA</t>
  </si>
  <si>
    <t>KHUSHI AGARWAL</t>
  </si>
  <si>
    <t>AALEYA ANWAR</t>
  </si>
  <si>
    <t>RAOUFA DIL</t>
  </si>
  <si>
    <t>ADITYA TIWARI</t>
  </si>
  <si>
    <t>RHYTHAM GUPTA</t>
  </si>
  <si>
    <t>MEGHA NAGAR</t>
  </si>
  <si>
    <t>VANSHIKA BAID</t>
  </si>
  <si>
    <t>MD ALI NIZAMUDDIN</t>
  </si>
  <si>
    <t>AYAAN RASEIKH HAFIZ</t>
  </si>
  <si>
    <t>TANISHA SINGHI</t>
  </si>
  <si>
    <t>SAQLAIN</t>
  </si>
  <si>
    <t>SANJEEVAN BHUTRA</t>
  </si>
  <si>
    <t>URJA MALHOTRA</t>
  </si>
  <si>
    <t>SIDDHARTHA DUTTA</t>
  </si>
  <si>
    <t>SNEHA SAHA</t>
  </si>
  <si>
    <t>UMANG JAIN</t>
  </si>
  <si>
    <t>AMAN KUMAR JAIN</t>
  </si>
  <si>
    <t>AMAN KUMAR</t>
  </si>
  <si>
    <t>ANANYA ASHKA</t>
  </si>
  <si>
    <t>AYUSHI KUMARI</t>
  </si>
  <si>
    <t>ISHIKA</t>
  </si>
  <si>
    <t>SANJUKTA CHAKRABORTY</t>
  </si>
  <si>
    <t>PRACHI BOTHRA</t>
  </si>
  <si>
    <t>DANIKKA PODDAR</t>
  </si>
  <si>
    <t>ROHIT KUMAR GUPTA</t>
  </si>
  <si>
    <t>SHINJINI GHOSH</t>
  </si>
  <si>
    <t>KHUSHI KHANDELWAL</t>
  </si>
  <si>
    <t>HARMANN SINGH</t>
  </si>
  <si>
    <t>HARSH</t>
  </si>
  <si>
    <t>RAHIL MUJTABA</t>
  </si>
  <si>
    <t>SHARJIL ABID</t>
  </si>
  <si>
    <t>IBRA ALI</t>
  </si>
  <si>
    <t>ANJALI MENON</t>
  </si>
  <si>
    <t>ARMAGHAN MASOOM</t>
  </si>
  <si>
    <t>KARISHMA LAKHOTIA</t>
  </si>
  <si>
    <t>AJAY KUMAR CHOUDHARY</t>
  </si>
  <si>
    <t>SNEHA TALUKDER</t>
  </si>
  <si>
    <t>PALLABI KUMARI SINHA</t>
  </si>
  <si>
    <t>SAIYADA PARVEEN</t>
  </si>
  <si>
    <t>APURVA TIWARY</t>
  </si>
  <si>
    <t>SHREYA SINGH</t>
  </si>
  <si>
    <t>HARSH KHERIA</t>
  </si>
  <si>
    <t>KUSUM KUMARI</t>
  </si>
  <si>
    <t>RIDHI AGARWAL</t>
  </si>
  <si>
    <t>AMAN KR AGRAWAL</t>
  </si>
  <si>
    <t>LUCKY BAGRI</t>
  </si>
  <si>
    <t>TANISH SHARMA</t>
  </si>
  <si>
    <t>ADITYA</t>
  </si>
  <si>
    <t>DEVANSH KAPOOR</t>
  </si>
  <si>
    <t>HARSHITA DHAL</t>
  </si>
  <si>
    <t>ARROHI BHATTACHARJEE</t>
  </si>
  <si>
    <t>PRINCE KUMAR</t>
  </si>
  <si>
    <t>KOMAL CHOMAL</t>
  </si>
  <si>
    <t>HIMANK DEO</t>
  </si>
  <si>
    <t>SATWIK NAG</t>
  </si>
  <si>
    <t>SHRISTI KHETAN</t>
  </si>
  <si>
    <t>HUMA FATMA</t>
  </si>
  <si>
    <t>SARBANEE SAHA</t>
  </si>
  <si>
    <t>PRERNA PRASAD</t>
  </si>
  <si>
    <t>SNEHA JAJODIA</t>
  </si>
  <si>
    <t>NAVAL PATEL</t>
  </si>
  <si>
    <t>YAGYA SHARMA</t>
  </si>
  <si>
    <t>SITAL JHAWAR</t>
  </si>
  <si>
    <t>AAKANCHA DHANIWAL</t>
  </si>
  <si>
    <t>TIYA KUMARI</t>
  </si>
  <si>
    <t>SUPRABHA BASU MULLICK</t>
  </si>
  <si>
    <t>ROSHNI THAKUR</t>
  </si>
  <si>
    <t>VIDUSHEE SINGH</t>
  </si>
  <si>
    <t>HARSHIT TAPARIA</t>
  </si>
  <si>
    <t>WASHIKA AFTAB</t>
  </si>
  <si>
    <t>INSHA SHAHZAD</t>
  </si>
  <si>
    <t>SAKINA HASHMI</t>
  </si>
  <si>
    <t>TANWI VIJAYWARGIA</t>
  </si>
  <si>
    <t>ABHISHEK SINGH</t>
  </si>
  <si>
    <t>ASMIT PANDEY</t>
  </si>
  <si>
    <t>DIVYANSHI JANGID</t>
  </si>
  <si>
    <t>NISTHA JAIN</t>
  </si>
  <si>
    <t>SUDARSHANA KASYAP</t>
  </si>
  <si>
    <t>SHUBHAM RATHI</t>
  </si>
  <si>
    <t>ARYAN PANDEY</t>
  </si>
  <si>
    <t>YASH CHANGOIWALA</t>
  </si>
  <si>
    <t>EKTA MEHRA</t>
  </si>
  <si>
    <t>MAHASWETA DE</t>
  </si>
  <si>
    <t>ANJANI KR AGARWAL</t>
  </si>
  <si>
    <t>AYAN MUKHERJEE</t>
  </si>
  <si>
    <t>MAEHEK AGARWAL</t>
  </si>
  <si>
    <t>PARWATI DAS ADHIKARI</t>
  </si>
  <si>
    <t>AKSHAT KUMAR</t>
  </si>
  <si>
    <t>NEEHA AGARWAL</t>
  </si>
  <si>
    <t>MAHI ALAM</t>
  </si>
  <si>
    <t>PRAKRIT GUPTA</t>
  </si>
  <si>
    <t>DEBLINA CHATTERJEE</t>
  </si>
  <si>
    <t>SHREYA MALHOTRA</t>
  </si>
  <si>
    <t>DIPTI SINGH</t>
  </si>
  <si>
    <t>RIDDHI MAVANI</t>
  </si>
  <si>
    <t>RASHI PANDYA</t>
  </si>
  <si>
    <t>ANIKET KOTHARI</t>
  </si>
  <si>
    <t>APURWA PANDEY</t>
  </si>
  <si>
    <t>ALIYA SHAH</t>
  </si>
  <si>
    <t>ANKITA KHANDELWAL</t>
  </si>
  <si>
    <t>ARIYAN DAS</t>
  </si>
  <si>
    <t>ANIKET AGARWALA</t>
  </si>
  <si>
    <t>CHETAN JOGANI</t>
  </si>
  <si>
    <t>ANURAG ARYAN SINGH</t>
  </si>
  <si>
    <t>NANDINI MAHANTY</t>
  </si>
  <si>
    <t>SHAHZAAN HUSSAIN</t>
  </si>
  <si>
    <t>ISHIKA AGARWAL</t>
  </si>
  <si>
    <t>MANISH YADAV</t>
  </si>
  <si>
    <t>MD ZESHAN HASAN</t>
  </si>
  <si>
    <t>AKSHEEN OBEROI</t>
  </si>
  <si>
    <t>MEHEK KHATOON</t>
  </si>
  <si>
    <t>ANUSHKA BHOWAL</t>
  </si>
  <si>
    <t>DEVANSH HAIN</t>
  </si>
  <si>
    <t>SASHI KIRAN PODDER</t>
  </si>
  <si>
    <t>GULSHAN JAISWAL</t>
  </si>
  <si>
    <t>ALIA NIGAR HAQUE</t>
  </si>
  <si>
    <t>NEHA PARVEEN</t>
  </si>
  <si>
    <t>YATHARTH KANODIA</t>
  </si>
  <si>
    <t>HARSHIKA BHARDWAJ</t>
  </si>
  <si>
    <t>AKSHAY TULSHYAN</t>
  </si>
  <si>
    <t>UDAY GUPTA</t>
  </si>
  <si>
    <t>SHIFA ALI</t>
  </si>
  <si>
    <t>YASHIKA CHORADIA</t>
  </si>
  <si>
    <t>SHRUTI FARMANIA</t>
  </si>
  <si>
    <t>KISHAN JHA</t>
  </si>
  <si>
    <t>KHUSHVINDER KAUR</t>
  </si>
  <si>
    <t>PRATIK MISHRA</t>
  </si>
  <si>
    <t>VANSIKHA KESHRI</t>
  </si>
  <si>
    <t>TRISHA ROY</t>
  </si>
  <si>
    <t>MALLIKA AALIYA</t>
  </si>
  <si>
    <t>HITEN GUPTA</t>
  </si>
  <si>
    <t>PRANAY DATTANI</t>
  </si>
  <si>
    <t>KSHITIJ</t>
  </si>
  <si>
    <t>PINKY MONDAL</t>
  </si>
  <si>
    <t>RUDRA SHARMA</t>
  </si>
  <si>
    <t>ARJU KUMAR THAKUR</t>
  </si>
  <si>
    <t>RAUNAK ROY</t>
  </si>
  <si>
    <t>RHYTHM SARKAR</t>
  </si>
  <si>
    <t>RAGINI KUMARI</t>
  </si>
  <si>
    <t>HARSH JAIN</t>
  </si>
  <si>
    <t>AKSHATA BERIWAL</t>
  </si>
  <si>
    <t>ADITYA PRATAP SINGH</t>
  </si>
  <si>
    <t>AYUSHMAN GHOSAL</t>
  </si>
  <si>
    <t>SHIREEN PATEL</t>
  </si>
  <si>
    <t>SUJAN MANNA</t>
  </si>
  <si>
    <t>SRISHTI KUMARI</t>
  </si>
  <si>
    <t>RISHIKA SARAF</t>
  </si>
  <si>
    <t>UMANG BURNWAL</t>
  </si>
  <si>
    <t>ROHINI PRADHAN</t>
  </si>
  <si>
    <t>RAGINI PRADHAN</t>
  </si>
  <si>
    <t>CHELSI SANGHAI</t>
  </si>
  <si>
    <t>TANISHA AGARWAL</t>
  </si>
  <si>
    <t>NANDINI KESHRI</t>
  </si>
  <si>
    <t>MONU KUMAR SAHANI</t>
  </si>
  <si>
    <t>HETANSHI MALL</t>
  </si>
  <si>
    <t>SAUMYA SUREKA</t>
  </si>
  <si>
    <t>VIRAJ SINGH</t>
  </si>
  <si>
    <t>VANDANA KUMARI YADAV</t>
  </si>
  <si>
    <t>ADITI AGARWAL</t>
  </si>
  <si>
    <t>DISHA BAJAJ</t>
  </si>
  <si>
    <t>SREYANSH SINGH</t>
  </si>
  <si>
    <t>RAKSHA</t>
  </si>
  <si>
    <t>PRIYESH SANGANI</t>
  </si>
  <si>
    <t>JYOTI SRIVASTAV</t>
  </si>
  <si>
    <t>ARPAN PATHAK</t>
  </si>
  <si>
    <t>NANDINI SINGH</t>
  </si>
  <si>
    <t>TRIPTI AGARWAL</t>
  </si>
  <si>
    <t>HARSH AGARWAL</t>
  </si>
  <si>
    <t>RIYA RAJAK</t>
  </si>
  <si>
    <t>SUHANI SURANA</t>
  </si>
  <si>
    <t>P PAVITHRA</t>
  </si>
  <si>
    <t>DEBARPAN CHAKRABORTY</t>
  </si>
  <si>
    <t>ANGAD</t>
  </si>
  <si>
    <t>DISHA PATEL</t>
  </si>
  <si>
    <t>BHUMIKA AGARWAL</t>
  </si>
  <si>
    <t>TANMAY CHAUDHARY</t>
  </si>
  <si>
    <t>GURMANN SINGH KOHLI</t>
  </si>
  <si>
    <t>AVANTIKA SAHA</t>
  </si>
  <si>
    <t>NANDINI GUPTA</t>
  </si>
  <si>
    <t>DIVYANSH JAIN</t>
  </si>
  <si>
    <t>DEVANSH AGARWAL</t>
  </si>
  <si>
    <t>KESHAV KUMAR BUDHIA</t>
  </si>
  <si>
    <t>ANIRBAN CHOWDHURY</t>
  </si>
  <si>
    <t>AKARSH KUMAR</t>
  </si>
  <si>
    <t>DISHA TAPARIA</t>
  </si>
  <si>
    <t>SWATI SUMAN</t>
  </si>
  <si>
    <t>BHUMI JAISWAL</t>
  </si>
  <si>
    <t>SANJANA RATHI</t>
  </si>
  <si>
    <t>DIYA VERMA</t>
  </si>
  <si>
    <t>RADHIKA OJHA</t>
  </si>
  <si>
    <t>RIYA GUPTA</t>
  </si>
  <si>
    <t>PRIYANKA RATHOR</t>
  </si>
  <si>
    <t>TAZAKKA ARSH</t>
  </si>
  <si>
    <t>TRIPTI DUTTA</t>
  </si>
  <si>
    <t>EKLAVYA AGARWAL</t>
  </si>
  <si>
    <t>JATIN KUMAR JHA</t>
  </si>
  <si>
    <t>ROHIT JANGRA</t>
  </si>
  <si>
    <t>ANKUSH KAUSHIK</t>
  </si>
  <si>
    <t>GURPREET KOUR</t>
  </si>
  <si>
    <t>KARTIKAY SINGH</t>
  </si>
  <si>
    <t>RITIK JAISWAL</t>
  </si>
  <si>
    <t>SUSMIT DUTTA</t>
  </si>
  <si>
    <t>ZAHIAH</t>
  </si>
  <si>
    <t>SARAD BHARTI SHAW</t>
  </si>
  <si>
    <t>RISHI SINGH</t>
  </si>
  <si>
    <t>ISHITA DEY</t>
  </si>
  <si>
    <t>SONALI BHARTI</t>
  </si>
  <si>
    <t>VANSHIKA JAIN</t>
  </si>
  <si>
    <t>MOBASSHIR AHMED</t>
  </si>
  <si>
    <t>RUDRI NAGAR</t>
  </si>
  <si>
    <t>NIKITA AGARWAL</t>
  </si>
  <si>
    <t>ARNAV KUMAR</t>
  </si>
  <si>
    <t>MAHAK AGARWAL</t>
  </si>
  <si>
    <t>SHIVANGI KHEMKA</t>
  </si>
  <si>
    <t>ROSHNI SINGH</t>
  </si>
  <si>
    <t>LAKSHYA BIHANI</t>
  </si>
  <si>
    <t>RAM PUROHIT</t>
  </si>
  <si>
    <t>PRAGATI KUMARI</t>
  </si>
  <si>
    <t>RUDRA JOSHI</t>
  </si>
  <si>
    <t>MD SAIF UDDIN</t>
  </si>
  <si>
    <t>PALAK SHAW</t>
  </si>
  <si>
    <t>OWAISH HOSSAIN</t>
  </si>
  <si>
    <t>DEBANKAN CHOWDHURY</t>
  </si>
  <si>
    <t>NAHEED SABA</t>
  </si>
  <si>
    <t>SNEHA CHAKRABORTY</t>
  </si>
  <si>
    <t>ARPITA MONDAL</t>
  </si>
  <si>
    <t>KESHAV AGARWAL</t>
  </si>
  <si>
    <t>GOURAV SETHIA</t>
  </si>
  <si>
    <t>DAKSH HIRAWAT</t>
  </si>
  <si>
    <t>MOUMITA SAMANTA</t>
  </si>
  <si>
    <t>GURPREET SINGH</t>
  </si>
  <si>
    <t>RIZAK CHAWLA</t>
  </si>
  <si>
    <t>SAKSHI JHA</t>
  </si>
  <si>
    <t>TANISHA MITTAL</t>
  </si>
  <si>
    <t>PRANJAL KUMAR SINGH</t>
  </si>
  <si>
    <t>KRISHNA SARAF</t>
  </si>
  <si>
    <t>PREYANSH BHATTER</t>
  </si>
  <si>
    <t>HARDIK KAUSHIK</t>
  </si>
  <si>
    <t>SAKSHI</t>
  </si>
  <si>
    <t>PRIYANSHU SINGH</t>
  </si>
  <si>
    <t>ARYAN SHARMA</t>
  </si>
  <si>
    <t>NITYA AGARWAL</t>
  </si>
  <si>
    <t>MD SAHIL KABIR</t>
  </si>
  <si>
    <t>NIDHI BAJAJ</t>
  </si>
  <si>
    <t>AAKRITI CHOUBEY</t>
  </si>
  <si>
    <t>RAUNAK GUPTA</t>
  </si>
  <si>
    <t>KRISSH JAISWAL</t>
  </si>
  <si>
    <t>MAYANK SONI</t>
  </si>
  <si>
    <t>SHUBHAM RAJ SINGH</t>
  </si>
  <si>
    <t>MOHAMMAD ATHAR</t>
  </si>
  <si>
    <t>VINAY MALU</t>
  </si>
  <si>
    <t>AMAN PARASHAR</t>
  </si>
  <si>
    <t>MOHIT SHARMA</t>
  </si>
  <si>
    <t>VANSHIKA SHAH</t>
  </si>
  <si>
    <t>VAIBHAV RAJ</t>
  </si>
  <si>
    <t>SATYAKI KUNDU</t>
  </si>
  <si>
    <t>SYED BADIUDDIN AHMED</t>
  </si>
  <si>
    <t>ARPAN PARI</t>
  </si>
  <si>
    <t>SHREYA TULSYAN</t>
  </si>
  <si>
    <t>RIYA AGARWAL</t>
  </si>
  <si>
    <t>MD SAYEM HUSSAIN</t>
  </si>
  <si>
    <t>MD ARIF</t>
  </si>
  <si>
    <t>MD MUSADDIQUE ANSARI</t>
  </si>
  <si>
    <t>RACHIT TIBREWAL</t>
  </si>
  <si>
    <t>ADNAN AHMED</t>
  </si>
  <si>
    <t>KINSHUK MANNA</t>
  </si>
  <si>
    <t>TEZASH CHAURASIA</t>
  </si>
  <si>
    <t>VAISHNAVI LALL</t>
  </si>
  <si>
    <t>RIZA PAUL</t>
  </si>
  <si>
    <t>RAHUL BANERJEE</t>
  </si>
  <si>
    <t>DEVANG BAID</t>
  </si>
  <si>
    <t>MANASHI AGARWAL</t>
  </si>
  <si>
    <t>SHIVAM KUMAR JHA</t>
  </si>
  <si>
    <t>ANKUR SAHA</t>
  </si>
  <si>
    <t>ADARSH JHA</t>
  </si>
  <si>
    <t>SHREYA</t>
  </si>
  <si>
    <t>NISHIKA SAHAL</t>
  </si>
  <si>
    <t>ARSALAN AZIZ</t>
  </si>
  <si>
    <t>RISHITA MANDAL</t>
  </si>
  <si>
    <t>ARSHI ALAM</t>
  </si>
  <si>
    <t>RIYA KHETAN</t>
  </si>
  <si>
    <t>ASHIS MOHANTY</t>
  </si>
  <si>
    <t>SHEESHANT JAISWAL</t>
  </si>
  <si>
    <t>MUSKAN SINGH</t>
  </si>
  <si>
    <t>SUPRIYA SHAW</t>
  </si>
  <si>
    <t>TANISHA JAISWAL</t>
  </si>
  <si>
    <t>DEEPAK KUMAR SINGH</t>
  </si>
  <si>
    <t>SYED MOHD ZAYNUDDIN</t>
  </si>
  <si>
    <t>HARSH VARDHAN</t>
  </si>
  <si>
    <t>YAHYA MAAZ</t>
  </si>
  <si>
    <t>TUSHAR MANTRI</t>
  </si>
  <si>
    <t>KASHISH JAISWAL</t>
  </si>
  <si>
    <t>SNEHA GUPTA</t>
  </si>
  <si>
    <t>ABHISHEK AGRAWALLA</t>
  </si>
  <si>
    <t>RAJVEER JAISWAL</t>
  </si>
  <si>
    <t>LAKSHITA SINGH</t>
  </si>
  <si>
    <t>SUZAIN AFSHAN</t>
  </si>
  <si>
    <t>SHREYASH NAYAK</t>
  </si>
  <si>
    <t>REHAN NAWAZ KHAN</t>
  </si>
  <si>
    <t>SAGAR DEY</t>
  </si>
  <si>
    <t>MD RAMIZ</t>
  </si>
  <si>
    <t>BHAVNA HALWASIA</t>
  </si>
  <si>
    <t>RISHI</t>
  </si>
  <si>
    <t>PRIYANSHU KAIRI</t>
  </si>
  <si>
    <t>PRANAK GUPTA</t>
  </si>
  <si>
    <t>LAKSHMI CHOURASIA</t>
  </si>
  <si>
    <t>DEBLINA GOSWAMI</t>
  </si>
  <si>
    <t>GAURAV KUMAR JHA</t>
  </si>
  <si>
    <t>ARYAN R DOSHI</t>
  </si>
  <si>
    <t>GOURAV CHOUDHARY</t>
  </si>
  <si>
    <t>NAYAN PUROHIT</t>
  </si>
  <si>
    <t>AAKRITI MANOT</t>
  </si>
  <si>
    <t>KASAK KOTHARI</t>
  </si>
  <si>
    <t>SAGAR KONWAR</t>
  </si>
  <si>
    <t>ABHINAV PRASAD</t>
  </si>
  <si>
    <t>KRISHI MANTRI</t>
  </si>
  <si>
    <t>NEHA SHARMA</t>
  </si>
  <si>
    <t>AYUSH JHA</t>
  </si>
  <si>
    <t>SHASHISHAN PRAJAPATI</t>
  </si>
  <si>
    <t>RUCHI PATEL</t>
  </si>
  <si>
    <t>SNEHA DEB AMIN</t>
  </si>
  <si>
    <t>RITIKA KEJRIWAL</t>
  </si>
  <si>
    <t>ADITYA SINGHANIA</t>
  </si>
  <si>
    <t>USHA MAZUMDER</t>
  </si>
  <si>
    <t>KESHAV SHUKLA</t>
  </si>
  <si>
    <t>SMRITI KHANDELWAL</t>
  </si>
  <si>
    <t>KUSH BANERJEE</t>
  </si>
  <si>
    <t>SK AFRID</t>
  </si>
  <si>
    <t>DIPTA SINGHA</t>
  </si>
  <si>
    <t>AMIT KANAWJIA</t>
  </si>
  <si>
    <t>SNEHA KUMARI</t>
  </si>
  <si>
    <t>ANKITA SULTANIA</t>
  </si>
  <si>
    <t>UZMA RASHID</t>
  </si>
  <si>
    <t>ROHAN AGARWAL</t>
  </si>
  <si>
    <t>SAANCHI MINIA</t>
  </si>
  <si>
    <t>NISHANT AGARWAL</t>
  </si>
  <si>
    <t>HUMAIRA FEROZE</t>
  </si>
  <si>
    <t>SHRESTHA KOLAY</t>
  </si>
  <si>
    <t>RAJSHREE SINGHANIA</t>
  </si>
  <si>
    <t>ARIFAH ZAMAN</t>
  </si>
  <si>
    <t>ANJALI NEGI</t>
  </si>
  <si>
    <t>ASMITA PAUL</t>
  </si>
  <si>
    <t>DEEPTI JAIN</t>
  </si>
  <si>
    <t>YUBRAJRUDRA</t>
  </si>
  <si>
    <t>KRISHNA SULTANIA</t>
  </si>
  <si>
    <t>SHASWATA SAHA</t>
  </si>
  <si>
    <t>PRANAY PATALIA</t>
  </si>
  <si>
    <t>VEDANT TODI</t>
  </si>
  <si>
    <t>VIDHI RATHOD</t>
  </si>
  <si>
    <t>TAIYYABA AFTAB</t>
  </si>
  <si>
    <t>ARPIT SINGH</t>
  </si>
  <si>
    <t>NIDHI DATTANI</t>
  </si>
  <si>
    <t>PUNEET SARASWAT</t>
  </si>
  <si>
    <t>PUSHKAR GUPTA</t>
  </si>
  <si>
    <t>DEEPTANSHU DEY</t>
  </si>
  <si>
    <t>MURTAZA AZIZ</t>
  </si>
  <si>
    <t>AMAN JAIN</t>
  </si>
  <si>
    <t>RAHUL SONI</t>
  </si>
  <si>
    <t>HARSH KULTHIA</t>
  </si>
  <si>
    <t>MRINANK PAL</t>
  </si>
  <si>
    <t>TIRTH SHAH</t>
  </si>
  <si>
    <t>VEER S DOSHI</t>
  </si>
  <si>
    <t>SOUMYA NILESH DOSHI</t>
  </si>
  <si>
    <t>MRINMOY DAS</t>
  </si>
  <si>
    <t>SUJAL KATARIA</t>
  </si>
  <si>
    <t>SANSKAR TRIPATHI</t>
  </si>
  <si>
    <t>MEHUL CHOWDHARY</t>
  </si>
  <si>
    <t>VED MEHTA</t>
  </si>
  <si>
    <t>ESHANI BADIYANI</t>
  </si>
  <si>
    <t>ADITYA GAURAV</t>
  </si>
  <si>
    <t>SAMPAT MITRA</t>
  </si>
  <si>
    <t>DRISTI RUNGTA</t>
  </si>
  <si>
    <t>SK SADAB</t>
  </si>
  <si>
    <t>KRISHNA MALANI</t>
  </si>
  <si>
    <t>VAIDEHI UDESHI</t>
  </si>
  <si>
    <t>SUHANI TOSHNIWAL</t>
  </si>
  <si>
    <t>AMATULLAH RANGWALA</t>
  </si>
  <si>
    <t>AMMAR HAJI</t>
  </si>
  <si>
    <t>ANTARA CHANDRA</t>
  </si>
  <si>
    <t>QUTUBKHAN HUZEFA TOTANAWALA</t>
  </si>
  <si>
    <t>HIMAGHNA SARKAR</t>
  </si>
  <si>
    <t>SAMYAK KOTHARI</t>
  </si>
  <si>
    <t>ARANYA BAG</t>
  </si>
  <si>
    <t>KUSHAL DUGAR</t>
  </si>
  <si>
    <t>SWAPNENDU PAL</t>
  </si>
  <si>
    <t>SHIVAM SETH</t>
  </si>
  <si>
    <t>SAYAN BARDHAN</t>
  </si>
  <si>
    <t>AYUSH THAKUR</t>
  </si>
  <si>
    <t>ANANYA BAG</t>
  </si>
  <si>
    <t>AVINASH GUPTA</t>
  </si>
  <si>
    <t>VEDANT DUBEY</t>
  </si>
  <si>
    <t>STUTI VYAS</t>
  </si>
  <si>
    <t>AMAN CHORARIA</t>
  </si>
  <si>
    <t>ARIJIT DAS</t>
  </si>
  <si>
    <t>ARKA KIRAN DHAR</t>
  </si>
  <si>
    <t>MAYANK KUMAR DALANIA</t>
  </si>
  <si>
    <t>SULEMAN FAHIM</t>
  </si>
  <si>
    <t>KASHISH</t>
  </si>
  <si>
    <t>LIPIKA THAKKER</t>
  </si>
  <si>
    <t>VEDIKA BAID</t>
  </si>
  <si>
    <t>GOURAV DAS</t>
  </si>
  <si>
    <t>NISHITA MEHTA</t>
  </si>
  <si>
    <t>NANDINI MAHATO</t>
  </si>
  <si>
    <t>YUG PATEL</t>
  </si>
  <si>
    <t>SNEHA UDAIPURIA</t>
  </si>
  <si>
    <t>DIVYA BANSAL</t>
  </si>
  <si>
    <t>ABHISEK</t>
  </si>
  <si>
    <t>HARSH OJHA</t>
  </si>
  <si>
    <t>NILESH CHANDRA</t>
  </si>
  <si>
    <t>KIRTIKA KHATER</t>
  </si>
  <si>
    <t>PIYALI MAJEE</t>
  </si>
  <si>
    <t>PRAKRITI SHARMA</t>
  </si>
  <si>
    <t>MANAV SHARMA</t>
  </si>
  <si>
    <t>SAMAYRA SAYEED</t>
  </si>
  <si>
    <t>SHREYA SHARMA</t>
  </si>
  <si>
    <t>KANGAN SINGH</t>
  </si>
  <si>
    <t>KAJAL KUMARI</t>
  </si>
  <si>
    <t>HARKIRAT SINGH BEDI</t>
  </si>
  <si>
    <t>MUSKAN KUMARI AGARWAL</t>
  </si>
  <si>
    <t>KOENA DAS</t>
  </si>
  <si>
    <t>GEETIKA MUSSADY</t>
  </si>
  <si>
    <t>KARAN KUMAR</t>
  </si>
  <si>
    <t>RAKSHITA SHARMA</t>
  </si>
  <si>
    <t>ARYANN SHAW</t>
  </si>
  <si>
    <t>ANKIT BHADANI</t>
  </si>
  <si>
    <t>AKASH ROY</t>
  </si>
  <si>
    <t>PRATYAKSH BANKA</t>
  </si>
  <si>
    <t>SWASTIKA BHAGAT</t>
  </si>
  <si>
    <t>ARKAJIT DAS</t>
  </si>
  <si>
    <t>KOUSTAV HAZRA</t>
  </si>
  <si>
    <t>HAMMAD BIN FAHIM</t>
  </si>
  <si>
    <t>SUKHMAN KAUR</t>
  </si>
  <si>
    <t>SHRISTI KUMARI</t>
  </si>
  <si>
    <t>SOUMIK PAUL</t>
  </si>
  <si>
    <t>ARNAV MODI</t>
  </si>
  <si>
    <t>TISHA SHAH</t>
  </si>
  <si>
    <t>ISHA JAISWAL</t>
  </si>
  <si>
    <t>MANAN DESAI</t>
  </si>
  <si>
    <t>DEVANSH GHARWRA</t>
  </si>
  <si>
    <t>PRATYUSH SAHA</t>
  </si>
  <si>
    <t>PARTH POPAT</t>
  </si>
  <si>
    <t>ANANT PRABHAT BEZBORUAH</t>
  </si>
  <si>
    <t>KRISH SINGH</t>
  </si>
  <si>
    <t>ANKAN KUMAR GHOSH</t>
  </si>
  <si>
    <t>SNEHA RAY</t>
  </si>
  <si>
    <t>ARITRO ADHIKARY</t>
  </si>
  <si>
    <t>DIPTI KUMARI</t>
  </si>
  <si>
    <t>PRIYANKA PANCHAMIA</t>
  </si>
  <si>
    <t>BHAVIKA SRIMAL</t>
  </si>
  <si>
    <t>ANUSHKA BAID</t>
  </si>
  <si>
    <t>KRITI KUMARI</t>
  </si>
  <si>
    <t>ARPIT M SHAH</t>
  </si>
  <si>
    <t>PURVI DALMIA</t>
  </si>
  <si>
    <t>RITUL KUMARI</t>
  </si>
  <si>
    <t>TARUSEE BERIA</t>
  </si>
  <si>
    <t>KHUSHI JULKA</t>
  </si>
  <si>
    <t>PREETI GORAI</t>
  </si>
  <si>
    <t>HARDIK PATEL</t>
  </si>
  <si>
    <t>AADYA SHAKTI</t>
  </si>
  <si>
    <t>HARSH PAL SINGH ARORA</t>
  </si>
  <si>
    <t>SHARANSH AGARWAL</t>
  </si>
  <si>
    <t>HRITTIK</t>
  </si>
  <si>
    <t>MOUMITA MANDAL</t>
  </si>
  <si>
    <t>JOYASMITA NANDY</t>
  </si>
  <si>
    <t>PARIDHI MISHRA</t>
  </si>
  <si>
    <t>ALIZA IMAN</t>
  </si>
  <si>
    <t>ASHMI RUPDA</t>
  </si>
  <si>
    <t>RAJ SAVALIYA</t>
  </si>
  <si>
    <t>PRACHI MURARKA</t>
  </si>
  <si>
    <t>INDRANI KUNDU</t>
  </si>
  <si>
    <t>RACHANA GUPTA</t>
  </si>
  <si>
    <t>ABBAS</t>
  </si>
  <si>
    <t>ANUSHKA JAISWAL</t>
  </si>
  <si>
    <t>TANIA BISWAS</t>
  </si>
  <si>
    <t>ARPITA KUCHERIA</t>
  </si>
  <si>
    <t>ABHISHEK KUMAR SONI</t>
  </si>
  <si>
    <t>ASHMITA BHUTRA</t>
  </si>
  <si>
    <t>MANSI CHANDAK</t>
  </si>
  <si>
    <t>SANJANA SHAH</t>
  </si>
  <si>
    <t>KASIS GUL</t>
  </si>
  <si>
    <t>DEVANSH PRASAD</t>
  </si>
  <si>
    <t>ROMIT GANGULY</t>
  </si>
  <si>
    <t>RITIKA SHAW</t>
  </si>
  <si>
    <t>KIAH KHETAN</t>
  </si>
  <si>
    <t>SITAL MALL</t>
  </si>
  <si>
    <t>RADHIKA MODI</t>
  </si>
  <si>
    <t>TANISHA VERMA</t>
  </si>
  <si>
    <t>TEJASWA GUPTA</t>
  </si>
  <si>
    <t>AVANI GHELANI</t>
  </si>
  <si>
    <t>SUBHADIP MAITY</t>
  </si>
  <si>
    <t>PALAK KOCHAR</t>
  </si>
  <si>
    <t>BARUN KUMAR</t>
  </si>
  <si>
    <t>DRISHTI</t>
  </si>
  <si>
    <t>GOVIND KUMAR SONI</t>
  </si>
  <si>
    <t>MUSTARI KHATUN</t>
  </si>
  <si>
    <t>ANSH JAISWAL</t>
  </si>
  <si>
    <t>BHUMIKA JAISWAL</t>
  </si>
  <si>
    <t>SAMEEKSHA AGARWAL</t>
  </si>
  <si>
    <t>SHRISHTI TATER</t>
  </si>
  <si>
    <t>PUNIT R RADIA</t>
  </si>
  <si>
    <t>RISHABH BIRMECHA</t>
  </si>
  <si>
    <t>MARIYA KAPADIA</t>
  </si>
  <si>
    <t>KUSHAL AGARWAL</t>
  </si>
  <si>
    <t>ROUNAK KUMAR AGARWAL</t>
  </si>
  <si>
    <t>ESHA KAMANI</t>
  </si>
  <si>
    <t>TANURJAY RAKSHIT</t>
  </si>
  <si>
    <t>AYUSHI MAHANTY</t>
  </si>
  <si>
    <t>ANUSHKA BAHETI</t>
  </si>
  <si>
    <t>ARYAN AHMED</t>
  </si>
  <si>
    <t>PALAK MISHRA</t>
  </si>
  <si>
    <t>DEBJIT HAZRA</t>
  </si>
  <si>
    <t>UDIT HAZRA</t>
  </si>
  <si>
    <t>MUSKAAN BHALOTIA</t>
  </si>
  <si>
    <t>VINAYAK AGARWAL</t>
  </si>
  <si>
    <t>SWATI AGARWAL</t>
  </si>
  <si>
    <t>VANSHIKA AGARWAL</t>
  </si>
  <si>
    <t>SRISTI JAISWAL</t>
  </si>
  <si>
    <t>YUVIKAA SOMANI</t>
  </si>
  <si>
    <t>AFSARA PARVEEN</t>
  </si>
  <si>
    <t>JYOTI CHOWRASIA</t>
  </si>
  <si>
    <t>ARSHDEEP KAUR</t>
  </si>
  <si>
    <t>RISHIKA MAHATO</t>
  </si>
  <si>
    <t>PRACHI DHANANIA</t>
  </si>
  <si>
    <t>AKANSHA DHANANIA</t>
  </si>
  <si>
    <t>BHUMI GOEL</t>
  </si>
  <si>
    <t>KANAKPREET KAUR DANG</t>
  </si>
  <si>
    <t>HARSHITA MURARKA</t>
  </si>
  <si>
    <t>RUDRAKSH GADIA</t>
  </si>
  <si>
    <t>ISHA SONI</t>
  </si>
  <si>
    <t>ANANYA LATH</t>
  </si>
  <si>
    <t>RAJVEER MATHAROO</t>
  </si>
  <si>
    <t>PIYUSH JHA</t>
  </si>
  <si>
    <t>VANSHIKA VORA</t>
  </si>
  <si>
    <t>HITESHRI SONI</t>
  </si>
  <si>
    <t>NUPUR</t>
  </si>
  <si>
    <t>ANJALI TIWARI</t>
  </si>
  <si>
    <t>RISHI AGARWAL</t>
  </si>
  <si>
    <t>SHREYANSH JAIN</t>
  </si>
  <si>
    <t>SHUBHAM JARIA</t>
  </si>
  <si>
    <t>ABHISHEK UGHRIJA</t>
  </si>
  <si>
    <t>AYUSH KUMAR SHAW</t>
  </si>
  <si>
    <t>YASH MEHTA</t>
  </si>
  <si>
    <t>NIKITA AGRAWAL</t>
  </si>
  <si>
    <t>ADHIRAJ SAHOO</t>
  </si>
  <si>
    <t>SWETA SHAW</t>
  </si>
  <si>
    <t>SURYANSH DAVE</t>
  </si>
  <si>
    <t>ASHIKA JAISWAL</t>
  </si>
  <si>
    <t>SWAGATA BHANJA</t>
  </si>
  <si>
    <t>SWARNA CHAKRABORTY</t>
  </si>
  <si>
    <t>MOHAMMED FAIZAN KHAN</t>
  </si>
  <si>
    <t>RUDRANSH AGARWAL</t>
  </si>
  <si>
    <t>SAKSHAM SARAF</t>
  </si>
  <si>
    <t>UMANG AGRAWAL</t>
  </si>
  <si>
    <t>VYOM JHUNJHUNWALA</t>
  </si>
  <si>
    <t>JAANVI NAHATA</t>
  </si>
  <si>
    <t>SMITA KUMARI</t>
  </si>
  <si>
    <t>SOURAV MANNA</t>
  </si>
  <si>
    <t>U</t>
  </si>
  <si>
    <t>V</t>
  </si>
  <si>
    <t>Z</t>
  </si>
  <si>
    <t>B</t>
  </si>
  <si>
    <t>E</t>
  </si>
  <si>
    <t>F</t>
  </si>
  <si>
    <t>L</t>
  </si>
  <si>
    <t>O</t>
  </si>
  <si>
    <t>G</t>
  </si>
  <si>
    <t>Y</t>
  </si>
  <si>
    <t>W</t>
  </si>
  <si>
    <t>Q</t>
  </si>
  <si>
    <t>X</t>
  </si>
  <si>
    <t>0101P26P1234</t>
  </si>
  <si>
    <t>0101A26R1235</t>
  </si>
  <si>
    <t>0101K26G1236</t>
  </si>
  <si>
    <t>0101A26P1237</t>
  </si>
  <si>
    <t>0101C26S1238</t>
  </si>
  <si>
    <t>0101S26S1239</t>
  </si>
  <si>
    <t>0101A26J1240</t>
  </si>
  <si>
    <t>0101R26R1241</t>
  </si>
  <si>
    <t>0101S26S1242</t>
  </si>
  <si>
    <t>0101D26K1243</t>
  </si>
  <si>
    <t>0101K26M1244</t>
  </si>
  <si>
    <t>0101I26C1245</t>
  </si>
  <si>
    <t>0101R26P1246</t>
  </si>
  <si>
    <t>0101P26K1247</t>
  </si>
  <si>
    <t>0101A26A1248</t>
  </si>
  <si>
    <t>0101J26K1249</t>
  </si>
  <si>
    <t>0101N26N1250</t>
  </si>
  <si>
    <t>0101S26A1251</t>
  </si>
  <si>
    <t>0101T26R1252</t>
  </si>
  <si>
    <t>0101M26G1253</t>
  </si>
  <si>
    <t>0101P26S1254</t>
  </si>
  <si>
    <t>0101A26M1255</t>
  </si>
  <si>
    <t>0101M26K1256</t>
  </si>
  <si>
    <t>0101R26D1257</t>
  </si>
  <si>
    <t>0101S26S1258</t>
  </si>
  <si>
    <t>0101P26S1259</t>
  </si>
  <si>
    <t>0101H26S1260</t>
  </si>
  <si>
    <t>0101A26R1261</t>
  </si>
  <si>
    <t>0101S26C1262</t>
  </si>
  <si>
    <t>0101N26K1263</t>
  </si>
  <si>
    <t>0101A26S1264</t>
  </si>
  <si>
    <t>0101S26S1265</t>
  </si>
  <si>
    <t>0101R26J1266</t>
  </si>
  <si>
    <t>0101M26A1267</t>
  </si>
  <si>
    <t>0101R26S1268</t>
  </si>
  <si>
    <t>0101H26S1269</t>
  </si>
  <si>
    <t>0101U26J1270</t>
  </si>
  <si>
    <t>0101K26S1271</t>
  </si>
  <si>
    <t>0101R26K1272</t>
  </si>
  <si>
    <t>0101A26S1273</t>
  </si>
  <si>
    <t>0101A26S1274</t>
  </si>
  <si>
    <t>0101A26S1275</t>
  </si>
  <si>
    <t>0101S26P1276</t>
  </si>
  <si>
    <t>0101R26Y1277</t>
  </si>
  <si>
    <t>0101M26K1278</t>
  </si>
  <si>
    <t>0101S26G1279</t>
  </si>
  <si>
    <t>0101A26K1280</t>
  </si>
  <si>
    <t>0101N26B1281</t>
  </si>
  <si>
    <t>0101S26S1282</t>
  </si>
  <si>
    <t>0101V26V1283</t>
  </si>
  <si>
    <t>0101A26A1284</t>
  </si>
  <si>
    <t>0101S26D1285</t>
  </si>
  <si>
    <t>0101S26C1286</t>
  </si>
  <si>
    <t>0101A26G1287</t>
  </si>
  <si>
    <t>0101T26T1288</t>
  </si>
  <si>
    <t>0101A26S1289</t>
  </si>
  <si>
    <t>0101T26S1290</t>
  </si>
  <si>
    <t>0101N26I1291</t>
  </si>
  <si>
    <t>0101A26S1292</t>
  </si>
  <si>
    <t>0101A26S1293</t>
  </si>
  <si>
    <t>0101A26M1294</t>
  </si>
  <si>
    <t>0101S26B1295</t>
  </si>
  <si>
    <t>0101A26S1296</t>
  </si>
  <si>
    <t>0101D26K1297</t>
  </si>
  <si>
    <t>0101P26M1298</t>
  </si>
  <si>
    <t>0101K26B1299</t>
  </si>
  <si>
    <t>0101A26U1300</t>
  </si>
  <si>
    <t>0101S26S1301</t>
  </si>
  <si>
    <t>0101S26I1302</t>
  </si>
  <si>
    <t>0101S26S1303</t>
  </si>
  <si>
    <t>0101Z26A1304</t>
  </si>
  <si>
    <t>0101S26S1305</t>
  </si>
  <si>
    <t>0101S26C1306</t>
  </si>
  <si>
    <t>0101J26M1307</t>
  </si>
  <si>
    <t>0101R26R1308</t>
  </si>
  <si>
    <t>0101T26S1309</t>
  </si>
  <si>
    <t>0101R26K1310</t>
  </si>
  <si>
    <t>0101A26I1311</t>
  </si>
  <si>
    <t>0101B26S1312</t>
  </si>
  <si>
    <t>0101S26R1313</t>
  </si>
  <si>
    <t>0101S26K1314</t>
  </si>
  <si>
    <t>0101S26C1315</t>
  </si>
  <si>
    <t>0101S26P1316</t>
  </si>
  <si>
    <t>0101R26O1317</t>
  </si>
  <si>
    <t>0101S26S1318</t>
  </si>
  <si>
    <t>0101S26J1319</t>
  </si>
  <si>
    <t>0101R26J1320</t>
  </si>
  <si>
    <t>0101R26S1321</t>
  </si>
  <si>
    <t>0101A26C1322</t>
  </si>
  <si>
    <t>0101H26H1323</t>
  </si>
  <si>
    <t>0101R26M1324</t>
  </si>
  <si>
    <t>0101S26R1325</t>
  </si>
  <si>
    <t>0101K26J1326</t>
  </si>
  <si>
    <t>0101A26K1327</t>
  </si>
  <si>
    <t>0101A26K1328</t>
  </si>
  <si>
    <t>0101K26M1329</t>
  </si>
  <si>
    <t>0101A26J1330</t>
  </si>
  <si>
    <t>0101R26G1331</t>
  </si>
  <si>
    <t>0101P26M1332</t>
  </si>
  <si>
    <t>0101D26A1333</t>
  </si>
  <si>
    <t>0101A26V1334</t>
  </si>
  <si>
    <t>0101S26G1335</t>
  </si>
  <si>
    <t>0101H26S1336</t>
  </si>
  <si>
    <t>0101A26B1337</t>
  </si>
  <si>
    <t>0101A26B1338</t>
  </si>
  <si>
    <t>0101S26J1339</t>
  </si>
  <si>
    <t>0101K26D1340</t>
  </si>
  <si>
    <t>0101J26M1341</t>
  </si>
  <si>
    <t>0101D26S1342</t>
  </si>
  <si>
    <t>0101S26S1343</t>
  </si>
  <si>
    <t>0101P26S1344</t>
  </si>
  <si>
    <t>0101K26G1345</t>
  </si>
  <si>
    <t>0101A26H1346</t>
  </si>
  <si>
    <t>0101D26V1347</t>
  </si>
  <si>
    <t>0101A26K1348</t>
  </si>
  <si>
    <t>0101J26K1349</t>
  </si>
  <si>
    <t>0101E26T1350</t>
  </si>
  <si>
    <t>0101S26N1351</t>
  </si>
  <si>
    <t>0101F26G1352</t>
  </si>
  <si>
    <t>0101M26M1353</t>
  </si>
  <si>
    <t>0101L26S1354</t>
  </si>
  <si>
    <t>0101P26S1355</t>
  </si>
  <si>
    <t>0101D26A1356</t>
  </si>
  <si>
    <t>0101M26H1357</t>
  </si>
  <si>
    <t>0101S26D1358</t>
  </si>
  <si>
    <t>0101V26D1359</t>
  </si>
  <si>
    <t>0101P26D1360</t>
  </si>
  <si>
    <t>0101F26K1361</t>
  </si>
  <si>
    <t>0101P26P1362</t>
  </si>
  <si>
    <t>0101A26A1363</t>
  </si>
  <si>
    <t>0101J26B1364</t>
  </si>
  <si>
    <t>0101A26R1365</t>
  </si>
  <si>
    <t>0101R26G1366</t>
  </si>
  <si>
    <t>0101S26Y1367</t>
  </si>
  <si>
    <t>0101S26R1368</t>
  </si>
  <si>
    <t>0101S26J1369</t>
  </si>
  <si>
    <t>0101U26A1370</t>
  </si>
  <si>
    <t>0101N26J1371</t>
  </si>
  <si>
    <t>0101J26S1372</t>
  </si>
  <si>
    <t>0101S26G1373</t>
  </si>
  <si>
    <t>0101S26G1374</t>
  </si>
  <si>
    <t>0101V26S1375</t>
  </si>
  <si>
    <t>0101B26G1376</t>
  </si>
  <si>
    <t>0101C26B1377</t>
  </si>
  <si>
    <t>0101I26H1378</t>
  </si>
  <si>
    <t>0101S26S1379</t>
  </si>
  <si>
    <t>0101A26S1380</t>
  </si>
  <si>
    <t>0101O26B1381</t>
  </si>
  <si>
    <t>0101D26D1382</t>
  </si>
  <si>
    <t>0101S26S1383</t>
  </si>
  <si>
    <t>0101T26H1384</t>
  </si>
  <si>
    <t>0101M26B1385</t>
  </si>
  <si>
    <t>0101A26G1386</t>
  </si>
  <si>
    <t>0101P26A1387</t>
  </si>
  <si>
    <t>0101P26F1388</t>
  </si>
  <si>
    <t>0101S26P1389</t>
  </si>
  <si>
    <t>0101C26A1390</t>
  </si>
  <si>
    <t>0101R26C1391</t>
  </si>
  <si>
    <t>0101T26D1392</t>
  </si>
  <si>
    <t>0101A26G1393</t>
  </si>
  <si>
    <t>0101U26B1394</t>
  </si>
  <si>
    <t>0101D26A1395</t>
  </si>
  <si>
    <t>0101K26B1396</t>
  </si>
  <si>
    <t>0101S26S1397</t>
  </si>
  <si>
    <t>0101F26M1398</t>
  </si>
  <si>
    <t>0101K26M1399</t>
  </si>
  <si>
    <t>0101D26B1400</t>
  </si>
  <si>
    <t>0101E26P1401</t>
  </si>
  <si>
    <t>0101H26K1402</t>
  </si>
  <si>
    <t>0101S26B1403</t>
  </si>
  <si>
    <t>0101A26S1404</t>
  </si>
  <si>
    <t>0101K26G1405</t>
  </si>
  <si>
    <t>0101K26T1406</t>
  </si>
  <si>
    <t>0101C26S1407</t>
  </si>
  <si>
    <t>0101M26K1408</t>
  </si>
  <si>
    <t>0101A26B1409</t>
  </si>
  <si>
    <t>0101A26B1410</t>
  </si>
  <si>
    <t>0101G26S1411</t>
  </si>
  <si>
    <t>0101L26B1412</t>
  </si>
  <si>
    <t>0101R26N1413</t>
  </si>
  <si>
    <t>0101M26P1414</t>
  </si>
  <si>
    <t>0101H26M1415</t>
  </si>
  <si>
    <t>0101S26G1416</t>
  </si>
  <si>
    <t>0101N26C1417</t>
  </si>
  <si>
    <t>0101U26S1418</t>
  </si>
  <si>
    <t>0101S26G1419</t>
  </si>
  <si>
    <t>0101T26R1420</t>
  </si>
  <si>
    <t>0101V26S1421</t>
  </si>
  <si>
    <t>0101D26H1422</t>
  </si>
  <si>
    <t>0101H26K1423</t>
  </si>
  <si>
    <t>0101V26J1424</t>
  </si>
  <si>
    <t>0101G26S1425</t>
  </si>
  <si>
    <t>0101R26S1426</t>
  </si>
  <si>
    <t>0101R26A1427</t>
  </si>
  <si>
    <t>0101S26S1428</t>
  </si>
  <si>
    <t>0101P26S1429</t>
  </si>
  <si>
    <t>0101A26S1430</t>
  </si>
  <si>
    <t>0101V26S1431</t>
  </si>
  <si>
    <t>0101S26P1432</t>
  </si>
  <si>
    <t>0101S26B1433</t>
  </si>
  <si>
    <t>0101U26G1434</t>
  </si>
  <si>
    <t>0101V26K1435</t>
  </si>
  <si>
    <t>0101K26B1436</t>
  </si>
  <si>
    <t>0101V26P1437</t>
  </si>
  <si>
    <t>0101V26T1438</t>
  </si>
  <si>
    <t>0101S26S1439</t>
  </si>
  <si>
    <t>0101S26J1440</t>
  </si>
  <si>
    <t>0101A26S1441</t>
  </si>
  <si>
    <t>0101A26P1442</t>
  </si>
  <si>
    <t>0101G26S1443</t>
  </si>
  <si>
    <t>0101B26S1444</t>
  </si>
  <si>
    <t>0101S26J1445</t>
  </si>
  <si>
    <t>0101A26S1446</t>
  </si>
  <si>
    <t>0101R26P1447</t>
  </si>
  <si>
    <t>0101A26S1448</t>
  </si>
  <si>
    <t>0101I26J1449</t>
  </si>
  <si>
    <t>0101S26J1450</t>
  </si>
  <si>
    <t>0101N26G1451</t>
  </si>
  <si>
    <t>0101R26M1452</t>
  </si>
  <si>
    <t>0101C26L1453</t>
  </si>
  <si>
    <t>0101K26B1454</t>
  </si>
  <si>
    <t>0101K26D1455</t>
  </si>
  <si>
    <t>0101A26S1456</t>
  </si>
  <si>
    <t>0101A26S1457</t>
  </si>
  <si>
    <t>0101D26P1458</t>
  </si>
  <si>
    <t>0101R26C1459</t>
  </si>
  <si>
    <t>0101V26T1460</t>
  </si>
  <si>
    <t>0101S26G1461</t>
  </si>
  <si>
    <t>0101J26G1462</t>
  </si>
  <si>
    <t>0101P26W1463</t>
  </si>
  <si>
    <t>0101P26K1464</t>
  </si>
  <si>
    <t>0101A26C1465</t>
  </si>
  <si>
    <t>0101P26A1466</t>
  </si>
  <si>
    <t>0101P26J1467</t>
  </si>
  <si>
    <t>0101P26C1468</t>
  </si>
  <si>
    <t>0101A26K1469</t>
  </si>
  <si>
    <t>0101S26M1470</t>
  </si>
  <si>
    <t>0101A26A1471</t>
  </si>
  <si>
    <t>0101A26E1472</t>
  </si>
  <si>
    <t>0101M26P1473</t>
  </si>
  <si>
    <t>0101S26B1474</t>
  </si>
  <si>
    <t>0101R26K1475</t>
  </si>
  <si>
    <t>0101M26S1476</t>
  </si>
  <si>
    <t>0101N26K1477</t>
  </si>
  <si>
    <t>0101A26J1478</t>
  </si>
  <si>
    <t>0101A26P1479</t>
  </si>
  <si>
    <t>0101M26K1480</t>
  </si>
  <si>
    <t>0101A26K1481</t>
  </si>
  <si>
    <t>0101M26J1482</t>
  </si>
  <si>
    <t>0101R26K1483</t>
  </si>
  <si>
    <t>0101R26A1484</t>
  </si>
  <si>
    <t>0101R26R1485</t>
  </si>
  <si>
    <t>0101U26S1486</t>
  </si>
  <si>
    <t>0101A26G1487</t>
  </si>
  <si>
    <t>0101A26R1488</t>
  </si>
  <si>
    <t>0101S26S1489</t>
  </si>
  <si>
    <t>0101A26A1490</t>
  </si>
  <si>
    <t>0101D26B1491</t>
  </si>
  <si>
    <t>0101P26P1492</t>
  </si>
  <si>
    <t>0101K26B1493</t>
  </si>
  <si>
    <t>0101S26A1494</t>
  </si>
  <si>
    <t>0101M26J1495</t>
  </si>
  <si>
    <t>0101S26F1496</t>
  </si>
  <si>
    <t>0101Y26K1497</t>
  </si>
  <si>
    <t>0101M26A1498</t>
  </si>
  <si>
    <t>0101N26A1499</t>
  </si>
  <si>
    <t>0101Y26C1500</t>
  </si>
  <si>
    <t>0101M26S1501</t>
  </si>
  <si>
    <t>0101K26S1502</t>
  </si>
  <si>
    <t>0101M26S1503</t>
  </si>
  <si>
    <t>0101R26C1504</t>
  </si>
  <si>
    <t>0101K26M1505</t>
  </si>
  <si>
    <t>0101Z26E1506</t>
  </si>
  <si>
    <t>0101P26M1507</t>
  </si>
  <si>
    <t>0101S26B1508</t>
  </si>
  <si>
    <t>0101H26B1509</t>
  </si>
  <si>
    <t>0101M26K1510</t>
  </si>
  <si>
    <t>0101A26S1511</t>
  </si>
  <si>
    <t>0101A26B1512</t>
  </si>
  <si>
    <t>0101K26P1513</t>
  </si>
  <si>
    <t>0101A26S1514</t>
  </si>
  <si>
    <t>0101E26D1515</t>
  </si>
  <si>
    <t>0101K26S1516</t>
  </si>
  <si>
    <t>0101A26A1517</t>
  </si>
  <si>
    <t>0101K26B1518</t>
  </si>
  <si>
    <t>0101P26P1519</t>
  </si>
  <si>
    <t>0101S26K1520</t>
  </si>
  <si>
    <t>0101P26J1521</t>
  </si>
  <si>
    <t>0101A26I1522</t>
  </si>
  <si>
    <t>0101S26K1523</t>
  </si>
  <si>
    <t>0101G26B1524</t>
  </si>
  <si>
    <t>0101P26J1525</t>
  </si>
  <si>
    <t>0101S26P1526</t>
  </si>
  <si>
    <t>0101H26S1527</t>
  </si>
  <si>
    <t>0101C26K1528</t>
  </si>
  <si>
    <t>0101R26N1529</t>
  </si>
  <si>
    <t>0101A26C1530</t>
  </si>
  <si>
    <t>0101Y26S1531</t>
  </si>
  <si>
    <t>0101S26K1532</t>
  </si>
  <si>
    <t>0101S26Y1533</t>
  </si>
  <si>
    <t>0101S26S1534</t>
  </si>
  <si>
    <t>0101G26A1535</t>
  </si>
  <si>
    <t>0101P26S1536</t>
  </si>
  <si>
    <t>0101A26R1537</t>
  </si>
  <si>
    <t>0101M26D1538</t>
  </si>
  <si>
    <t>0101S26F1539</t>
  </si>
  <si>
    <t>0101W26A1540</t>
  </si>
  <si>
    <t>0101H26D1541</t>
  </si>
  <si>
    <t>0101A26S1542</t>
  </si>
  <si>
    <t>0101G26S1543</t>
  </si>
  <si>
    <t>0101S26K1544</t>
  </si>
  <si>
    <t>0101H26S1545</t>
  </si>
  <si>
    <t>0101H26K1546</t>
  </si>
  <si>
    <t>0101N26J1547</t>
  </si>
  <si>
    <t>0101S26D1548</t>
  </si>
  <si>
    <t>0101K26A1549</t>
  </si>
  <si>
    <t>0101M26A1550</t>
  </si>
  <si>
    <t>0101S26D1551</t>
  </si>
  <si>
    <t>0101S26L1552</t>
  </si>
  <si>
    <t>0101S26A1553</t>
  </si>
  <si>
    <t>0101A26S1554</t>
  </si>
  <si>
    <t>0101D26B1555</t>
  </si>
  <si>
    <t>0101L26K1556</t>
  </si>
  <si>
    <t>0101S26J1557</t>
  </si>
  <si>
    <t>0101A26G1558</t>
  </si>
  <si>
    <t>0101N26K1559</t>
  </si>
  <si>
    <t>0101A26S1560</t>
  </si>
  <si>
    <t>0101N26G1561</t>
  </si>
  <si>
    <t>0101S26A1562</t>
  </si>
  <si>
    <t>0101S26A1563</t>
  </si>
  <si>
    <t>0101H26M1564</t>
  </si>
  <si>
    <t>0101S26H1565</t>
  </si>
  <si>
    <t>0101A26K1566</t>
  </si>
  <si>
    <t>0101S26B1567</t>
  </si>
  <si>
    <t>0101M26D1568</t>
  </si>
  <si>
    <t>0101S26D1569</t>
  </si>
  <si>
    <t>0101A26R1570</t>
  </si>
  <si>
    <t>0101D26K1571</t>
  </si>
  <si>
    <t>0101A26C1572</t>
  </si>
  <si>
    <t>0101O26S1573</t>
  </si>
  <si>
    <t>0101D26H1574</t>
  </si>
  <si>
    <t>0101B26D1575</t>
  </si>
  <si>
    <t>0101A26G1576</t>
  </si>
  <si>
    <t>0101G26A1577</t>
  </si>
  <si>
    <t>0101Y26P1578</t>
  </si>
  <si>
    <t>0101A26P1579</t>
  </si>
  <si>
    <t>0101D26J1580</t>
  </si>
  <si>
    <t>0101T26M1581</t>
  </si>
  <si>
    <t>0101O26J1582</t>
  </si>
  <si>
    <t>0101A26K1583</t>
  </si>
  <si>
    <t>0101R26N1584</t>
  </si>
  <si>
    <t>0101S26A1585</t>
  </si>
  <si>
    <t>0101R26J1586</t>
  </si>
  <si>
    <t>0101M26A1587</t>
  </si>
  <si>
    <t>0101D26B1588</t>
  </si>
  <si>
    <t>0101P26L1589</t>
  </si>
  <si>
    <t>0101Y26B1590</t>
  </si>
  <si>
    <t>0101S26B1591</t>
  </si>
  <si>
    <t>0101R26H1592</t>
  </si>
  <si>
    <t>0101H26S1593</t>
  </si>
  <si>
    <t>0101M26A1594</t>
  </si>
  <si>
    <t>0101S26G1595</t>
  </si>
  <si>
    <t>0101A26J1596</t>
  </si>
  <si>
    <t>0101S26S1597</t>
  </si>
  <si>
    <t>0101H26H1598</t>
  </si>
  <si>
    <t>0101M26H1599</t>
  </si>
  <si>
    <t>0101N26G1600</t>
  </si>
  <si>
    <t>0101S26K1601</t>
  </si>
  <si>
    <t>0101I26Y1602</t>
  </si>
  <si>
    <t>0101T26M1603</t>
  </si>
  <si>
    <t>0101H26M1604</t>
  </si>
  <si>
    <t>0101S26T1605</t>
  </si>
  <si>
    <t>0101P26A1606</t>
  </si>
  <si>
    <t>0101D26S1607</t>
  </si>
  <si>
    <t>0101C26A1608</t>
  </si>
  <si>
    <t>0101S26A1609</t>
  </si>
  <si>
    <t>0101P26P1610</t>
  </si>
  <si>
    <t>0101A26K1611</t>
  </si>
  <si>
    <t>0101D26P1612</t>
  </si>
  <si>
    <t>0101A26K1613</t>
  </si>
  <si>
    <t>0101N26G1614</t>
  </si>
  <si>
    <t>0101Y26D1615</t>
  </si>
  <si>
    <t>0101P26S1616</t>
  </si>
  <si>
    <t>0101V26K1617</t>
  </si>
  <si>
    <t>0101Y26N1618</t>
  </si>
  <si>
    <t>0101Y26J1619</t>
  </si>
  <si>
    <t>0101R26K1620</t>
  </si>
  <si>
    <t>0101P26J1621</t>
  </si>
  <si>
    <t>0101A26S1622</t>
  </si>
  <si>
    <t>0101I26J1623</t>
  </si>
  <si>
    <t>0101N26B1624</t>
  </si>
  <si>
    <t>0101A26A1625</t>
  </si>
  <si>
    <t>0101S26B1626</t>
  </si>
  <si>
    <t>0101A26G1627</t>
  </si>
  <si>
    <t>0101S26S1628</t>
  </si>
  <si>
    <t>0101R26K1629</t>
  </si>
  <si>
    <t>0101A26G1630</t>
  </si>
  <si>
    <t>0101M26A1631</t>
  </si>
  <si>
    <t>0101N26S1632</t>
  </si>
  <si>
    <t>0101H26M1633</t>
  </si>
  <si>
    <t>0101M26T1634</t>
  </si>
  <si>
    <t>0101A26H1635</t>
  </si>
  <si>
    <t>0101R26D1636</t>
  </si>
  <si>
    <t>0101J26V1637</t>
  </si>
  <si>
    <t>0101A26S1638</t>
  </si>
  <si>
    <t>0101A26S1639</t>
  </si>
  <si>
    <t>0101S26M1640</t>
  </si>
  <si>
    <t>0101R26S1641</t>
  </si>
  <si>
    <t>0101S26T1642</t>
  </si>
  <si>
    <t>0101P26S1643</t>
  </si>
  <si>
    <t>0101S26N1644</t>
  </si>
  <si>
    <t>0101P26G1645</t>
  </si>
  <si>
    <t>0101S26P1646</t>
  </si>
  <si>
    <t>0101M26A1647</t>
  </si>
  <si>
    <t>0101K26D1648</t>
  </si>
  <si>
    <t>0101R26D1649</t>
  </si>
  <si>
    <t>0101M26A1650</t>
  </si>
  <si>
    <t>0101P26C1651</t>
  </si>
  <si>
    <t>0101K26J1652</t>
  </si>
  <si>
    <t>0101S26T1653</t>
  </si>
  <si>
    <t>0101A26A1654</t>
  </si>
  <si>
    <t>0101L26A1655</t>
  </si>
  <si>
    <t>0101S26R1656</t>
  </si>
  <si>
    <t>0101C26J1657</t>
  </si>
  <si>
    <t>0101K26D1658</t>
  </si>
  <si>
    <t>0101Y26K1659</t>
  </si>
  <si>
    <t>0101S26S1660</t>
  </si>
  <si>
    <t>0101I26C1661</t>
  </si>
  <si>
    <t>0101A26K1662</t>
  </si>
  <si>
    <t>0101D26J1663</t>
  </si>
  <si>
    <t>0101A26S1664</t>
  </si>
  <si>
    <t>0101S26J1665</t>
  </si>
  <si>
    <t>0101S26M1666</t>
  </si>
  <si>
    <t>0101B26T1667</t>
  </si>
  <si>
    <t>0101M26H1668</t>
  </si>
  <si>
    <t>0101S26S1669</t>
  </si>
  <si>
    <t>0101H26A1670</t>
  </si>
  <si>
    <t>0101K26M1671</t>
  </si>
  <si>
    <t>0101H26S1672</t>
  </si>
  <si>
    <t>0101C26R1673</t>
  </si>
  <si>
    <t>0101S26A1674</t>
  </si>
  <si>
    <t>0101S26P1675</t>
  </si>
  <si>
    <t>0101K26P1676</t>
  </si>
  <si>
    <t>0101S26S1677</t>
  </si>
  <si>
    <t>0101D26G1678</t>
  </si>
  <si>
    <t>0101S26I1679</t>
  </si>
  <si>
    <t>0101D26A1680</t>
  </si>
  <si>
    <t>0101K26S1681</t>
  </si>
  <si>
    <t>0101J26K1682</t>
  </si>
  <si>
    <t>0101R26G1683</t>
  </si>
  <si>
    <t>0101A26G1684</t>
  </si>
  <si>
    <t>0101S26A1685</t>
  </si>
  <si>
    <t>0101S26C1686</t>
  </si>
  <si>
    <t>0101A26S1687</t>
  </si>
  <si>
    <t>0101A26F1688</t>
  </si>
  <si>
    <t>0101F26F1689</t>
  </si>
  <si>
    <t>0101R26A1690</t>
  </si>
  <si>
    <t>0101D26K1691</t>
  </si>
  <si>
    <t>0101O26K1692</t>
  </si>
  <si>
    <t>0101K26A1693</t>
  </si>
  <si>
    <t>0101S26D1694</t>
  </si>
  <si>
    <t>0101S26G1695</t>
  </si>
  <si>
    <t>0101G26C1696</t>
  </si>
  <si>
    <t>0101A26A1697</t>
  </si>
  <si>
    <t>0101A26S1698</t>
  </si>
  <si>
    <t>0101P26B1699</t>
  </si>
  <si>
    <t>0101H26J1700</t>
  </si>
  <si>
    <t>0101P26N1701</t>
  </si>
  <si>
    <t>0101M26S1702</t>
  </si>
  <si>
    <t>0101A26P1703</t>
  </si>
  <si>
    <t>0101D26A1704</t>
  </si>
  <si>
    <t>0101M26F1705</t>
  </si>
  <si>
    <t>0101H26A1706</t>
  </si>
  <si>
    <t>0101P26S1707</t>
  </si>
  <si>
    <t>0101S26R1708</t>
  </si>
  <si>
    <t>0101K26R1709</t>
  </si>
  <si>
    <t>0101M26M1710</t>
  </si>
  <si>
    <t>0101S26N1711</t>
  </si>
  <si>
    <t>0101O26A1712</t>
  </si>
  <si>
    <t>0101T26J1713</t>
  </si>
  <si>
    <t>0101S26K1714</t>
  </si>
  <si>
    <t>0101S26B1715</t>
  </si>
  <si>
    <t>0101M26N1716</t>
  </si>
  <si>
    <t>0101T26P1717</t>
  </si>
  <si>
    <t>0101A26R1718</t>
  </si>
  <si>
    <t>0101N26K1719</t>
  </si>
  <si>
    <t>0101S26R1720</t>
  </si>
  <si>
    <t>0101S26K1721</t>
  </si>
  <si>
    <t>0101A26K1722</t>
  </si>
  <si>
    <t>0101R26G1723</t>
  </si>
  <si>
    <t>0101R26M1724</t>
  </si>
  <si>
    <t>0101S26A1725</t>
  </si>
  <si>
    <t>0101A26F1726</t>
  </si>
  <si>
    <t>0101A26B1727</t>
  </si>
  <si>
    <t>0101A26D1728</t>
  </si>
  <si>
    <t>0101S26M1729</t>
  </si>
  <si>
    <t>0101V26D1730</t>
  </si>
  <si>
    <t>0101A26S1731</t>
  </si>
  <si>
    <t>0101V26S1732</t>
  </si>
  <si>
    <t>0101S26V1733</t>
  </si>
  <si>
    <t>0101F26N1734</t>
  </si>
  <si>
    <t>0101S26C1735</t>
  </si>
  <si>
    <t>0101S26K1736</t>
  </si>
  <si>
    <t>0101K26S1737</t>
  </si>
  <si>
    <t>0101M26R1738</t>
  </si>
  <si>
    <t>0101D26K1739</t>
  </si>
  <si>
    <t>0101A26R1740</t>
  </si>
  <si>
    <t>0101K26C1741</t>
  </si>
  <si>
    <t>0101D26S1742</t>
  </si>
  <si>
    <t>0101A26A1743</t>
  </si>
  <si>
    <t>0101M26I1744</t>
  </si>
  <si>
    <t>0101M26P1745</t>
  </si>
  <si>
    <t>0101D26S1746</t>
  </si>
  <si>
    <t>0101R26K1747</t>
  </si>
  <si>
    <t>0101A26G1748</t>
  </si>
  <si>
    <t>0101J26D1749</t>
  </si>
  <si>
    <t>0101N26K1750</t>
  </si>
  <si>
    <t>0101T26K1751</t>
  </si>
  <si>
    <t>0101A26A1752</t>
  </si>
  <si>
    <t>0101A26R1753</t>
  </si>
  <si>
    <t>0101M26S1754</t>
  </si>
  <si>
    <t>0101T26B1755</t>
  </si>
  <si>
    <t>0101V26M1756</t>
  </si>
  <si>
    <t>0101S26V1757</t>
  </si>
  <si>
    <t>0101S26S1758</t>
  </si>
  <si>
    <t>0101H26S1759</t>
  </si>
  <si>
    <t>0101G26R1760</t>
  </si>
  <si>
    <t>0101V26K1761</t>
  </si>
  <si>
    <t>0101M26S1762</t>
  </si>
  <si>
    <t>0101S26K1763</t>
  </si>
  <si>
    <t>0101A26K1764</t>
  </si>
  <si>
    <t>0101I26P1765</t>
  </si>
  <si>
    <t>0101K26T1766</t>
  </si>
  <si>
    <t>0101K26K1767</t>
  </si>
  <si>
    <t>0101K26B1768</t>
  </si>
  <si>
    <t>0101A26G1769</t>
  </si>
  <si>
    <t>0101Z26A1770</t>
  </si>
  <si>
    <t>0101M26K1771</t>
  </si>
  <si>
    <t>0101A26D1772</t>
  </si>
  <si>
    <t>0101T26G1773</t>
  </si>
  <si>
    <t>0101A26S1774</t>
  </si>
  <si>
    <t>0101S26S1775</t>
  </si>
  <si>
    <t>0101S26Z1776</t>
  </si>
  <si>
    <t>0101S26A1777</t>
  </si>
  <si>
    <t>0101S26P1778</t>
  </si>
  <si>
    <t>0101D26G1779</t>
  </si>
  <si>
    <t>0101R26S1780</t>
  </si>
  <si>
    <t>0101A26D1781</t>
  </si>
  <si>
    <t>0101V26G1782</t>
  </si>
  <si>
    <t>0101A26Y1783</t>
  </si>
  <si>
    <t>0101K26D1784</t>
  </si>
  <si>
    <t>0101H26J1785</t>
  </si>
  <si>
    <t>0101M26B1786</t>
  </si>
  <si>
    <t>0101K26G1787</t>
  </si>
  <si>
    <t>0101A26D1788</t>
  </si>
  <si>
    <t>0101J26A1789</t>
  </si>
  <si>
    <t>0101C26S1790</t>
  </si>
  <si>
    <t>0101R26J1791</t>
  </si>
  <si>
    <t>0101V26S1792</t>
  </si>
  <si>
    <t>0101K26D1793</t>
  </si>
  <si>
    <t>0101A26T1794</t>
  </si>
  <si>
    <t>0101A26C1795</t>
  </si>
  <si>
    <t>0101S26M1796</t>
  </si>
  <si>
    <t>0101H26P1797</t>
  </si>
  <si>
    <t>0101P26C1798</t>
  </si>
  <si>
    <t>0101P26V1799</t>
  </si>
  <si>
    <t>0101A26A1800</t>
  </si>
  <si>
    <t>0101M26T1801</t>
  </si>
  <si>
    <t>0101N26M1802</t>
  </si>
  <si>
    <t>0101O26A1803</t>
  </si>
  <si>
    <t>0101S26S1804</t>
  </si>
  <si>
    <t>0101S26R1805</t>
  </si>
  <si>
    <t>0101C26A1806</t>
  </si>
  <si>
    <t>0101M26J1807</t>
  </si>
  <si>
    <t>0101S26G1808</t>
  </si>
  <si>
    <t>0101Z26A1809</t>
  </si>
  <si>
    <t>0101M26A1810</t>
  </si>
  <si>
    <t>0101K26K1811</t>
  </si>
  <si>
    <t>0101H26S1812</t>
  </si>
  <si>
    <t>0101S26A1813</t>
  </si>
  <si>
    <t>0101S26S1814</t>
  </si>
  <si>
    <t>0101R26L1815</t>
  </si>
  <si>
    <t>0101P26C1816</t>
  </si>
  <si>
    <t>0101S26J1817</t>
  </si>
  <si>
    <t>0101S26N1818</t>
  </si>
  <si>
    <t>0101K26A1819</t>
  </si>
  <si>
    <t>0101G26K1820</t>
  </si>
  <si>
    <t>0101K26S1821</t>
  </si>
  <si>
    <t>0101K26S1822</t>
  </si>
  <si>
    <t>0101S26B1823</t>
  </si>
  <si>
    <t>0101A26S1824</t>
  </si>
  <si>
    <t>0101G26S1825</t>
  </si>
  <si>
    <t>0101A26A1826</t>
  </si>
  <si>
    <t>0101M26J1827</t>
  </si>
  <si>
    <t>0101P26K1828</t>
  </si>
  <si>
    <t>0101V26S1829</t>
  </si>
  <si>
    <t>0101A26R1830</t>
  </si>
  <si>
    <t>0101Y26S1831</t>
  </si>
  <si>
    <t>0101R26S1832</t>
  </si>
  <si>
    <t>0101N26R1833</t>
  </si>
  <si>
    <t>0101S26P1834</t>
  </si>
  <si>
    <t>0101V26B1835</t>
  </si>
  <si>
    <t>0101T26J1836</t>
  </si>
  <si>
    <t>0101K26A1837</t>
  </si>
  <si>
    <t>0101A26M1838</t>
  </si>
  <si>
    <t>0101V26M1839</t>
  </si>
  <si>
    <t>0101P26S1840</t>
  </si>
  <si>
    <t>0101Q26S1841</t>
  </si>
  <si>
    <t>0101S26M1842</t>
  </si>
  <si>
    <t>0101H26K1843</t>
  </si>
  <si>
    <t>0101K26K1844</t>
  </si>
  <si>
    <t>0101S26S1845</t>
  </si>
  <si>
    <t>0101S26S1846</t>
  </si>
  <si>
    <t>0101A26A1847</t>
  </si>
  <si>
    <t>0101A26K1848</t>
  </si>
  <si>
    <t>0101S26P1849</t>
  </si>
  <si>
    <t>0101M26M1850</t>
  </si>
  <si>
    <t>0101S26G1851</t>
  </si>
  <si>
    <t>0101K26C1852</t>
  </si>
  <si>
    <t>0101A26A1853</t>
  </si>
  <si>
    <t>0101M26D1854</t>
  </si>
  <si>
    <t>0101M26B1855</t>
  </si>
  <si>
    <t>0101S26S1856</t>
  </si>
  <si>
    <t>0101N26V1857</t>
  </si>
  <si>
    <t>0101H26J1858</t>
  </si>
  <si>
    <t>0101R26A1859</t>
  </si>
  <si>
    <t>0101U26D1860</t>
  </si>
  <si>
    <t>0101A26A1861</t>
  </si>
  <si>
    <t>0101J26P1862</t>
  </si>
  <si>
    <t>0101D26P1863</t>
  </si>
  <si>
    <t>0101P26D1864</t>
  </si>
  <si>
    <t>0101S26M1865</t>
  </si>
  <si>
    <t>0101R26K1866</t>
  </si>
  <si>
    <t>0101R26K1867</t>
  </si>
  <si>
    <t>0101Y26S1868</t>
  </si>
  <si>
    <t>0101S26K1869</t>
  </si>
  <si>
    <t>0101A26J1870</t>
  </si>
  <si>
    <t>0101A26A1871</t>
  </si>
  <si>
    <t>0101A26A1872</t>
  </si>
  <si>
    <t>0101R26S1873</t>
  </si>
  <si>
    <t>0101I26R1874</t>
  </si>
  <si>
    <t>0101U26R1875</t>
  </si>
  <si>
    <t>0101A26J1876</t>
  </si>
  <si>
    <t>0101V26D1877</t>
  </si>
  <si>
    <t>0101A26A1878</t>
  </si>
  <si>
    <t>0101M26S1879</t>
  </si>
  <si>
    <t>0101S26S1880</t>
  </si>
  <si>
    <t>0101R26B1881</t>
  </si>
  <si>
    <t>0101D26J1882</t>
  </si>
  <si>
    <t>0101K26M1883</t>
  </si>
  <si>
    <t>0101V26S1884</t>
  </si>
  <si>
    <t>0101D26A1885</t>
  </si>
  <si>
    <t>0101M26M1886</t>
  </si>
  <si>
    <t>0101P26K1887</t>
  </si>
  <si>
    <t>0101S26S1888</t>
  </si>
  <si>
    <t>0101D26S1889</t>
  </si>
  <si>
    <t>0101S26P1890</t>
  </si>
  <si>
    <t>0101R26D1891</t>
  </si>
  <si>
    <t>0101S26G1892</t>
  </si>
  <si>
    <t>0101R26P1893</t>
  </si>
  <si>
    <t>0101K26J1894</t>
  </si>
  <si>
    <t>0101K26J1895</t>
  </si>
  <si>
    <t>0101R26G1896</t>
  </si>
  <si>
    <t>0101A26M1897</t>
  </si>
  <si>
    <t>0101A26V1898</t>
  </si>
  <si>
    <t>0101B26K1899</t>
  </si>
  <si>
    <t>0101R26R1900</t>
  </si>
  <si>
    <t>0101I26G1901</t>
  </si>
  <si>
    <t>0101B26D1902</t>
  </si>
  <si>
    <t>0101K26S1903</t>
  </si>
  <si>
    <t>0101A26S1904</t>
  </si>
  <si>
    <t>0101P26G1905</t>
  </si>
  <si>
    <t>0101P26A1906</t>
  </si>
  <si>
    <t>0101S26J1907</t>
  </si>
  <si>
    <t>0101A26B1908</t>
  </si>
  <si>
    <t>0101A26S1909</t>
  </si>
  <si>
    <t>0101A26S1910</t>
  </si>
  <si>
    <t>0101R26S1911</t>
  </si>
  <si>
    <t>0101K26C1912</t>
  </si>
  <si>
    <t>0101R26R1913</t>
  </si>
  <si>
    <t>0101A26D1914</t>
  </si>
  <si>
    <t>0101H26H1915</t>
  </si>
  <si>
    <t>0101B26S1916</t>
  </si>
  <si>
    <t>0101V26B1917</t>
  </si>
  <si>
    <t>0101S26C1918</t>
  </si>
  <si>
    <t>0101I26J1919</t>
  </si>
  <si>
    <t>0101A26M1920</t>
  </si>
  <si>
    <t>0101R26T1921</t>
  </si>
  <si>
    <t>0101B26V1922</t>
  </si>
  <si>
    <t>0101A26G1923</t>
  </si>
  <si>
    <t>0101T26S1924</t>
  </si>
  <si>
    <t>0101D26D1925</t>
  </si>
  <si>
    <t>0101P26S1926</t>
  </si>
  <si>
    <t>0101R26T1927</t>
  </si>
  <si>
    <t>0101I26G1928</t>
  </si>
  <si>
    <t>0101S26J1929</t>
  </si>
  <si>
    <t>0101P26R1930</t>
  </si>
  <si>
    <t>0101P26S1931</t>
  </si>
  <si>
    <t>0101S26T1932</t>
  </si>
  <si>
    <t>0101A26G1933</t>
  </si>
  <si>
    <t>0101Y26D1934</t>
  </si>
  <si>
    <t>0101V26B1935</t>
  </si>
  <si>
    <t>0101P26C1936</t>
  </si>
  <si>
    <t>0101R26D1937</t>
  </si>
  <si>
    <t>0101S26D1938</t>
  </si>
  <si>
    <t>0101M26R1939</t>
  </si>
  <si>
    <t>0101A26B1940</t>
  </si>
  <si>
    <t>0101R26A1941</t>
  </si>
  <si>
    <t>0101S26C1942</t>
  </si>
  <si>
    <t>0101Y26G1943</t>
  </si>
  <si>
    <t>0101A26G1944</t>
  </si>
  <si>
    <t>0101S26A1945</t>
  </si>
  <si>
    <t>0101S26G1946</t>
  </si>
  <si>
    <t>0101R26S1947</t>
  </si>
  <si>
    <t>0101A26K1948</t>
  </si>
  <si>
    <t>0101N26A1949</t>
  </si>
  <si>
    <t>0101P26T1950</t>
  </si>
  <si>
    <t>0101U26H1951</t>
  </si>
  <si>
    <t>0101R26K1952</t>
  </si>
  <si>
    <t>0101J26P1953</t>
  </si>
  <si>
    <t>0101P26T1954</t>
  </si>
  <si>
    <t>0101K26S1955</t>
  </si>
  <si>
    <t>0101S26K1956</t>
  </si>
  <si>
    <t>0101S26M1957</t>
  </si>
  <si>
    <t>0101A26V1958</t>
  </si>
  <si>
    <t>0101N26J1959</t>
  </si>
  <si>
    <t>0101K26T1960</t>
  </si>
  <si>
    <t>0101K26A1961</t>
  </si>
  <si>
    <t>0101P26A1962</t>
  </si>
  <si>
    <t>0101I26K1963</t>
  </si>
  <si>
    <t>0101K26B1964</t>
  </si>
  <si>
    <t>0101A26K1965</t>
  </si>
  <si>
    <t>0101S26J1966</t>
  </si>
  <si>
    <t>0101Y26K1967</t>
  </si>
  <si>
    <t>0101S26A1968</t>
  </si>
  <si>
    <t>0101V26G1969</t>
  </si>
  <si>
    <t>0101S26S1970</t>
  </si>
  <si>
    <t>0101V26S1971</t>
  </si>
  <si>
    <t>0101R26R1972</t>
  </si>
  <si>
    <t>0101U26K1973</t>
  </si>
  <si>
    <t>0101P26P1974</t>
  </si>
  <si>
    <t>0101S26A1975</t>
  </si>
  <si>
    <t>0101M26A1976</t>
  </si>
  <si>
    <t>0101M26S1977</t>
  </si>
  <si>
    <t>0101R26S1978</t>
  </si>
  <si>
    <t>0101E26G1979</t>
  </si>
  <si>
    <t>0101J26P1980</t>
  </si>
  <si>
    <t>0101H26S1981</t>
  </si>
  <si>
    <t>0101S26K1982</t>
  </si>
  <si>
    <t>0101D26K1983</t>
  </si>
  <si>
    <t>0101K26S1984</t>
  </si>
  <si>
    <t>0101A26A1985</t>
  </si>
  <si>
    <t>0101R26T1986</t>
  </si>
  <si>
    <t>0101S26R1987</t>
  </si>
  <si>
    <t>0101M26S1988</t>
  </si>
  <si>
    <t>0101N26B1989</t>
  </si>
  <si>
    <t>0101S26S1990</t>
  </si>
  <si>
    <t>0101S26J1991</t>
  </si>
  <si>
    <t>0101T26D1992</t>
  </si>
  <si>
    <t>0101A26R1993</t>
  </si>
  <si>
    <t>0101T26D1994</t>
  </si>
  <si>
    <t>0101D26A1995</t>
  </si>
  <si>
    <t>0101V26D1996</t>
  </si>
  <si>
    <t>0101S26K1997</t>
  </si>
  <si>
    <t>0101D26K1998</t>
  </si>
  <si>
    <t>0101P26B1999</t>
  </si>
  <si>
    <t>0101S26S2000</t>
  </si>
  <si>
    <t>0101V26B2001</t>
  </si>
  <si>
    <t>0101I26M2002</t>
  </si>
  <si>
    <t>0101J26V2003</t>
  </si>
  <si>
    <t>0101P26G2004</t>
  </si>
  <si>
    <t>0101H26J2005</t>
  </si>
  <si>
    <t>0101R26P2006</t>
  </si>
  <si>
    <t>0101A26G2007</t>
  </si>
  <si>
    <t>0101A26S2008</t>
  </si>
  <si>
    <t>0101S26K2009</t>
  </si>
  <si>
    <t>0101S26M2010</t>
  </si>
  <si>
    <t>0101H26S2011</t>
  </si>
  <si>
    <t>0101A26S2012</t>
  </si>
  <si>
    <t>0101A26S2013</t>
  </si>
  <si>
    <t>0101A26G2014</t>
  </si>
  <si>
    <t>0101R26S2015</t>
  </si>
  <si>
    <t>0101R26S2016</t>
  </si>
  <si>
    <t>0101P26M2017</t>
  </si>
  <si>
    <t>0101A26K2018</t>
  </si>
  <si>
    <t>0101S26S2019</t>
  </si>
  <si>
    <t>0101N26B2020</t>
  </si>
  <si>
    <t>0101V26D2021</t>
  </si>
  <si>
    <t>0101K26K2022</t>
  </si>
  <si>
    <t>0101K26C2023</t>
  </si>
  <si>
    <t>0101S26S2024</t>
  </si>
  <si>
    <t>0101S26J2025</t>
  </si>
  <si>
    <t>0101A26G2026</t>
  </si>
  <si>
    <t>0101J26V2027</t>
  </si>
  <si>
    <t>0101H26R2028</t>
  </si>
  <si>
    <t>0101S26V2029</t>
  </si>
  <si>
    <t>0101S26K2030</t>
  </si>
  <si>
    <t>0101S26I2031</t>
  </si>
  <si>
    <t>0101S26C2032</t>
  </si>
  <si>
    <t>0101A26M2033</t>
  </si>
  <si>
    <t>0101S26S2034</t>
  </si>
  <si>
    <t>0101M26B2035</t>
  </si>
  <si>
    <t>0101J26A2036</t>
  </si>
  <si>
    <t>0101R26L2037</t>
  </si>
  <si>
    <t>0101M26S2038</t>
  </si>
  <si>
    <t>0101S26M2039</t>
  </si>
  <si>
    <t>0101M26G2040</t>
  </si>
  <si>
    <t>0101H26R2041</t>
  </si>
  <si>
    <t>0101H26K2042</t>
  </si>
  <si>
    <t>0101R26S2043</t>
  </si>
  <si>
    <t>0101A26S2044</t>
  </si>
  <si>
    <t>0101A26B2045</t>
  </si>
  <si>
    <t>0101T26K2046</t>
  </si>
  <si>
    <t>0101D26D2047</t>
  </si>
  <si>
    <t>0101K26G2048</t>
  </si>
  <si>
    <t>0101A26T2049</t>
  </si>
  <si>
    <t>0101A26D2050</t>
  </si>
  <si>
    <t>0101T26S2051</t>
  </si>
  <si>
    <t>0101S26D2052</t>
  </si>
  <si>
    <t>0101S26G2053</t>
  </si>
  <si>
    <t>0101S26S2054</t>
  </si>
  <si>
    <t>0101A26Y2055</t>
  </si>
  <si>
    <t>0101D26P2056</t>
  </si>
  <si>
    <t>0101A26P2057</t>
  </si>
  <si>
    <t>0101A26G2058</t>
  </si>
  <si>
    <t>0101R26T2059</t>
  </si>
  <si>
    <t>0101G26B2060</t>
  </si>
  <si>
    <t>0101A26K2061</t>
  </si>
  <si>
    <t>0101S26S2062</t>
  </si>
  <si>
    <t>0101S26G2063</t>
  </si>
  <si>
    <t>0101R26G2064</t>
  </si>
  <si>
    <t>0101S26A2065</t>
  </si>
  <si>
    <t>0101A26S2066</t>
  </si>
  <si>
    <t>0101A26M2067</t>
  </si>
  <si>
    <t>0101S26B2068</t>
  </si>
  <si>
    <t>0101P26S2069</t>
  </si>
  <si>
    <t>0101A26S2070</t>
  </si>
  <si>
    <t>0101I26G2071</t>
  </si>
  <si>
    <t>0101M26K2072</t>
  </si>
  <si>
    <t>0101K26S2073</t>
  </si>
  <si>
    <t>0101D26B2074</t>
  </si>
  <si>
    <t>0101A26S2075</t>
  </si>
  <si>
    <t>0101P26J2076</t>
  </si>
  <si>
    <t>0101F26A2077</t>
  </si>
  <si>
    <t>0101I26P2078</t>
  </si>
  <si>
    <t>0101S26K2079</t>
  </si>
  <si>
    <t>0101M26K2080</t>
  </si>
  <si>
    <t>0101M26A2081</t>
  </si>
  <si>
    <t>0101A26M2082</t>
  </si>
  <si>
    <t>0101S26A2083</t>
  </si>
  <si>
    <t>0101K26B2084</t>
  </si>
  <si>
    <t>0101G26A2085</t>
  </si>
  <si>
    <t>0101K26G2086</t>
  </si>
  <si>
    <t>0101S26S2087</t>
  </si>
  <si>
    <t>0101A26A2088</t>
  </si>
  <si>
    <t>0101H26S2089</t>
  </si>
  <si>
    <t>0101S26J2090</t>
  </si>
  <si>
    <t>0101A26K2091</t>
  </si>
  <si>
    <t>0101S26M2092</t>
  </si>
  <si>
    <t>0101M26J2093</t>
  </si>
  <si>
    <t>0101A26R2094</t>
  </si>
  <si>
    <t>0101F26S2095</t>
  </si>
  <si>
    <t>0101S26B2096</t>
  </si>
  <si>
    <t>0101S26C2097</t>
  </si>
  <si>
    <t>0101B26K2098</t>
  </si>
  <si>
    <t>0101S26P2099</t>
  </si>
  <si>
    <t>0101I26A2100</t>
  </si>
  <si>
    <t>0101A26R2101</t>
  </si>
  <si>
    <t>0101K26T2102</t>
  </si>
  <si>
    <t>0101R26S2103</t>
  </si>
  <si>
    <t>0101M26S2104</t>
  </si>
  <si>
    <t>0101P26S2105</t>
  </si>
  <si>
    <t>0101R26S2106</t>
  </si>
  <si>
    <t>0101A26K2107</t>
  </si>
  <si>
    <t>0101P26G2108</t>
  </si>
  <si>
    <t>0101R26K2109</t>
  </si>
  <si>
    <t>0101K26J2110</t>
  </si>
  <si>
    <t>0101S26M2111</t>
  </si>
  <si>
    <t>0101K26S2112</t>
  </si>
  <si>
    <t>0101C26D2113</t>
  </si>
  <si>
    <t>0101L26M2114</t>
  </si>
  <si>
    <t>0101Z26S2115</t>
  </si>
  <si>
    <t>0101H26R2116</t>
  </si>
  <si>
    <t>0101H26S2117</t>
  </si>
  <si>
    <t>0101A26S2118</t>
  </si>
  <si>
    <t>0101M26A2119</t>
  </si>
  <si>
    <t>0101R26A2120</t>
  </si>
  <si>
    <t>0101S26S2121</t>
  </si>
  <si>
    <t>0101S26A2122</t>
  </si>
  <si>
    <t>0101K26K2123</t>
  </si>
  <si>
    <t>0101A26B2124</t>
  </si>
  <si>
    <t>0101S26N2125</t>
  </si>
  <si>
    <t>0101N26K2126</t>
  </si>
  <si>
    <t>0101Y26S2127</t>
  </si>
  <si>
    <t>0101Y26L2128</t>
  </si>
  <si>
    <t>0101K26A2129</t>
  </si>
  <si>
    <t>0101A26A2130</t>
  </si>
  <si>
    <t>0101R26D2131</t>
  </si>
  <si>
    <t>0101A26T2132</t>
  </si>
  <si>
    <t>0101R26G2133</t>
  </si>
  <si>
    <t>0101M26N2134</t>
  </si>
  <si>
    <t>0101V26B2135</t>
  </si>
  <si>
    <t>0101M26N2136</t>
  </si>
  <si>
    <t>0101A26H2137</t>
  </si>
  <si>
    <t>0101T26S2138</t>
  </si>
  <si>
    <t>0101S26S2139</t>
  </si>
  <si>
    <t>0101S26B2140</t>
  </si>
  <si>
    <t>0101U26M2141</t>
  </si>
  <si>
    <t>0101M26A2142</t>
  </si>
  <si>
    <t>0101S26D2143</t>
  </si>
  <si>
    <t>0101S26S2144</t>
  </si>
  <si>
    <t>0101U26J2145</t>
  </si>
  <si>
    <t>0101A26J2146</t>
  </si>
  <si>
    <t>0101A26K2147</t>
  </si>
  <si>
    <t>0101A26A2148</t>
  </si>
  <si>
    <t>0101A26K2149</t>
  </si>
  <si>
    <t>0101I26I2150</t>
  </si>
  <si>
    <t>0101S26C2151</t>
  </si>
  <si>
    <t>0101P26B2152</t>
  </si>
  <si>
    <t>0101D26P2153</t>
  </si>
  <si>
    <t>0101R26G2154</t>
  </si>
  <si>
    <t>0101S26G2155</t>
  </si>
  <si>
    <t>0101K26K2156</t>
  </si>
  <si>
    <t>0101H26S2157</t>
  </si>
  <si>
    <t>0101H26H2158</t>
  </si>
  <si>
    <t>0101R26M2159</t>
  </si>
  <si>
    <t>0101S26A2160</t>
  </si>
  <si>
    <t>0101I26A2161</t>
  </si>
  <si>
    <t>0101A26M2162</t>
  </si>
  <si>
    <t>0101A26M2163</t>
  </si>
  <si>
    <t>0101K26L2164</t>
  </si>
  <si>
    <t>0101A26C2165</t>
  </si>
  <si>
    <t>0101S26T2166</t>
  </si>
  <si>
    <t>0101P26S2167</t>
  </si>
  <si>
    <t>0101S26P2168</t>
  </si>
  <si>
    <t>0101A26T2169</t>
  </si>
  <si>
    <t>0101S26S2170</t>
  </si>
  <si>
    <t>0101H26K2171</t>
  </si>
  <si>
    <t>0101K26K2172</t>
  </si>
  <si>
    <t>0101R26A2173</t>
  </si>
  <si>
    <t>0101A26A2174</t>
  </si>
  <si>
    <t>0101L26B2175</t>
  </si>
  <si>
    <t>0101T26S2176</t>
  </si>
  <si>
    <t>0101A26A2177</t>
  </si>
  <si>
    <t>0101D26K2178</t>
  </si>
  <si>
    <t>0101H26D2179</t>
  </si>
  <si>
    <t>0101A26B2180</t>
  </si>
  <si>
    <t>0101P26K2181</t>
  </si>
  <si>
    <t>0101K26C2182</t>
  </si>
  <si>
    <t>0101P26K2183</t>
  </si>
  <si>
    <t>0101H26D2184</t>
  </si>
  <si>
    <t>0101S26N2185</t>
  </si>
  <si>
    <t>0101S26K2186</t>
  </si>
  <si>
    <t>0101P26A2187</t>
  </si>
  <si>
    <t>0101H26F2188</t>
  </si>
  <si>
    <t>0101S26S2189</t>
  </si>
  <si>
    <t>0101P26P2190</t>
  </si>
  <si>
    <t>0101S26J2191</t>
  </si>
  <si>
    <t>0101N26P2192</t>
  </si>
  <si>
    <t>0101Y26J2193</t>
  </si>
  <si>
    <t>0101Y26S2194</t>
  </si>
  <si>
    <t>0101S26J2195</t>
  </si>
  <si>
    <t>0101A26D2196</t>
  </si>
  <si>
    <t>0101T26K2197</t>
  </si>
  <si>
    <t>0101A26M2198</t>
  </si>
  <si>
    <t>0101S26M2199</t>
  </si>
  <si>
    <t>0101R26T2200</t>
  </si>
  <si>
    <t>0101V26S2201</t>
  </si>
  <si>
    <t>0101H26T2202</t>
  </si>
  <si>
    <t>0101W26A2203</t>
  </si>
  <si>
    <t>0101I26S2204</t>
  </si>
  <si>
    <t>0101S26H2205</t>
  </si>
  <si>
    <t>0101T26V2206</t>
  </si>
  <si>
    <t>0101A26S2207</t>
  </si>
  <si>
    <t>0101A26P2208</t>
  </si>
  <si>
    <t>0101S26A2209</t>
  </si>
  <si>
    <t>0101D26J2210</t>
  </si>
  <si>
    <t>0101N26J2211</t>
  </si>
  <si>
    <t>0101S26K2212</t>
  </si>
  <si>
    <t>0101J26A2213</t>
  </si>
  <si>
    <t>0101S26R2214</t>
  </si>
  <si>
    <t>0101A26P2215</t>
  </si>
  <si>
    <t>0101Y26C2216</t>
  </si>
  <si>
    <t>0101E26M2217</t>
  </si>
  <si>
    <t>0101M26D2218</t>
  </si>
  <si>
    <t>0101A26A2219</t>
  </si>
  <si>
    <t>0101A26M2220</t>
  </si>
  <si>
    <t>0101M26A2221</t>
  </si>
  <si>
    <t>0101P26A2222</t>
  </si>
  <si>
    <t>0101A26K2223</t>
  </si>
  <si>
    <t>0101N26A2224</t>
  </si>
  <si>
    <t>0101M26A2225</t>
  </si>
  <si>
    <t>0101P26G2226</t>
  </si>
  <si>
    <t>0101D26C2227</t>
  </si>
  <si>
    <t>0101S26M2228</t>
  </si>
  <si>
    <t>0101D26S2229</t>
  </si>
  <si>
    <t>0101R26M2230</t>
  </si>
  <si>
    <t>0101R26P2231</t>
  </si>
  <si>
    <t>0101A26K2232</t>
  </si>
  <si>
    <t>0101A26P2233</t>
  </si>
  <si>
    <t>0101A26S2234</t>
  </si>
  <si>
    <t>0101A26K2235</t>
  </si>
  <si>
    <t>0101S26X2236</t>
  </si>
  <si>
    <t>0101A26D2237</t>
  </si>
  <si>
    <t>0101A26A2238</t>
  </si>
  <si>
    <t>0101S26A2239</t>
  </si>
  <si>
    <t>0101C26J2240</t>
  </si>
  <si>
    <t>0101A26S2241</t>
  </si>
  <si>
    <t>0101S26B2242</t>
  </si>
  <si>
    <t>0101A26T2243</t>
  </si>
  <si>
    <t>0101N26M2244</t>
  </si>
  <si>
    <t>0101S26H2245</t>
  </si>
  <si>
    <t>0101I26A2246</t>
  </si>
  <si>
    <t>0101M26Y2247</t>
  </si>
  <si>
    <t>0101M26H2248</t>
  </si>
  <si>
    <t>0101A26O2249</t>
  </si>
  <si>
    <t>0101M26K2250</t>
  </si>
  <si>
    <t>0101A26B2251</t>
  </si>
  <si>
    <t>0101D26H2252</t>
  </si>
  <si>
    <t>0101S26P2253</t>
  </si>
  <si>
    <t>0101G26J2254</t>
  </si>
  <si>
    <t>0101A26H2255</t>
  </si>
  <si>
    <t>0101N26P2256</t>
  </si>
  <si>
    <t>0101Y26K2257</t>
  </si>
  <si>
    <t>0101H26B2258</t>
  </si>
  <si>
    <t>0101A26T2259</t>
  </si>
  <si>
    <t>0101U26G2260</t>
  </si>
  <si>
    <t>0101S26A2261</t>
  </si>
  <si>
    <t>0101S26A2262</t>
  </si>
  <si>
    <t>0101Y26C2263</t>
  </si>
  <si>
    <t>0101S26F2264</t>
  </si>
  <si>
    <t>0101K26J2265</t>
  </si>
  <si>
    <t>0101K26K2266</t>
  </si>
  <si>
    <t>0101P26M2267</t>
  </si>
  <si>
    <t>0101V26K2268</t>
  </si>
  <si>
    <t>0101T26R2269</t>
  </si>
  <si>
    <t>0101M26A2270</t>
  </si>
  <si>
    <t>0101H26G2271</t>
  </si>
  <si>
    <t>0101P26D2272</t>
  </si>
  <si>
    <t>0101K26K2273</t>
  </si>
  <si>
    <t>0101P26M2274</t>
  </si>
  <si>
    <t>0101R26S2275</t>
  </si>
  <si>
    <t>0101A26T2276</t>
  </si>
  <si>
    <t>0101R26R2277</t>
  </si>
  <si>
    <t>0101R26S2278</t>
  </si>
  <si>
    <t>0101R26K2279</t>
  </si>
  <si>
    <t>0101H26J2280</t>
  </si>
  <si>
    <t>0101A26B2281</t>
  </si>
  <si>
    <t>0101A26S2282</t>
  </si>
  <si>
    <t>0101A26G2283</t>
  </si>
  <si>
    <t>0101S26P2284</t>
  </si>
  <si>
    <t>0101S26M2285</t>
  </si>
  <si>
    <t>0101S26K2286</t>
  </si>
  <si>
    <t>0101R26S2287</t>
  </si>
  <si>
    <t>0101U26B2288</t>
  </si>
  <si>
    <t>0101R26P2289</t>
  </si>
  <si>
    <t>0101R26P2290</t>
  </si>
  <si>
    <t>0101C26S2291</t>
  </si>
  <si>
    <t>0101T26A2292</t>
  </si>
  <si>
    <t>0101N26K2293</t>
  </si>
  <si>
    <t>0101M26S2294</t>
  </si>
  <si>
    <t>0101P26S2295</t>
  </si>
  <si>
    <t>0101H26M2296</t>
  </si>
  <si>
    <t>0101S26S2297</t>
  </si>
  <si>
    <t>0101V26S2298</t>
  </si>
  <si>
    <t>0101V26Y2299</t>
  </si>
  <si>
    <t>0101A26A2300</t>
  </si>
  <si>
    <t>0101D26B2301</t>
  </si>
  <si>
    <t>0101S26S2302</t>
  </si>
  <si>
    <t>0101R26R2303</t>
  </si>
  <si>
    <t>0101P26S2304</t>
  </si>
  <si>
    <t>0101K26S2305</t>
  </si>
  <si>
    <t>0101S26P2306</t>
  </si>
  <si>
    <t>0101J26S2307</t>
  </si>
  <si>
    <t>0101A26P2308</t>
  </si>
  <si>
    <t>0101N26S2309</t>
  </si>
  <si>
    <t>0101T26A2310</t>
  </si>
  <si>
    <t>0101H26A2311</t>
  </si>
  <si>
    <t>0101R26R2312</t>
  </si>
  <si>
    <t>0101S26S2313</t>
  </si>
  <si>
    <t>0101P26P2314</t>
  </si>
  <si>
    <t>0101D26C2315</t>
  </si>
  <si>
    <t>0101A26A2316</t>
  </si>
  <si>
    <t>0101K26S2317</t>
  </si>
  <si>
    <t>0101D26P2318</t>
  </si>
  <si>
    <t>0101B26A2319</t>
  </si>
  <si>
    <t>0101T26C2320</t>
  </si>
  <si>
    <t>0101G26K2321</t>
  </si>
  <si>
    <t>0101A26S2322</t>
  </si>
  <si>
    <t>0101N26G2323</t>
  </si>
  <si>
    <t>0101D26J2324</t>
  </si>
  <si>
    <t>0101D26A2325</t>
  </si>
  <si>
    <t>0101K26B2326</t>
  </si>
  <si>
    <t>0101A26C2327</t>
  </si>
  <si>
    <t>0101A26K2328</t>
  </si>
  <si>
    <t>0101D26T2329</t>
  </si>
  <si>
    <t>0101S26S2330</t>
  </si>
  <si>
    <t>0101B26J2331</t>
  </si>
  <si>
    <t>0101A26K2332</t>
  </si>
  <si>
    <t>0101S26R2333</t>
  </si>
  <si>
    <t>0101D26V2334</t>
  </si>
  <si>
    <t>0101R26O2335</t>
  </si>
  <si>
    <t>0101R26G2336</t>
  </si>
  <si>
    <t>0101P26R2337</t>
  </si>
  <si>
    <t>0101T26A2338</t>
  </si>
  <si>
    <t>0101T26D2339</t>
  </si>
  <si>
    <t>0101E26A2340</t>
  </si>
  <si>
    <t>0101J26J2341</t>
  </si>
  <si>
    <t>0101R26J2342</t>
  </si>
  <si>
    <t>0101A26K2343</t>
  </si>
  <si>
    <t>0101M26S2344</t>
  </si>
  <si>
    <t>0101G26K2345</t>
  </si>
  <si>
    <t>0101K26S2346</t>
  </si>
  <si>
    <t>0101R26J2347</t>
  </si>
  <si>
    <t>0101S26D2348</t>
  </si>
  <si>
    <t>0101Z26Z2349</t>
  </si>
  <si>
    <t>0101S26S2350</t>
  </si>
  <si>
    <t>0101S26A2351</t>
  </si>
  <si>
    <t>0101R26S2352</t>
  </si>
  <si>
    <t>0101I26D2353</t>
  </si>
  <si>
    <t>0101S26B2354</t>
  </si>
  <si>
    <t>0101V26J2355</t>
  </si>
  <si>
    <t>0101M26A2356</t>
  </si>
  <si>
    <t>0101R26N2357</t>
  </si>
  <si>
    <t>0101N26A2358</t>
  </si>
  <si>
    <t>0101A26K2359</t>
  </si>
  <si>
    <t>0101M26A2360</t>
  </si>
  <si>
    <t>0101S26K2361</t>
  </si>
  <si>
    <t>0101R26S2362</t>
  </si>
  <si>
    <t>0101L26B2363</t>
  </si>
  <si>
    <t>0101R26P2364</t>
  </si>
  <si>
    <t>0101P26K2365</t>
  </si>
  <si>
    <t>0101S26M2366</t>
  </si>
  <si>
    <t>0101H26S2367</t>
  </si>
  <si>
    <t>0101R26J2368</t>
  </si>
  <si>
    <t>0101M26U2369</t>
  </si>
  <si>
    <t>0101P26S2370</t>
  </si>
  <si>
    <t>0101O26H2371</t>
  </si>
  <si>
    <t>0101K26G2372</t>
  </si>
  <si>
    <t>0101D26C2373</t>
  </si>
  <si>
    <t>0101N26S2374</t>
  </si>
  <si>
    <t>0101S26C2375</t>
  </si>
  <si>
    <t>0101A26M2376</t>
  </si>
  <si>
    <t>0101K26A2377</t>
  </si>
  <si>
    <t>0101G26S2378</t>
  </si>
  <si>
    <t>0101B26S2379</t>
  </si>
  <si>
    <t>0101D26H2380</t>
  </si>
  <si>
    <t>0101M26S2381</t>
  </si>
  <si>
    <t>0101G26S2382</t>
  </si>
  <si>
    <t>0101R26C2383</t>
  </si>
  <si>
    <t>0101M26A2384</t>
  </si>
  <si>
    <t>0101S26J2385</t>
  </si>
  <si>
    <t>0101T26M2386</t>
  </si>
  <si>
    <t>0101S26A2387</t>
  </si>
  <si>
    <t>0101P26S2388</t>
  </si>
  <si>
    <t>0101C26K2389</t>
  </si>
  <si>
    <t>0101K26S2390</t>
  </si>
  <si>
    <t>0101P26B2391</t>
  </si>
  <si>
    <t>0101H26K2392</t>
  </si>
  <si>
    <t>0101S26S2393</t>
  </si>
  <si>
    <t>0101P26S2394</t>
  </si>
  <si>
    <t>0101A26S2395</t>
  </si>
  <si>
    <t>0101N26A2396</t>
  </si>
  <si>
    <t>0101M26K2397</t>
  </si>
  <si>
    <t>0101N26B2398</t>
  </si>
  <si>
    <t>0101A26C2399</t>
  </si>
  <si>
    <t>0101R26G2400</t>
  </si>
  <si>
    <t>0101K26J2401</t>
  </si>
  <si>
    <t>0101M26S2402</t>
  </si>
  <si>
    <t>0101S26S2403</t>
  </si>
  <si>
    <t>0101M26A2404</t>
  </si>
  <si>
    <t>0101V26M2405</t>
  </si>
  <si>
    <t>0101A26P2406</t>
  </si>
  <si>
    <t>0101M26S2407</t>
  </si>
  <si>
    <t>0101A26G2408</t>
  </si>
  <si>
    <t>0101V26S2409</t>
  </si>
  <si>
    <t>0101V26R2410</t>
  </si>
  <si>
    <t>0101S26K2411</t>
  </si>
  <si>
    <t>0101S26A2412</t>
  </si>
  <si>
    <t>0101P26A2413</t>
  </si>
  <si>
    <t>0101A26P2414</t>
  </si>
  <si>
    <t>0101S26T2415</t>
  </si>
  <si>
    <t>0101R26A2416</t>
  </si>
  <si>
    <t>0101M26H2417</t>
  </si>
  <si>
    <t>0101M26A2418</t>
  </si>
  <si>
    <t>0101M26A2419</t>
  </si>
  <si>
    <t>0101R26T2420</t>
  </si>
  <si>
    <t>0101A26A2421</t>
  </si>
  <si>
    <t>0101K26M2422</t>
  </si>
  <si>
    <t>0101T26C2423</t>
  </si>
  <si>
    <t>0101V26L2424</t>
  </si>
  <si>
    <t>0101D26S2425</t>
  </si>
  <si>
    <t>0101R26P2426</t>
  </si>
  <si>
    <t>0101R26B2427</t>
  </si>
  <si>
    <t>0101D26B2428</t>
  </si>
  <si>
    <t>0101P26K2429</t>
  </si>
  <si>
    <t>0101M26A2430</t>
  </si>
  <si>
    <t>0101S26R2431</t>
  </si>
  <si>
    <t>0101S26J2432</t>
  </si>
  <si>
    <t>0101A26S2433</t>
  </si>
  <si>
    <t>0101A26J2434</t>
  </si>
  <si>
    <t>0101S26S2435</t>
  </si>
  <si>
    <t>0101N26S2436</t>
  </si>
  <si>
    <t>0101A26A2437</t>
  </si>
  <si>
    <t>0101R26M2438</t>
  </si>
  <si>
    <t>0101A26A2439</t>
  </si>
  <si>
    <t>0101R26K2440</t>
  </si>
  <si>
    <t>0101A26M2441</t>
  </si>
  <si>
    <t>0101S26J2442</t>
  </si>
  <si>
    <t>0101M26S2443</t>
  </si>
  <si>
    <t>0101S26S2444</t>
  </si>
  <si>
    <t>0101T26J2445</t>
  </si>
  <si>
    <t>0101D26S2446</t>
  </si>
  <si>
    <t>0101S26Z2447</t>
  </si>
  <si>
    <t>0101H26V2448</t>
  </si>
  <si>
    <t>0101Y26M2449</t>
  </si>
  <si>
    <t>0101T26M2450</t>
  </si>
  <si>
    <t>0101K26J2451</t>
  </si>
  <si>
    <t>0101S26G2452</t>
  </si>
  <si>
    <t>0101A26A2453</t>
  </si>
  <si>
    <t>0101R26J2454</t>
  </si>
  <si>
    <t>0101L26S2455</t>
  </si>
  <si>
    <t>0101S26A2456</t>
  </si>
  <si>
    <t>0101S26N2457</t>
  </si>
  <si>
    <t>0101R26K2458</t>
  </si>
  <si>
    <t>0101S26D2459</t>
  </si>
  <si>
    <t>0101M26R2460</t>
  </si>
  <si>
    <t>0101B26H2461</t>
  </si>
  <si>
    <t>0101R26R2462</t>
  </si>
  <si>
    <t>0101P26K2463</t>
  </si>
  <si>
    <t>0101P26G2464</t>
  </si>
  <si>
    <t>0101L26C2465</t>
  </si>
  <si>
    <t>0101D26G2466</t>
  </si>
  <si>
    <t>0101G26J2467</t>
  </si>
  <si>
    <t>0101A26D2468</t>
  </si>
  <si>
    <t>0101G26C2469</t>
  </si>
  <si>
    <t>0101N26P2470</t>
  </si>
  <si>
    <t>0101A26M2471</t>
  </si>
  <si>
    <t>0101K26K2472</t>
  </si>
  <si>
    <t>0101S26K2473</t>
  </si>
  <si>
    <t>0101A26P2474</t>
  </si>
  <si>
    <t>0101K26M2475</t>
  </si>
  <si>
    <t>0101N26S2476</t>
  </si>
  <si>
    <t>0101A26J2477</t>
  </si>
  <si>
    <t>0101S26P2478</t>
  </si>
  <si>
    <t>0101R26P2479</t>
  </si>
  <si>
    <t>0101S26A2480</t>
  </si>
  <si>
    <t>0101R26K2481</t>
  </si>
  <si>
    <t>0101A26S2482</t>
  </si>
  <si>
    <t>0101U26M2483</t>
  </si>
  <si>
    <t>0101K26S2484</t>
  </si>
  <si>
    <t>0101S26K2485</t>
  </si>
  <si>
    <t>0101K26B2486</t>
  </si>
  <si>
    <t>0101S26A2487</t>
  </si>
  <si>
    <t>0101D26S2488</t>
  </si>
  <si>
    <t>0101A26K2489</t>
  </si>
  <si>
    <t>0101S26K2490</t>
  </si>
  <si>
    <t>0101A26S2491</t>
  </si>
  <si>
    <t>0101U26R2492</t>
  </si>
  <si>
    <t>0101R26A2493</t>
  </si>
  <si>
    <t>0101S26M2494</t>
  </si>
  <si>
    <t>0101N26A2495</t>
  </si>
  <si>
    <t>0101S26A2496</t>
  </si>
  <si>
    <t>0101H26F2497</t>
  </si>
  <si>
    <t>0101S26K2498</t>
  </si>
  <si>
    <t>0101R26S2499</t>
  </si>
  <si>
    <t>0101A26Z2500</t>
  </si>
  <si>
    <t>0101A26N2501</t>
  </si>
  <si>
    <t>0101A26P2502</t>
  </si>
  <si>
    <t>0101N26V2503</t>
  </si>
  <si>
    <t>0101D26J2504</t>
  </si>
  <si>
    <t>0101Y26Y2505</t>
  </si>
  <si>
    <t>0101K26S2506</t>
  </si>
  <si>
    <t>0101S26S2507</t>
  </si>
  <si>
    <t>0101P26P2508</t>
  </si>
  <si>
    <t>0101K26A2509</t>
  </si>
  <si>
    <t>0101V26T2510</t>
  </si>
  <si>
    <t>0101V26R2511</t>
  </si>
  <si>
    <t>0101T26A2512</t>
  </si>
  <si>
    <t>0101A26S2513</t>
  </si>
  <si>
    <t>0101H26B2514</t>
  </si>
  <si>
    <t>0101N26D2515</t>
  </si>
  <si>
    <t>0101P26S2516</t>
  </si>
  <si>
    <t>0101P26G2517</t>
  </si>
  <si>
    <t>0101D26D2518</t>
  </si>
  <si>
    <t>0101M26A2519</t>
  </si>
  <si>
    <t>0101A26J2520</t>
  </si>
  <si>
    <t>0101R26S2521</t>
  </si>
  <si>
    <t>0101H26K2522</t>
  </si>
  <si>
    <t>0101M26P2523</t>
  </si>
  <si>
    <t>0101T26S2524</t>
  </si>
  <si>
    <t>0101Y26K2525</t>
  </si>
  <si>
    <t>0101V26D2526</t>
  </si>
  <si>
    <t>0101S26D2527</t>
  </si>
  <si>
    <t>0101M26D2528</t>
  </si>
  <si>
    <t>0101S26K2529</t>
  </si>
  <si>
    <t>0101S26T2530</t>
  </si>
  <si>
    <t>0101M26C2531</t>
  </si>
  <si>
    <t>0101V26M2532</t>
  </si>
  <si>
    <t>0101S26M2533</t>
  </si>
  <si>
    <t>0101E26B2534</t>
  </si>
  <si>
    <t>0101A26G2535</t>
  </si>
  <si>
    <t>0101S26M2536</t>
  </si>
  <si>
    <t>0101D26R2537</t>
  </si>
  <si>
    <t>0101S26S2538</t>
  </si>
  <si>
    <t>0101K26M2539</t>
  </si>
  <si>
    <t>0101V26U2540</t>
  </si>
  <si>
    <t>0101S26T2541</t>
  </si>
  <si>
    <t>0101B26A2542</t>
  </si>
  <si>
    <t>0101A26R2543</t>
  </si>
  <si>
    <t>0101A26H2544</t>
  </si>
  <si>
    <t>0101A26C2545</t>
  </si>
  <si>
    <t>0101Q26T2546</t>
  </si>
  <si>
    <t>0101H26S2547</t>
  </si>
  <si>
    <t>0101S26K2548</t>
  </si>
  <si>
    <t>0101A26B2549</t>
  </si>
  <si>
    <t>0101K26D2550</t>
  </si>
  <si>
    <t>0101S26P2551</t>
  </si>
  <si>
    <t>0101S26S2552</t>
  </si>
  <si>
    <t>0101S26B2553</t>
  </si>
  <si>
    <t>0101A26T2554</t>
  </si>
  <si>
    <t>0101A26B2555</t>
  </si>
  <si>
    <t>0101A26G2556</t>
  </si>
  <si>
    <t>0101V26D2557</t>
  </si>
  <si>
    <t>0101S26V2558</t>
  </si>
  <si>
    <t>0101A26C2559</t>
  </si>
  <si>
    <t>0101A26D2560</t>
  </si>
  <si>
    <t>0101A26D2561</t>
  </si>
  <si>
    <t>0101M26D2562</t>
  </si>
  <si>
    <t>0101S26F2563</t>
  </si>
  <si>
    <t>0101K26K2564</t>
  </si>
  <si>
    <t>0101L26T2565</t>
  </si>
  <si>
    <t>0101V26B2566</t>
  </si>
  <si>
    <t>0101G26D2567</t>
  </si>
  <si>
    <t>0101N26M2568</t>
  </si>
  <si>
    <t>0101N26M2569</t>
  </si>
  <si>
    <t>0101Y26P2570</t>
  </si>
  <si>
    <t>0101S26U2571</t>
  </si>
  <si>
    <t>0101D26B2572</t>
  </si>
  <si>
    <t>0101A26A2573</t>
  </si>
  <si>
    <t>0101H26O2574</t>
  </si>
  <si>
    <t>0101N26C2575</t>
  </si>
  <si>
    <t>0101K26K2576</t>
  </si>
  <si>
    <t>0101P26M2577</t>
  </si>
  <si>
    <t>0101P26S2578</t>
  </si>
  <si>
    <t>0101M26S2579</t>
  </si>
  <si>
    <t>0101S26S2580</t>
  </si>
  <si>
    <t>0101S26S2581</t>
  </si>
  <si>
    <t>0101K26S2582</t>
  </si>
  <si>
    <t>0101K26K2583</t>
  </si>
  <si>
    <t>0101S26P2584</t>
  </si>
  <si>
    <t>0101H26B2585</t>
  </si>
  <si>
    <t>0101M26A2586</t>
  </si>
  <si>
    <t>0101K26D2587</t>
  </si>
  <si>
    <t>0101S26A2588</t>
  </si>
  <si>
    <t>0101B26K2589</t>
  </si>
  <si>
    <t>0101G26M2590</t>
  </si>
  <si>
    <t>0101K26K2591</t>
  </si>
  <si>
    <t>0101R26S2592</t>
  </si>
  <si>
    <t>0101A26S2593</t>
  </si>
  <si>
    <t>0101K26K2594</t>
  </si>
  <si>
    <t>0101A26B2595</t>
  </si>
  <si>
    <t>0101A26R2596</t>
  </si>
  <si>
    <t>0101K26A2597</t>
  </si>
  <si>
    <t>0101P26B2598</t>
  </si>
  <si>
    <t>0101S26B2599</t>
  </si>
  <si>
    <t>0101A26D2600</t>
  </si>
  <si>
    <t>0101K26H2601</t>
  </si>
  <si>
    <t>0101H26F2602</t>
  </si>
  <si>
    <t>0101A26A2603</t>
  </si>
  <si>
    <t>0101S26K2604</t>
  </si>
  <si>
    <t>0101S26K2605</t>
  </si>
  <si>
    <t>0101S26P2606</t>
  </si>
  <si>
    <t>0101A26M2607</t>
  </si>
  <si>
    <t>0101T26S2608</t>
  </si>
  <si>
    <t>0101I26J2609</t>
  </si>
  <si>
    <t>0101M26D2610</t>
  </si>
  <si>
    <t>0101D26G2611</t>
  </si>
  <si>
    <t>0101P26S2612</t>
  </si>
  <si>
    <t>0101P26P2613</t>
  </si>
  <si>
    <t>0101A26B2614</t>
  </si>
  <si>
    <t>0101K26S2615</t>
  </si>
  <si>
    <t>0101A26G2616</t>
  </si>
  <si>
    <t>0101S26R2617</t>
  </si>
  <si>
    <t>0101A26A2618</t>
  </si>
  <si>
    <t>0101D26K2619</t>
  </si>
  <si>
    <t>0101P26P2620</t>
  </si>
  <si>
    <t>0101B26S2621</t>
  </si>
  <si>
    <t>0101A26B2622</t>
  </si>
  <si>
    <t>0101S26B2623</t>
  </si>
  <si>
    <t>0101K26K2624</t>
  </si>
  <si>
    <t>0101A26S2625</t>
  </si>
  <si>
    <t>0101M26A2626</t>
  </si>
  <si>
    <t>0101P26D2627</t>
  </si>
  <si>
    <t>0101S26S2628</t>
  </si>
  <si>
    <t>0101R26K2629</t>
  </si>
  <si>
    <t>0101T26B2630</t>
  </si>
  <si>
    <t>0101K26J2631</t>
  </si>
  <si>
    <t>0101P26G2632</t>
  </si>
  <si>
    <t>0101H26P2633</t>
  </si>
  <si>
    <t>0101A26S2634</t>
  </si>
  <si>
    <t>0101H26A2635</t>
  </si>
  <si>
    <t>0101N26A2636</t>
  </si>
  <si>
    <t>0101S26A2637</t>
  </si>
  <si>
    <t>0101H26H2638</t>
  </si>
  <si>
    <t>0101M26M2639</t>
  </si>
  <si>
    <t>0101J26N2640</t>
  </si>
  <si>
    <t>0101P26M2641</t>
  </si>
  <si>
    <t>0101A26I2642</t>
  </si>
  <si>
    <t>0101A26R2643</t>
  </si>
  <si>
    <t>0101R26C2644</t>
  </si>
  <si>
    <t>0101R26S2645</t>
  </si>
  <si>
    <t>0101G26K2646</t>
  </si>
  <si>
    <t>0101S26I2647</t>
  </si>
  <si>
    <t>0101P26M2648</t>
  </si>
  <si>
    <t>0101I26K2649</t>
  </si>
  <si>
    <t>0101R26G2650</t>
  </si>
  <si>
    <t>0101A26A2651</t>
  </si>
  <si>
    <t>0101P26A2652</t>
  </si>
  <si>
    <t>0101A26J2653</t>
  </si>
  <si>
    <t>0101T26B2654</t>
  </si>
  <si>
    <t>0101A26K2655</t>
  </si>
  <si>
    <t>0101A26S2656</t>
  </si>
  <si>
    <t>0101A26B2657</t>
  </si>
  <si>
    <t>0101M26C2658</t>
  </si>
  <si>
    <t>0101S26S2659</t>
  </si>
  <si>
    <t>0101K26G2660</t>
  </si>
  <si>
    <t>0101D26P2661</t>
  </si>
  <si>
    <t>0101R26G2662</t>
  </si>
  <si>
    <t>0101R26S2663</t>
  </si>
  <si>
    <t>0101K26K2664</t>
  </si>
  <si>
    <t>0101S26M2665</t>
  </si>
  <si>
    <t>0101R26M2666</t>
  </si>
  <si>
    <t>0101T26V2667</t>
  </si>
  <si>
    <t>0101T26G2668</t>
  </si>
  <si>
    <t>0101A26G2669</t>
  </si>
  <si>
    <t>0101S26M2670</t>
  </si>
  <si>
    <t>0101P26K2671</t>
  </si>
  <si>
    <t>0101B26K2672</t>
  </si>
  <si>
    <t>0101D26D2673</t>
  </si>
  <si>
    <t>0101G26S2674</t>
  </si>
  <si>
    <t>0101M26K2675</t>
  </si>
  <si>
    <t>0101A26J2676</t>
  </si>
  <si>
    <t>0101B26J2677</t>
  </si>
  <si>
    <t>0101S26A2678</t>
  </si>
  <si>
    <t>0101S26T2679</t>
  </si>
  <si>
    <t>0101P26R2680</t>
  </si>
  <si>
    <t>0101R26B2681</t>
  </si>
  <si>
    <t>0101M26K2682</t>
  </si>
  <si>
    <t>0101K26A2683</t>
  </si>
  <si>
    <t>0101R26A2684</t>
  </si>
  <si>
    <t>0101M26S2685</t>
  </si>
  <si>
    <t>0101E26K2686</t>
  </si>
  <si>
    <t>0101S26V2687</t>
  </si>
  <si>
    <t>0101T26R2688</t>
  </si>
  <si>
    <t>0101A26M2689</t>
  </si>
  <si>
    <t>0101A26B2690</t>
  </si>
  <si>
    <t>0101A26A2691</t>
  </si>
  <si>
    <t>0101P26M2692</t>
  </si>
  <si>
    <t>0101D26H2693</t>
  </si>
  <si>
    <t>0101U26H2694</t>
  </si>
  <si>
    <t>0101A26A2695</t>
  </si>
  <si>
    <t>0101M26B2696</t>
  </si>
  <si>
    <t>0101V26A2697</t>
  </si>
  <si>
    <t>0101S26A2698</t>
  </si>
  <si>
    <t>0101V26A2699</t>
  </si>
  <si>
    <t>0101S26J2700</t>
  </si>
  <si>
    <t>0101Y26S2701</t>
  </si>
  <si>
    <t>0101A26P2702</t>
  </si>
  <si>
    <t>0101J26C2703</t>
  </si>
  <si>
    <t>0101A26K2704</t>
  </si>
  <si>
    <t>0101R26M2705</t>
  </si>
  <si>
    <t>0101P26D2706</t>
  </si>
  <si>
    <t>0101A26D2707</t>
  </si>
  <si>
    <t>0101B26G2708</t>
  </si>
  <si>
    <t>0101K26D2709</t>
  </si>
  <si>
    <t>0101H26M2710</t>
  </si>
  <si>
    <t>0101R26G2711</t>
  </si>
  <si>
    <t>0101I26S2712</t>
  </si>
  <si>
    <t>0101A26L2713</t>
  </si>
  <si>
    <t>0101R26M2714</t>
  </si>
  <si>
    <t>0101P26J2715</t>
  </si>
  <si>
    <t>0101V26V2716</t>
  </si>
  <si>
    <t>0101H26S2717</t>
  </si>
  <si>
    <t>0101N26N2718</t>
  </si>
  <si>
    <t>0101A26T2719</t>
  </si>
  <si>
    <t>0101R26A2720</t>
  </si>
  <si>
    <t>0101S26J2721</t>
  </si>
  <si>
    <t>0101S26J2722</t>
  </si>
  <si>
    <t>0101A26U2723</t>
  </si>
  <si>
    <t>0101A26S2724</t>
  </si>
  <si>
    <t>0101Y26M2725</t>
  </si>
  <si>
    <t>0101N26A2726</t>
  </si>
  <si>
    <t>0101A26S2727</t>
  </si>
  <si>
    <t>0101S26S2728</t>
  </si>
  <si>
    <t>0101S26D2729</t>
  </si>
  <si>
    <t>0101A26J2730</t>
  </si>
  <si>
    <t>0101S26B2731</t>
  </si>
  <si>
    <t>0101S26C2732</t>
  </si>
  <si>
    <t>0101M26K2733</t>
  </si>
  <si>
    <t>0101R26A2734</t>
  </si>
  <si>
    <t>0101S26S2735</t>
  </si>
  <si>
    <t>0101U26A2736</t>
  </si>
  <si>
    <t>0101V26J2737</t>
  </si>
  <si>
    <t>0101J26N2738</t>
  </si>
  <si>
    <t>0101S26K2739</t>
  </si>
  <si>
    <t>0101S26M2740</t>
  </si>
  <si>
    <t>FIRST</t>
  </si>
  <si>
    <t>SECOND</t>
  </si>
  <si>
    <t>THIRD</t>
  </si>
  <si>
    <t>SEM-1</t>
  </si>
  <si>
    <t>SEM-2</t>
  </si>
  <si>
    <t>SEM-3</t>
  </si>
  <si>
    <t>SEM-4</t>
  </si>
  <si>
    <t>SEM-5</t>
  </si>
  <si>
    <t>SEM-6</t>
  </si>
  <si>
    <t>TOTAL</t>
  </si>
  <si>
    <t>STATUS</t>
  </si>
  <si>
    <t>GRADE</t>
  </si>
  <si>
    <t>SUB</t>
  </si>
  <si>
    <t>MATH</t>
  </si>
  <si>
    <t>ENGLISH</t>
  </si>
  <si>
    <t>FM</t>
  </si>
  <si>
    <t>PM</t>
  </si>
  <si>
    <t>MO</t>
  </si>
  <si>
    <t>AVG</t>
  </si>
  <si>
    <t>HM</t>
  </si>
  <si>
    <t>TM</t>
  </si>
  <si>
    <t>PERCENTAGE</t>
  </si>
  <si>
    <t>FINAL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</si>
</sst>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Aptos Narrow"/>
      <scheme val="minor"/>
    </font>
    <font>
      <sz val="11"/>
      <color rgb="FF000000"/>
      <name val="Aptos Narrow"/>
      <scheme val="minor"/>
    </font>
    <font>
      <b/>
      <sz val="11"/>
      <color theme="7"/>
      <name val="Aptos Narrow"/>
      <scheme val="minor"/>
    </font>
    <font>
      <sz val="11"/>
      <color theme="4" tint="0.39997558519241921"/>
      <name val="Aptos Narrow"/>
      <scheme val="minor"/>
    </font>
    <font>
      <sz val="11"/>
      <color theme="4" tint="-0.249977111117893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 applyFont="1" applyAlignment="1"/>
    <xf numFmtId="0" fontId="0" fillId="2" borderId="0" xfId="0" applyFont="1" applyFill="1" applyAlignment="1"/>
    <xf numFmtId="0" fontId="2" fillId="3" borderId="1" xfId="0" applyFont="1" applyFill="1" applyBorder="1" applyAlignment="1"/>
    <xf numFmtId="0" fontId="0" fillId="0" borderId="1" xfId="0" applyFont="1" applyBorder="1" applyAlignment="1"/>
    <xf numFmtId="0" fontId="3" fillId="2" borderId="0" xfId="0" applyFont="1" applyFill="1" applyAlignment="1"/>
    <xf numFmtId="0" fontId="4" fillId="5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5" borderId="1" xfId="0" applyFont="1" applyFill="1" applyBorder="1" applyAlignment="1">
      <alignment horizontal="center"/>
    </xf>
    <xf numFmtId="1" fontId="0" fillId="5" borderId="1" xfId="0" applyNumberFormat="1" applyFont="1" applyFill="1" applyBorder="1" applyAlignment="1">
      <alignment horizontal="center"/>
    </xf>
    <xf numFmtId="9" fontId="0" fillId="5" borderId="1" xfId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0</xdr:row>
      <xdr:rowOff>15240</xdr:rowOff>
    </xdr:from>
    <xdr:to>
      <xdr:col>21</xdr:col>
      <xdr:colOff>7620</xdr:colOff>
      <xdr:row>28</xdr:row>
      <xdr:rowOff>160020</xdr:rowOff>
    </xdr:to>
    <xdr:sp macro="" textlink="">
      <xdr:nvSpPr>
        <xdr:cNvPr id="2" name="Frame 1">
          <a:extLst>
            <a:ext uri="{FF2B5EF4-FFF2-40B4-BE49-F238E27FC236}">
              <a16:creationId xmlns:a16="http://schemas.microsoft.com/office/drawing/2014/main" id="{9CE641F1-F76C-485A-8C77-ABEAA8BD4B8B}"/>
            </a:ext>
          </a:extLst>
        </xdr:cNvPr>
        <xdr:cNvSpPr/>
      </xdr:nvSpPr>
      <xdr:spPr>
        <a:xfrm>
          <a:off x="22860" y="15240"/>
          <a:ext cx="14828520" cy="5052060"/>
        </a:xfrm>
        <a:prstGeom prst="frame">
          <a:avLst>
            <a:gd name="adj1" fmla="val 5864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83820</xdr:colOff>
      <xdr:row>2</xdr:row>
      <xdr:rowOff>121920</xdr:rowOff>
    </xdr:from>
    <xdr:to>
      <xdr:col>12</xdr:col>
      <xdr:colOff>175260</xdr:colOff>
      <xdr:row>4</xdr:row>
      <xdr:rowOff>83820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240C131-A6D7-4826-86FD-A4F1B7BE70BA}"/>
            </a:ext>
          </a:extLst>
        </xdr:cNvPr>
        <xdr:cNvSpPr txBox="1"/>
      </xdr:nvSpPr>
      <xdr:spPr>
        <a:xfrm>
          <a:off x="3787140" y="472440"/>
          <a:ext cx="4831080" cy="312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>
              <a:solidFill>
                <a:srgbClr val="FFFF00"/>
              </a:solidFill>
            </a:rPr>
            <a:t>THE BHAWANIPUR</a:t>
          </a:r>
          <a:r>
            <a:rPr lang="en-IN" sz="1600" baseline="0">
              <a:solidFill>
                <a:srgbClr val="FFFF00"/>
              </a:solidFill>
            </a:rPr>
            <a:t> EDUCATION SOCIETY COLLEGE </a:t>
          </a:r>
          <a:endParaRPr lang="en-IN" sz="1600">
            <a:solidFill>
              <a:srgbClr val="FFFF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EB7B8-7338-4B88-9684-43D431168926}">
  <dimension ref="C2:G1508"/>
  <sheetViews>
    <sheetView topLeftCell="A15" workbookViewId="0">
      <selection activeCell="H31" sqref="H31"/>
    </sheetView>
  </sheetViews>
  <sheetFormatPr defaultRowHeight="13.8"/>
  <cols>
    <col min="2" max="2" width="28.3984375" bestFit="1" customWidth="1"/>
    <col min="3" max="3" width="33.796875" bestFit="1" customWidth="1"/>
    <col min="7" max="7" width="13.3984375" bestFit="1" customWidth="1"/>
  </cols>
  <sheetData>
    <row r="2" spans="3:7">
      <c r="C2" t="s">
        <v>1510</v>
      </c>
      <c r="D2" t="s">
        <v>1504</v>
      </c>
      <c r="E2" t="s">
        <v>1504</v>
      </c>
      <c r="F2">
        <v>1234</v>
      </c>
      <c r="G2" t="str">
        <f>_xlfn.CONCAT("0101",D2,"26",E2,F2)</f>
        <v>0101P26P1234</v>
      </c>
    </row>
    <row r="3" spans="3:7">
      <c r="C3" t="s">
        <v>1511</v>
      </c>
      <c r="D3" t="s">
        <v>1497</v>
      </c>
      <c r="E3" t="s">
        <v>1501</v>
      </c>
      <c r="F3">
        <v>1235</v>
      </c>
      <c r="G3" t="str">
        <f t="shared" ref="G3:G66" si="0">_xlfn.CONCAT("0101",D3,"26",E3,F3)</f>
        <v>0101A26R1235</v>
      </c>
    </row>
    <row r="4" spans="3:7">
      <c r="C4" t="s">
        <v>1512</v>
      </c>
      <c r="D4" t="s">
        <v>1498</v>
      </c>
      <c r="E4" t="s">
        <v>2906</v>
      </c>
      <c r="F4">
        <v>1236</v>
      </c>
      <c r="G4" t="str">
        <f t="shared" si="0"/>
        <v>0101K26G1236</v>
      </c>
    </row>
    <row r="5" spans="3:7">
      <c r="C5" t="s">
        <v>1513</v>
      </c>
      <c r="D5" t="s">
        <v>1497</v>
      </c>
      <c r="E5" t="s">
        <v>1504</v>
      </c>
      <c r="F5">
        <v>1237</v>
      </c>
      <c r="G5" t="str">
        <f t="shared" si="0"/>
        <v>0101A26P1237</v>
      </c>
    </row>
    <row r="6" spans="3:7">
      <c r="C6" t="s">
        <v>1514</v>
      </c>
      <c r="D6" t="s">
        <v>1499</v>
      </c>
      <c r="E6" t="s">
        <v>1500</v>
      </c>
      <c r="F6">
        <v>1238</v>
      </c>
      <c r="G6" t="str">
        <f t="shared" si="0"/>
        <v>0101C26S1238</v>
      </c>
    </row>
    <row r="7" spans="3:7">
      <c r="C7" t="s">
        <v>1515</v>
      </c>
      <c r="D7" t="s">
        <v>1500</v>
      </c>
      <c r="E7" t="s">
        <v>1500</v>
      </c>
      <c r="F7">
        <v>1239</v>
      </c>
      <c r="G7" t="str">
        <f t="shared" si="0"/>
        <v>0101S26S1239</v>
      </c>
    </row>
    <row r="8" spans="3:7">
      <c r="C8" t="s">
        <v>1516</v>
      </c>
      <c r="D8" t="s">
        <v>1497</v>
      </c>
      <c r="E8" t="s">
        <v>1505</v>
      </c>
      <c r="F8">
        <v>1240</v>
      </c>
      <c r="G8" t="str">
        <f t="shared" si="0"/>
        <v>0101A26J1240</v>
      </c>
    </row>
    <row r="9" spans="3:7">
      <c r="C9" t="s">
        <v>1517</v>
      </c>
      <c r="D9" t="s">
        <v>1501</v>
      </c>
      <c r="E9" t="s">
        <v>1501</v>
      </c>
      <c r="F9">
        <v>1241</v>
      </c>
      <c r="G9" t="str">
        <f t="shared" si="0"/>
        <v>0101R26R1241</v>
      </c>
    </row>
    <row r="10" spans="3:7">
      <c r="C10" t="s">
        <v>1518</v>
      </c>
      <c r="D10" t="s">
        <v>1500</v>
      </c>
      <c r="E10" t="s">
        <v>1500</v>
      </c>
      <c r="F10">
        <v>1242</v>
      </c>
      <c r="G10" t="str">
        <f t="shared" si="0"/>
        <v>0101S26S1242</v>
      </c>
    </row>
    <row r="11" spans="3:7">
      <c r="C11" t="s">
        <v>1519</v>
      </c>
      <c r="D11" t="s">
        <v>1502</v>
      </c>
      <c r="E11" t="s">
        <v>1498</v>
      </c>
      <c r="F11">
        <v>1243</v>
      </c>
      <c r="G11" t="str">
        <f t="shared" si="0"/>
        <v>0101D26K1243</v>
      </c>
    </row>
    <row r="12" spans="3:7">
      <c r="C12" t="s">
        <v>1520</v>
      </c>
      <c r="D12" t="s">
        <v>1498</v>
      </c>
      <c r="E12" t="s">
        <v>1508</v>
      </c>
      <c r="F12">
        <v>1244</v>
      </c>
      <c r="G12" t="str">
        <f t="shared" si="0"/>
        <v>0101K26M1244</v>
      </c>
    </row>
    <row r="13" spans="3:7">
      <c r="C13" t="s">
        <v>1521</v>
      </c>
      <c r="D13" t="s">
        <v>1503</v>
      </c>
      <c r="E13" t="s">
        <v>1499</v>
      </c>
      <c r="F13">
        <v>1245</v>
      </c>
      <c r="G13" t="str">
        <f t="shared" si="0"/>
        <v>0101I26C1245</v>
      </c>
    </row>
    <row r="14" spans="3:7">
      <c r="C14" t="s">
        <v>1522</v>
      </c>
      <c r="D14" t="s">
        <v>1501</v>
      </c>
      <c r="E14" t="s">
        <v>1504</v>
      </c>
      <c r="F14">
        <v>1246</v>
      </c>
      <c r="G14" t="str">
        <f t="shared" si="0"/>
        <v>0101R26P1246</v>
      </c>
    </row>
    <row r="15" spans="3:7">
      <c r="C15" t="s">
        <v>1523</v>
      </c>
      <c r="D15" t="s">
        <v>1504</v>
      </c>
      <c r="E15" t="s">
        <v>1498</v>
      </c>
      <c r="F15">
        <v>1247</v>
      </c>
      <c r="G15" t="str">
        <f t="shared" si="0"/>
        <v>0101P26K1247</v>
      </c>
    </row>
    <row r="16" spans="3:7">
      <c r="C16" t="s">
        <v>1524</v>
      </c>
      <c r="D16" t="s">
        <v>1497</v>
      </c>
      <c r="E16" t="s">
        <v>1497</v>
      </c>
      <c r="F16">
        <v>1248</v>
      </c>
      <c r="G16" t="str">
        <f t="shared" si="0"/>
        <v>0101A26A1248</v>
      </c>
    </row>
    <row r="17" spans="3:7">
      <c r="C17" t="s">
        <v>1525</v>
      </c>
      <c r="D17" t="s">
        <v>1505</v>
      </c>
      <c r="E17" t="s">
        <v>1498</v>
      </c>
      <c r="F17">
        <v>1249</v>
      </c>
      <c r="G17" t="str">
        <f t="shared" si="0"/>
        <v>0101J26K1249</v>
      </c>
    </row>
    <row r="18" spans="3:7">
      <c r="C18" t="s">
        <v>1526</v>
      </c>
      <c r="D18" t="s">
        <v>1506</v>
      </c>
      <c r="E18" t="s">
        <v>1506</v>
      </c>
      <c r="F18">
        <v>1250</v>
      </c>
      <c r="G18" t="str">
        <f t="shared" si="0"/>
        <v>0101N26N1250</v>
      </c>
    </row>
    <row r="19" spans="3:7">
      <c r="C19" t="s">
        <v>1527</v>
      </c>
      <c r="D19" t="s">
        <v>1500</v>
      </c>
      <c r="E19" t="s">
        <v>1497</v>
      </c>
      <c r="F19">
        <v>1251</v>
      </c>
      <c r="G19" t="str">
        <f t="shared" si="0"/>
        <v>0101S26A1251</v>
      </c>
    </row>
    <row r="20" spans="3:7">
      <c r="C20" t="s">
        <v>1528</v>
      </c>
      <c r="D20" t="s">
        <v>1507</v>
      </c>
      <c r="E20" t="s">
        <v>1501</v>
      </c>
      <c r="F20">
        <v>1252</v>
      </c>
      <c r="G20" t="str">
        <f t="shared" si="0"/>
        <v>0101T26R1252</v>
      </c>
    </row>
    <row r="21" spans="3:7">
      <c r="C21" t="s">
        <v>1529</v>
      </c>
      <c r="D21" t="s">
        <v>1508</v>
      </c>
      <c r="E21" t="s">
        <v>2906</v>
      </c>
      <c r="F21">
        <v>1253</v>
      </c>
      <c r="G21" t="str">
        <f t="shared" si="0"/>
        <v>0101M26G1253</v>
      </c>
    </row>
    <row r="22" spans="3:7">
      <c r="C22" t="s">
        <v>1530</v>
      </c>
      <c r="D22" t="s">
        <v>1504</v>
      </c>
      <c r="E22" t="s">
        <v>1500</v>
      </c>
      <c r="F22">
        <v>1254</v>
      </c>
      <c r="G22" t="str">
        <f t="shared" si="0"/>
        <v>0101P26S1254</v>
      </c>
    </row>
    <row r="23" spans="3:7">
      <c r="C23" t="s">
        <v>1531</v>
      </c>
      <c r="D23" t="s">
        <v>1497</v>
      </c>
      <c r="E23" t="s">
        <v>1508</v>
      </c>
      <c r="F23">
        <v>1255</v>
      </c>
      <c r="G23" t="str">
        <f t="shared" si="0"/>
        <v>0101A26M1255</v>
      </c>
    </row>
    <row r="24" spans="3:7">
      <c r="C24" t="s">
        <v>1532</v>
      </c>
      <c r="D24" t="s">
        <v>1508</v>
      </c>
      <c r="E24" t="s">
        <v>1498</v>
      </c>
      <c r="F24">
        <v>1256</v>
      </c>
      <c r="G24" t="str">
        <f t="shared" si="0"/>
        <v>0101M26K1256</v>
      </c>
    </row>
    <row r="25" spans="3:7">
      <c r="C25" t="s">
        <v>1533</v>
      </c>
      <c r="D25" t="s">
        <v>1501</v>
      </c>
      <c r="E25" t="s">
        <v>1502</v>
      </c>
      <c r="F25">
        <v>1257</v>
      </c>
      <c r="G25" t="str">
        <f t="shared" si="0"/>
        <v>0101R26D1257</v>
      </c>
    </row>
    <row r="26" spans="3:7">
      <c r="C26" t="s">
        <v>33</v>
      </c>
      <c r="D26" t="s">
        <v>1500</v>
      </c>
      <c r="E26" t="s">
        <v>1500</v>
      </c>
      <c r="F26">
        <v>1258</v>
      </c>
      <c r="G26" t="str">
        <f t="shared" si="0"/>
        <v>0101S26S1258</v>
      </c>
    </row>
    <row r="27" spans="3:7">
      <c r="C27" t="s">
        <v>1534</v>
      </c>
      <c r="D27" t="s">
        <v>1504</v>
      </c>
      <c r="E27" t="s">
        <v>1500</v>
      </c>
      <c r="F27">
        <v>1259</v>
      </c>
      <c r="G27" t="str">
        <f t="shared" si="0"/>
        <v>0101P26S1259</v>
      </c>
    </row>
    <row r="28" spans="3:7">
      <c r="C28" t="s">
        <v>1535</v>
      </c>
      <c r="D28" t="s">
        <v>1509</v>
      </c>
      <c r="E28" t="s">
        <v>1500</v>
      </c>
      <c r="F28">
        <v>1260</v>
      </c>
      <c r="G28" t="str">
        <f t="shared" si="0"/>
        <v>0101H26S1260</v>
      </c>
    </row>
    <row r="29" spans="3:7">
      <c r="C29" t="s">
        <v>1536</v>
      </c>
      <c r="D29" t="s">
        <v>1497</v>
      </c>
      <c r="E29" t="s">
        <v>1501</v>
      </c>
      <c r="F29">
        <v>1261</v>
      </c>
      <c r="G29" t="str">
        <f t="shared" si="0"/>
        <v>0101A26R1261</v>
      </c>
    </row>
    <row r="30" spans="3:7">
      <c r="C30" t="s">
        <v>1537</v>
      </c>
      <c r="D30" t="s">
        <v>1500</v>
      </c>
      <c r="E30" t="s">
        <v>1499</v>
      </c>
      <c r="F30">
        <v>1262</v>
      </c>
      <c r="G30" t="str">
        <f t="shared" si="0"/>
        <v>0101S26C1262</v>
      </c>
    </row>
    <row r="31" spans="3:7">
      <c r="C31" t="s">
        <v>1538</v>
      </c>
      <c r="D31" t="s">
        <v>1506</v>
      </c>
      <c r="E31" t="s">
        <v>1498</v>
      </c>
      <c r="F31">
        <v>1263</v>
      </c>
      <c r="G31" t="str">
        <f t="shared" si="0"/>
        <v>0101N26K1263</v>
      </c>
    </row>
    <row r="32" spans="3:7">
      <c r="C32" t="s">
        <v>1539</v>
      </c>
      <c r="D32" t="s">
        <v>1497</v>
      </c>
      <c r="E32" t="s">
        <v>1500</v>
      </c>
      <c r="F32">
        <v>1264</v>
      </c>
      <c r="G32" t="str">
        <f t="shared" si="0"/>
        <v>0101A26S1264</v>
      </c>
    </row>
    <row r="33" spans="3:7">
      <c r="C33" t="s">
        <v>1540</v>
      </c>
      <c r="D33" t="s">
        <v>1500</v>
      </c>
      <c r="E33" t="s">
        <v>1500</v>
      </c>
      <c r="F33">
        <v>1265</v>
      </c>
      <c r="G33" t="str">
        <f t="shared" si="0"/>
        <v>0101S26S1265</v>
      </c>
    </row>
    <row r="34" spans="3:7">
      <c r="C34" t="s">
        <v>1541</v>
      </c>
      <c r="D34" t="s">
        <v>1501</v>
      </c>
      <c r="E34" t="s">
        <v>1505</v>
      </c>
      <c r="F34">
        <v>1266</v>
      </c>
      <c r="G34" t="str">
        <f t="shared" si="0"/>
        <v>0101R26J1266</v>
      </c>
    </row>
    <row r="35" spans="3:7">
      <c r="C35" t="s">
        <v>1542</v>
      </c>
      <c r="D35" t="s">
        <v>1508</v>
      </c>
      <c r="E35" t="s">
        <v>1497</v>
      </c>
      <c r="F35">
        <v>1267</v>
      </c>
      <c r="G35" t="str">
        <f t="shared" si="0"/>
        <v>0101M26A1267</v>
      </c>
    </row>
    <row r="36" spans="3:7">
      <c r="C36" t="s">
        <v>1543</v>
      </c>
      <c r="D36" t="s">
        <v>1501</v>
      </c>
      <c r="E36" t="s">
        <v>1500</v>
      </c>
      <c r="F36">
        <v>1268</v>
      </c>
      <c r="G36" t="str">
        <f t="shared" si="0"/>
        <v>0101R26S1268</v>
      </c>
    </row>
    <row r="37" spans="3:7">
      <c r="C37" t="s">
        <v>1544</v>
      </c>
      <c r="D37" t="s">
        <v>1509</v>
      </c>
      <c r="E37" t="s">
        <v>1500</v>
      </c>
      <c r="F37">
        <v>1269</v>
      </c>
      <c r="G37" t="str">
        <f t="shared" si="0"/>
        <v>0101H26S1269</v>
      </c>
    </row>
    <row r="38" spans="3:7">
      <c r="C38" t="s">
        <v>1545</v>
      </c>
      <c r="D38" t="s">
        <v>2898</v>
      </c>
      <c r="E38" t="s">
        <v>1505</v>
      </c>
      <c r="F38">
        <v>1270</v>
      </c>
      <c r="G38" t="str">
        <f t="shared" si="0"/>
        <v>0101U26J1270</v>
      </c>
    </row>
    <row r="39" spans="3:7">
      <c r="C39" t="s">
        <v>1546</v>
      </c>
      <c r="D39" t="s">
        <v>1498</v>
      </c>
      <c r="E39" t="s">
        <v>1500</v>
      </c>
      <c r="F39">
        <v>1271</v>
      </c>
      <c r="G39" t="str">
        <f t="shared" si="0"/>
        <v>0101K26S1271</v>
      </c>
    </row>
    <row r="40" spans="3:7">
      <c r="C40" t="s">
        <v>1547</v>
      </c>
      <c r="D40" t="s">
        <v>1501</v>
      </c>
      <c r="E40" t="s">
        <v>1498</v>
      </c>
      <c r="F40">
        <v>1272</v>
      </c>
      <c r="G40" t="str">
        <f t="shared" si="0"/>
        <v>0101R26K1272</v>
      </c>
    </row>
    <row r="41" spans="3:7">
      <c r="C41" t="s">
        <v>1548</v>
      </c>
      <c r="D41" t="s">
        <v>1497</v>
      </c>
      <c r="E41" t="s">
        <v>1500</v>
      </c>
      <c r="F41">
        <v>1273</v>
      </c>
      <c r="G41" t="str">
        <f t="shared" si="0"/>
        <v>0101A26S1273</v>
      </c>
    </row>
    <row r="42" spans="3:7">
      <c r="C42" t="s">
        <v>1549</v>
      </c>
      <c r="D42" t="s">
        <v>1497</v>
      </c>
      <c r="E42" t="s">
        <v>1500</v>
      </c>
      <c r="F42">
        <v>1274</v>
      </c>
      <c r="G42" t="str">
        <f t="shared" si="0"/>
        <v>0101A26S1274</v>
      </c>
    </row>
    <row r="43" spans="3:7">
      <c r="C43" t="s">
        <v>1550</v>
      </c>
      <c r="D43" t="s">
        <v>1497</v>
      </c>
      <c r="E43" t="s">
        <v>1500</v>
      </c>
      <c r="F43">
        <v>1275</v>
      </c>
      <c r="G43" t="str">
        <f t="shared" si="0"/>
        <v>0101A26S1275</v>
      </c>
    </row>
    <row r="44" spans="3:7">
      <c r="C44" t="s">
        <v>1551</v>
      </c>
      <c r="D44" t="s">
        <v>1500</v>
      </c>
      <c r="E44" t="s">
        <v>1504</v>
      </c>
      <c r="F44">
        <v>1276</v>
      </c>
      <c r="G44" t="str">
        <f t="shared" si="0"/>
        <v>0101S26P1276</v>
      </c>
    </row>
    <row r="45" spans="3:7">
      <c r="C45" t="s">
        <v>1552</v>
      </c>
      <c r="D45" t="s">
        <v>1501</v>
      </c>
      <c r="E45" t="s">
        <v>2907</v>
      </c>
      <c r="F45">
        <v>1277</v>
      </c>
      <c r="G45" t="str">
        <f t="shared" si="0"/>
        <v>0101R26Y1277</v>
      </c>
    </row>
    <row r="46" spans="3:7">
      <c r="C46" t="s">
        <v>1553</v>
      </c>
      <c r="D46" t="s">
        <v>1508</v>
      </c>
      <c r="E46" t="s">
        <v>1498</v>
      </c>
      <c r="F46">
        <v>1278</v>
      </c>
      <c r="G46" t="str">
        <f t="shared" si="0"/>
        <v>0101M26K1278</v>
      </c>
    </row>
    <row r="47" spans="3:7">
      <c r="C47" t="s">
        <v>1554</v>
      </c>
      <c r="D47" t="s">
        <v>1500</v>
      </c>
      <c r="E47" t="s">
        <v>2906</v>
      </c>
      <c r="F47">
        <v>1279</v>
      </c>
      <c r="G47" t="str">
        <f t="shared" si="0"/>
        <v>0101S26G1279</v>
      </c>
    </row>
    <row r="48" spans="3:7">
      <c r="C48" t="s">
        <v>1555</v>
      </c>
      <c r="D48" t="s">
        <v>1497</v>
      </c>
      <c r="E48" t="s">
        <v>1498</v>
      </c>
      <c r="F48">
        <v>1280</v>
      </c>
      <c r="G48" t="str">
        <f t="shared" si="0"/>
        <v>0101A26K1280</v>
      </c>
    </row>
    <row r="49" spans="3:7">
      <c r="C49" t="s">
        <v>1556</v>
      </c>
      <c r="D49" t="s">
        <v>1506</v>
      </c>
      <c r="E49" t="s">
        <v>2901</v>
      </c>
      <c r="F49">
        <v>1281</v>
      </c>
      <c r="G49" t="str">
        <f t="shared" si="0"/>
        <v>0101N26B1281</v>
      </c>
    </row>
    <row r="50" spans="3:7">
      <c r="C50" t="s">
        <v>1557</v>
      </c>
      <c r="D50" t="s">
        <v>1500</v>
      </c>
      <c r="E50" t="s">
        <v>1500</v>
      </c>
      <c r="F50">
        <v>1282</v>
      </c>
      <c r="G50" t="str">
        <f t="shared" si="0"/>
        <v>0101S26S1282</v>
      </c>
    </row>
    <row r="51" spans="3:7">
      <c r="C51" t="s">
        <v>58</v>
      </c>
      <c r="D51" t="s">
        <v>2899</v>
      </c>
      <c r="E51" t="s">
        <v>2899</v>
      </c>
      <c r="F51">
        <v>1283</v>
      </c>
      <c r="G51" t="str">
        <f t="shared" si="0"/>
        <v>0101V26V1283</v>
      </c>
    </row>
    <row r="52" spans="3:7">
      <c r="C52" t="s">
        <v>1558</v>
      </c>
      <c r="D52" t="s">
        <v>1497</v>
      </c>
      <c r="E52" t="s">
        <v>1497</v>
      </c>
      <c r="F52">
        <v>1284</v>
      </c>
      <c r="G52" t="str">
        <f t="shared" si="0"/>
        <v>0101A26A1284</v>
      </c>
    </row>
    <row r="53" spans="3:7">
      <c r="C53" t="s">
        <v>1559</v>
      </c>
      <c r="D53" t="s">
        <v>1500</v>
      </c>
      <c r="E53" t="s">
        <v>1502</v>
      </c>
      <c r="F53">
        <v>1285</v>
      </c>
      <c r="G53" t="str">
        <f t="shared" si="0"/>
        <v>0101S26D1285</v>
      </c>
    </row>
    <row r="54" spans="3:7">
      <c r="C54" t="s">
        <v>1560</v>
      </c>
      <c r="D54" t="s">
        <v>1500</v>
      </c>
      <c r="E54" t="s">
        <v>1499</v>
      </c>
      <c r="F54">
        <v>1286</v>
      </c>
      <c r="G54" t="str">
        <f t="shared" si="0"/>
        <v>0101S26C1286</v>
      </c>
    </row>
    <row r="55" spans="3:7">
      <c r="C55" t="s">
        <v>1561</v>
      </c>
      <c r="D55" t="s">
        <v>1497</v>
      </c>
      <c r="E55" t="s">
        <v>2906</v>
      </c>
      <c r="F55">
        <v>1287</v>
      </c>
      <c r="G55" t="str">
        <f t="shared" si="0"/>
        <v>0101A26G1287</v>
      </c>
    </row>
    <row r="56" spans="3:7">
      <c r="C56" t="s">
        <v>1562</v>
      </c>
      <c r="D56" t="s">
        <v>1507</v>
      </c>
      <c r="E56" t="s">
        <v>1507</v>
      </c>
      <c r="F56">
        <v>1288</v>
      </c>
      <c r="G56" t="str">
        <f t="shared" si="0"/>
        <v>0101T26T1288</v>
      </c>
    </row>
    <row r="57" spans="3:7">
      <c r="C57" t="s">
        <v>1563</v>
      </c>
      <c r="D57" t="s">
        <v>1497</v>
      </c>
      <c r="E57" t="s">
        <v>1500</v>
      </c>
      <c r="F57">
        <v>1289</v>
      </c>
      <c r="G57" t="str">
        <f t="shared" si="0"/>
        <v>0101A26S1289</v>
      </c>
    </row>
    <row r="58" spans="3:7">
      <c r="C58" t="s">
        <v>65</v>
      </c>
      <c r="D58" t="s">
        <v>1507</v>
      </c>
      <c r="E58" t="s">
        <v>1500</v>
      </c>
      <c r="F58">
        <v>1290</v>
      </c>
      <c r="G58" t="str">
        <f t="shared" si="0"/>
        <v>0101T26S1290</v>
      </c>
    </row>
    <row r="59" spans="3:7">
      <c r="C59" t="s">
        <v>1564</v>
      </c>
      <c r="D59" t="s">
        <v>1506</v>
      </c>
      <c r="E59" t="s">
        <v>1503</v>
      </c>
      <c r="F59">
        <v>1291</v>
      </c>
      <c r="G59" t="str">
        <f t="shared" si="0"/>
        <v>0101N26I1291</v>
      </c>
    </row>
    <row r="60" spans="3:7">
      <c r="C60" t="s">
        <v>1565</v>
      </c>
      <c r="D60" t="s">
        <v>1497</v>
      </c>
      <c r="E60" t="s">
        <v>1500</v>
      </c>
      <c r="F60">
        <v>1292</v>
      </c>
      <c r="G60" t="str">
        <f t="shared" si="0"/>
        <v>0101A26S1292</v>
      </c>
    </row>
    <row r="61" spans="3:7">
      <c r="C61" t="s">
        <v>1566</v>
      </c>
      <c r="D61" t="s">
        <v>1497</v>
      </c>
      <c r="E61" t="s">
        <v>1500</v>
      </c>
      <c r="F61">
        <v>1293</v>
      </c>
      <c r="G61" t="str">
        <f t="shared" si="0"/>
        <v>0101A26S1293</v>
      </c>
    </row>
    <row r="62" spans="3:7">
      <c r="C62" t="s">
        <v>1567</v>
      </c>
      <c r="D62" t="s">
        <v>1497</v>
      </c>
      <c r="E62" t="s">
        <v>1508</v>
      </c>
      <c r="F62">
        <v>1294</v>
      </c>
      <c r="G62" t="str">
        <f t="shared" si="0"/>
        <v>0101A26M1294</v>
      </c>
    </row>
    <row r="63" spans="3:7">
      <c r="C63" t="s">
        <v>70</v>
      </c>
      <c r="D63" t="s">
        <v>1500</v>
      </c>
      <c r="E63" t="s">
        <v>2901</v>
      </c>
      <c r="F63">
        <v>1295</v>
      </c>
      <c r="G63" t="str">
        <f t="shared" si="0"/>
        <v>0101S26B1295</v>
      </c>
    </row>
    <row r="64" spans="3:7">
      <c r="C64" t="s">
        <v>1568</v>
      </c>
      <c r="D64" t="s">
        <v>1497</v>
      </c>
      <c r="E64" t="s">
        <v>1500</v>
      </c>
      <c r="F64">
        <v>1296</v>
      </c>
      <c r="G64" t="str">
        <f t="shared" si="0"/>
        <v>0101A26S1296</v>
      </c>
    </row>
    <row r="65" spans="3:7">
      <c r="C65" t="s">
        <v>1569</v>
      </c>
      <c r="D65" t="s">
        <v>1502</v>
      </c>
      <c r="E65" t="s">
        <v>1498</v>
      </c>
      <c r="F65">
        <v>1297</v>
      </c>
      <c r="G65" t="str">
        <f t="shared" si="0"/>
        <v>0101D26K1297</v>
      </c>
    </row>
    <row r="66" spans="3:7">
      <c r="C66" t="s">
        <v>73</v>
      </c>
      <c r="D66" t="s">
        <v>1504</v>
      </c>
      <c r="E66" t="s">
        <v>1508</v>
      </c>
      <c r="F66">
        <v>1298</v>
      </c>
      <c r="G66" t="str">
        <f t="shared" si="0"/>
        <v>0101P26M1298</v>
      </c>
    </row>
    <row r="67" spans="3:7">
      <c r="C67" t="s">
        <v>1570</v>
      </c>
      <c r="D67" t="s">
        <v>1498</v>
      </c>
      <c r="E67" t="s">
        <v>2901</v>
      </c>
      <c r="F67">
        <v>1299</v>
      </c>
      <c r="G67" t="str">
        <f t="shared" ref="G67:G130" si="1">_xlfn.CONCAT("0101",D67,"26",E67,F67)</f>
        <v>0101K26B1299</v>
      </c>
    </row>
    <row r="68" spans="3:7">
      <c r="C68" t="s">
        <v>1571</v>
      </c>
      <c r="D68" t="s">
        <v>1497</v>
      </c>
      <c r="E68" t="s">
        <v>2898</v>
      </c>
      <c r="F68">
        <v>1300</v>
      </c>
      <c r="G68" t="str">
        <f t="shared" si="1"/>
        <v>0101A26U1300</v>
      </c>
    </row>
    <row r="69" spans="3:7">
      <c r="C69" t="s">
        <v>1572</v>
      </c>
      <c r="D69" t="s">
        <v>1500</v>
      </c>
      <c r="E69" t="s">
        <v>1500</v>
      </c>
      <c r="F69">
        <v>1301</v>
      </c>
      <c r="G69" t="str">
        <f t="shared" si="1"/>
        <v>0101S26S1301</v>
      </c>
    </row>
    <row r="70" spans="3:7">
      <c r="C70" t="s">
        <v>1573</v>
      </c>
      <c r="D70" t="s">
        <v>1500</v>
      </c>
      <c r="E70" t="s">
        <v>1503</v>
      </c>
      <c r="F70">
        <v>1302</v>
      </c>
      <c r="G70" t="str">
        <f t="shared" si="1"/>
        <v>0101S26I1302</v>
      </c>
    </row>
    <row r="71" spans="3:7">
      <c r="C71" t="s">
        <v>1574</v>
      </c>
      <c r="D71" t="s">
        <v>1500</v>
      </c>
      <c r="E71" t="s">
        <v>1500</v>
      </c>
      <c r="F71">
        <v>1303</v>
      </c>
      <c r="G71" t="str">
        <f t="shared" si="1"/>
        <v>0101S26S1303</v>
      </c>
    </row>
    <row r="72" spans="3:7">
      <c r="C72" t="s">
        <v>1575</v>
      </c>
      <c r="D72" t="s">
        <v>2900</v>
      </c>
      <c r="E72" t="s">
        <v>1497</v>
      </c>
      <c r="F72">
        <v>1304</v>
      </c>
      <c r="G72" t="str">
        <f t="shared" si="1"/>
        <v>0101Z26A1304</v>
      </c>
    </row>
    <row r="73" spans="3:7">
      <c r="C73" t="s">
        <v>1576</v>
      </c>
      <c r="D73" t="s">
        <v>1500</v>
      </c>
      <c r="E73" t="s">
        <v>1500</v>
      </c>
      <c r="F73">
        <v>1305</v>
      </c>
      <c r="G73" t="str">
        <f t="shared" si="1"/>
        <v>0101S26S1305</v>
      </c>
    </row>
    <row r="74" spans="3:7">
      <c r="C74" t="s">
        <v>1577</v>
      </c>
      <c r="D74" t="s">
        <v>1500</v>
      </c>
      <c r="E74" t="s">
        <v>1499</v>
      </c>
      <c r="F74">
        <v>1306</v>
      </c>
      <c r="G74" t="str">
        <f t="shared" si="1"/>
        <v>0101S26C1306</v>
      </c>
    </row>
    <row r="75" spans="3:7">
      <c r="C75" t="s">
        <v>1578</v>
      </c>
      <c r="D75" t="s">
        <v>1505</v>
      </c>
      <c r="E75" t="s">
        <v>1508</v>
      </c>
      <c r="F75">
        <v>1307</v>
      </c>
      <c r="G75" t="str">
        <f t="shared" si="1"/>
        <v>0101J26M1307</v>
      </c>
    </row>
    <row r="76" spans="3:7">
      <c r="C76" t="s">
        <v>1579</v>
      </c>
      <c r="D76" t="s">
        <v>1501</v>
      </c>
      <c r="E76" t="s">
        <v>1501</v>
      </c>
      <c r="F76">
        <v>1308</v>
      </c>
      <c r="G76" t="str">
        <f t="shared" si="1"/>
        <v>0101R26R1308</v>
      </c>
    </row>
    <row r="77" spans="3:7">
      <c r="C77" t="s">
        <v>1580</v>
      </c>
      <c r="D77" t="s">
        <v>1507</v>
      </c>
      <c r="E77" t="s">
        <v>1500</v>
      </c>
      <c r="F77">
        <v>1309</v>
      </c>
      <c r="G77" t="str">
        <f t="shared" si="1"/>
        <v>0101T26S1309</v>
      </c>
    </row>
    <row r="78" spans="3:7">
      <c r="C78" t="s">
        <v>1581</v>
      </c>
      <c r="D78" t="s">
        <v>1501</v>
      </c>
      <c r="E78" t="s">
        <v>1498</v>
      </c>
      <c r="F78">
        <v>1310</v>
      </c>
      <c r="G78" t="str">
        <f t="shared" si="1"/>
        <v>0101R26K1310</v>
      </c>
    </row>
    <row r="79" spans="3:7">
      <c r="C79" t="s">
        <v>1582</v>
      </c>
      <c r="D79" t="s">
        <v>1497</v>
      </c>
      <c r="E79" t="s">
        <v>1503</v>
      </c>
      <c r="F79">
        <v>1311</v>
      </c>
      <c r="G79" t="str">
        <f t="shared" si="1"/>
        <v>0101A26I1311</v>
      </c>
    </row>
    <row r="80" spans="3:7">
      <c r="C80" t="s">
        <v>1583</v>
      </c>
      <c r="D80" t="s">
        <v>2901</v>
      </c>
      <c r="E80" t="s">
        <v>1500</v>
      </c>
      <c r="F80">
        <v>1312</v>
      </c>
      <c r="G80" t="str">
        <f t="shared" si="1"/>
        <v>0101B26S1312</v>
      </c>
    </row>
    <row r="81" spans="3:7">
      <c r="C81" t="s">
        <v>1584</v>
      </c>
      <c r="D81" t="s">
        <v>1500</v>
      </c>
      <c r="E81" t="s">
        <v>1501</v>
      </c>
      <c r="F81">
        <v>1313</v>
      </c>
      <c r="G81" t="str">
        <f t="shared" si="1"/>
        <v>0101S26R1313</v>
      </c>
    </row>
    <row r="82" spans="3:7">
      <c r="C82" t="s">
        <v>1585</v>
      </c>
      <c r="D82" t="s">
        <v>1500</v>
      </c>
      <c r="E82" t="s">
        <v>1498</v>
      </c>
      <c r="F82">
        <v>1314</v>
      </c>
      <c r="G82" t="str">
        <f t="shared" si="1"/>
        <v>0101S26K1314</v>
      </c>
    </row>
    <row r="83" spans="3:7">
      <c r="C83" t="s">
        <v>1586</v>
      </c>
      <c r="D83" t="s">
        <v>1500</v>
      </c>
      <c r="E83" t="s">
        <v>1499</v>
      </c>
      <c r="F83">
        <v>1315</v>
      </c>
      <c r="G83" t="str">
        <f t="shared" si="1"/>
        <v>0101S26C1315</v>
      </c>
    </row>
    <row r="84" spans="3:7">
      <c r="C84" t="s">
        <v>1587</v>
      </c>
      <c r="D84" t="s">
        <v>1500</v>
      </c>
      <c r="E84" t="s">
        <v>1504</v>
      </c>
      <c r="F84">
        <v>1316</v>
      </c>
      <c r="G84" t="str">
        <f t="shared" si="1"/>
        <v>0101S26P1316</v>
      </c>
    </row>
    <row r="85" spans="3:7">
      <c r="C85" t="s">
        <v>1588</v>
      </c>
      <c r="D85" t="s">
        <v>1501</v>
      </c>
      <c r="E85" t="s">
        <v>2905</v>
      </c>
      <c r="F85">
        <v>1317</v>
      </c>
      <c r="G85" t="str">
        <f t="shared" si="1"/>
        <v>0101R26O1317</v>
      </c>
    </row>
    <row r="86" spans="3:7">
      <c r="C86" t="s">
        <v>93</v>
      </c>
      <c r="D86" t="s">
        <v>1500</v>
      </c>
      <c r="E86" t="s">
        <v>1500</v>
      </c>
      <c r="F86">
        <v>1318</v>
      </c>
      <c r="G86" t="str">
        <f t="shared" si="1"/>
        <v>0101S26S1318</v>
      </c>
    </row>
    <row r="87" spans="3:7">
      <c r="C87" t="s">
        <v>1589</v>
      </c>
      <c r="D87" t="s">
        <v>1500</v>
      </c>
      <c r="E87" t="s">
        <v>1505</v>
      </c>
      <c r="F87">
        <v>1319</v>
      </c>
      <c r="G87" t="str">
        <f t="shared" si="1"/>
        <v>0101S26J1319</v>
      </c>
    </row>
    <row r="88" spans="3:7">
      <c r="C88" t="s">
        <v>1590</v>
      </c>
      <c r="D88" t="s">
        <v>1501</v>
      </c>
      <c r="E88" t="s">
        <v>1505</v>
      </c>
      <c r="F88">
        <v>1320</v>
      </c>
      <c r="G88" t="str">
        <f t="shared" si="1"/>
        <v>0101R26J1320</v>
      </c>
    </row>
    <row r="89" spans="3:7">
      <c r="C89" t="s">
        <v>1591</v>
      </c>
      <c r="D89" t="s">
        <v>1501</v>
      </c>
      <c r="E89" t="s">
        <v>1500</v>
      </c>
      <c r="F89">
        <v>1321</v>
      </c>
      <c r="G89" t="str">
        <f t="shared" si="1"/>
        <v>0101R26S1321</v>
      </c>
    </row>
    <row r="90" spans="3:7">
      <c r="C90" t="s">
        <v>1592</v>
      </c>
      <c r="D90" t="s">
        <v>1497</v>
      </c>
      <c r="E90" t="s">
        <v>1499</v>
      </c>
      <c r="F90">
        <v>1322</v>
      </c>
      <c r="G90" t="str">
        <f t="shared" si="1"/>
        <v>0101A26C1322</v>
      </c>
    </row>
    <row r="91" spans="3:7">
      <c r="C91" t="s">
        <v>1593</v>
      </c>
      <c r="D91" t="s">
        <v>1509</v>
      </c>
      <c r="E91" t="s">
        <v>1509</v>
      </c>
      <c r="F91">
        <v>1323</v>
      </c>
      <c r="G91" t="str">
        <f t="shared" si="1"/>
        <v>0101H26H1323</v>
      </c>
    </row>
    <row r="92" spans="3:7">
      <c r="C92" t="s">
        <v>1594</v>
      </c>
      <c r="D92" t="s">
        <v>1501</v>
      </c>
      <c r="E92" t="s">
        <v>1508</v>
      </c>
      <c r="F92">
        <v>1324</v>
      </c>
      <c r="G92" t="str">
        <f t="shared" si="1"/>
        <v>0101R26M1324</v>
      </c>
    </row>
    <row r="93" spans="3:7">
      <c r="C93" t="s">
        <v>1595</v>
      </c>
      <c r="D93" t="s">
        <v>1500</v>
      </c>
      <c r="E93" t="s">
        <v>1501</v>
      </c>
      <c r="F93">
        <v>1325</v>
      </c>
      <c r="G93" t="str">
        <f t="shared" si="1"/>
        <v>0101S26R1325</v>
      </c>
    </row>
    <row r="94" spans="3:7">
      <c r="C94" t="s">
        <v>1596</v>
      </c>
      <c r="D94" t="s">
        <v>1498</v>
      </c>
      <c r="E94" t="s">
        <v>1505</v>
      </c>
      <c r="F94">
        <v>1326</v>
      </c>
      <c r="G94" t="str">
        <f t="shared" si="1"/>
        <v>0101K26J1326</v>
      </c>
    </row>
    <row r="95" spans="3:7">
      <c r="C95" t="s">
        <v>1597</v>
      </c>
      <c r="D95" t="s">
        <v>1497</v>
      </c>
      <c r="E95" t="s">
        <v>1498</v>
      </c>
      <c r="F95">
        <v>1327</v>
      </c>
      <c r="G95" t="str">
        <f t="shared" si="1"/>
        <v>0101A26K1327</v>
      </c>
    </row>
    <row r="96" spans="3:7">
      <c r="C96" t="s">
        <v>1598</v>
      </c>
      <c r="D96" t="s">
        <v>1497</v>
      </c>
      <c r="E96" t="s">
        <v>1498</v>
      </c>
      <c r="F96">
        <v>1328</v>
      </c>
      <c r="G96" t="str">
        <f t="shared" si="1"/>
        <v>0101A26K1328</v>
      </c>
    </row>
    <row r="97" spans="3:7">
      <c r="C97" t="s">
        <v>1599</v>
      </c>
      <c r="D97" t="s">
        <v>1498</v>
      </c>
      <c r="E97" t="s">
        <v>1508</v>
      </c>
      <c r="F97">
        <v>1329</v>
      </c>
      <c r="G97" t="str">
        <f t="shared" si="1"/>
        <v>0101K26M1329</v>
      </c>
    </row>
    <row r="98" spans="3:7">
      <c r="C98" t="s">
        <v>1600</v>
      </c>
      <c r="D98" t="s">
        <v>1497</v>
      </c>
      <c r="E98" t="s">
        <v>1505</v>
      </c>
      <c r="F98">
        <v>1330</v>
      </c>
      <c r="G98" t="str">
        <f t="shared" si="1"/>
        <v>0101A26J1330</v>
      </c>
    </row>
    <row r="99" spans="3:7">
      <c r="C99" t="s">
        <v>1601</v>
      </c>
      <c r="D99" t="s">
        <v>1501</v>
      </c>
      <c r="E99" t="s">
        <v>2906</v>
      </c>
      <c r="F99">
        <v>1331</v>
      </c>
      <c r="G99" t="str">
        <f t="shared" si="1"/>
        <v>0101R26G1331</v>
      </c>
    </row>
    <row r="100" spans="3:7">
      <c r="C100" t="s">
        <v>1602</v>
      </c>
      <c r="D100" t="s">
        <v>1504</v>
      </c>
      <c r="E100" t="s">
        <v>1508</v>
      </c>
      <c r="F100">
        <v>1332</v>
      </c>
      <c r="G100" t="str">
        <f t="shared" si="1"/>
        <v>0101P26M1332</v>
      </c>
    </row>
    <row r="101" spans="3:7">
      <c r="C101" t="s">
        <v>1603</v>
      </c>
      <c r="D101" t="s">
        <v>1502</v>
      </c>
      <c r="E101" t="s">
        <v>1497</v>
      </c>
      <c r="F101">
        <v>1333</v>
      </c>
      <c r="G101" t="str">
        <f t="shared" si="1"/>
        <v>0101D26A1333</v>
      </c>
    </row>
    <row r="102" spans="3:7">
      <c r="C102" t="s">
        <v>1604</v>
      </c>
      <c r="D102" t="s">
        <v>1497</v>
      </c>
      <c r="E102" t="s">
        <v>2899</v>
      </c>
      <c r="F102">
        <v>1334</v>
      </c>
      <c r="G102" t="str">
        <f t="shared" si="1"/>
        <v>0101A26V1334</v>
      </c>
    </row>
    <row r="103" spans="3:7">
      <c r="C103" t="s">
        <v>1605</v>
      </c>
      <c r="D103" t="s">
        <v>1500</v>
      </c>
      <c r="E103" t="s">
        <v>2906</v>
      </c>
      <c r="F103">
        <v>1335</v>
      </c>
      <c r="G103" t="str">
        <f t="shared" si="1"/>
        <v>0101S26G1335</v>
      </c>
    </row>
    <row r="104" spans="3:7">
      <c r="C104" t="s">
        <v>1606</v>
      </c>
      <c r="D104" t="s">
        <v>1509</v>
      </c>
      <c r="E104" t="s">
        <v>1500</v>
      </c>
      <c r="F104">
        <v>1336</v>
      </c>
      <c r="G104" t="str">
        <f t="shared" si="1"/>
        <v>0101H26S1336</v>
      </c>
    </row>
    <row r="105" spans="3:7">
      <c r="C105" t="s">
        <v>112</v>
      </c>
      <c r="D105" t="s">
        <v>1497</v>
      </c>
      <c r="E105" t="s">
        <v>2901</v>
      </c>
      <c r="F105">
        <v>1337</v>
      </c>
      <c r="G105" t="str">
        <f t="shared" si="1"/>
        <v>0101A26B1337</v>
      </c>
    </row>
    <row r="106" spans="3:7">
      <c r="C106" t="s">
        <v>1607</v>
      </c>
      <c r="D106" t="s">
        <v>1497</v>
      </c>
      <c r="E106" t="s">
        <v>2901</v>
      </c>
      <c r="F106">
        <v>1338</v>
      </c>
      <c r="G106" t="str">
        <f t="shared" si="1"/>
        <v>0101A26B1338</v>
      </c>
    </row>
    <row r="107" spans="3:7">
      <c r="C107" t="s">
        <v>1608</v>
      </c>
      <c r="D107" t="s">
        <v>1500</v>
      </c>
      <c r="E107" t="s">
        <v>1505</v>
      </c>
      <c r="F107">
        <v>1339</v>
      </c>
      <c r="G107" t="str">
        <f t="shared" si="1"/>
        <v>0101S26J1339</v>
      </c>
    </row>
    <row r="108" spans="3:7">
      <c r="C108" t="s">
        <v>1609</v>
      </c>
      <c r="D108" t="s">
        <v>1498</v>
      </c>
      <c r="E108" t="s">
        <v>1502</v>
      </c>
      <c r="F108">
        <v>1340</v>
      </c>
      <c r="G108" t="str">
        <f t="shared" si="1"/>
        <v>0101K26D1340</v>
      </c>
    </row>
    <row r="109" spans="3:7">
      <c r="C109" t="s">
        <v>116</v>
      </c>
      <c r="D109" t="s">
        <v>1505</v>
      </c>
      <c r="E109" t="s">
        <v>1508</v>
      </c>
      <c r="F109">
        <v>1341</v>
      </c>
      <c r="G109" t="str">
        <f t="shared" si="1"/>
        <v>0101J26M1341</v>
      </c>
    </row>
    <row r="110" spans="3:7">
      <c r="C110" t="s">
        <v>1610</v>
      </c>
      <c r="D110" t="s">
        <v>1502</v>
      </c>
      <c r="E110" t="s">
        <v>1500</v>
      </c>
      <c r="F110">
        <v>1342</v>
      </c>
      <c r="G110" t="str">
        <f t="shared" si="1"/>
        <v>0101D26S1342</v>
      </c>
    </row>
    <row r="111" spans="3:7">
      <c r="C111" t="s">
        <v>1611</v>
      </c>
      <c r="D111" t="s">
        <v>1500</v>
      </c>
      <c r="E111" t="s">
        <v>1500</v>
      </c>
      <c r="F111">
        <v>1343</v>
      </c>
      <c r="G111" t="str">
        <f t="shared" si="1"/>
        <v>0101S26S1343</v>
      </c>
    </row>
    <row r="112" spans="3:7">
      <c r="C112" t="s">
        <v>1612</v>
      </c>
      <c r="D112" t="s">
        <v>1504</v>
      </c>
      <c r="E112" t="s">
        <v>1500</v>
      </c>
      <c r="F112">
        <v>1344</v>
      </c>
      <c r="G112" t="str">
        <f t="shared" si="1"/>
        <v>0101P26S1344</v>
      </c>
    </row>
    <row r="113" spans="3:7">
      <c r="C113" t="s">
        <v>1613</v>
      </c>
      <c r="D113" t="s">
        <v>1498</v>
      </c>
      <c r="E113" t="s">
        <v>2906</v>
      </c>
      <c r="F113">
        <v>1345</v>
      </c>
      <c r="G113" t="str">
        <f t="shared" si="1"/>
        <v>0101K26G1345</v>
      </c>
    </row>
    <row r="114" spans="3:7">
      <c r="C114" t="s">
        <v>1614</v>
      </c>
      <c r="D114" t="s">
        <v>1497</v>
      </c>
      <c r="E114" t="s">
        <v>1509</v>
      </c>
      <c r="F114">
        <v>1346</v>
      </c>
      <c r="G114" t="str">
        <f t="shared" si="1"/>
        <v>0101A26H1346</v>
      </c>
    </row>
    <row r="115" spans="3:7">
      <c r="C115" t="s">
        <v>1615</v>
      </c>
      <c r="D115" t="s">
        <v>1502</v>
      </c>
      <c r="E115" t="s">
        <v>2899</v>
      </c>
      <c r="F115">
        <v>1347</v>
      </c>
      <c r="G115" t="str">
        <f t="shared" si="1"/>
        <v>0101D26V1347</v>
      </c>
    </row>
    <row r="116" spans="3:7">
      <c r="C116" t="s">
        <v>1616</v>
      </c>
      <c r="D116" t="s">
        <v>1497</v>
      </c>
      <c r="E116" t="s">
        <v>1498</v>
      </c>
      <c r="F116">
        <v>1348</v>
      </c>
      <c r="G116" t="str">
        <f t="shared" si="1"/>
        <v>0101A26K1348</v>
      </c>
    </row>
    <row r="117" spans="3:7">
      <c r="C117" t="s">
        <v>1617</v>
      </c>
      <c r="D117" t="s">
        <v>1505</v>
      </c>
      <c r="E117" t="s">
        <v>1498</v>
      </c>
      <c r="F117">
        <v>1349</v>
      </c>
      <c r="G117" t="str">
        <f t="shared" si="1"/>
        <v>0101J26K1349</v>
      </c>
    </row>
    <row r="118" spans="3:7">
      <c r="C118" t="s">
        <v>1618</v>
      </c>
      <c r="D118" t="s">
        <v>2902</v>
      </c>
      <c r="E118" t="s">
        <v>1507</v>
      </c>
      <c r="F118">
        <v>1350</v>
      </c>
      <c r="G118" t="str">
        <f t="shared" si="1"/>
        <v>0101E26T1350</v>
      </c>
    </row>
    <row r="119" spans="3:7">
      <c r="C119" t="s">
        <v>1619</v>
      </c>
      <c r="D119" t="s">
        <v>1500</v>
      </c>
      <c r="E119" t="s">
        <v>1506</v>
      </c>
      <c r="F119">
        <v>1351</v>
      </c>
      <c r="G119" t="str">
        <f t="shared" si="1"/>
        <v>0101S26N1351</v>
      </c>
    </row>
    <row r="120" spans="3:7">
      <c r="C120" t="s">
        <v>1620</v>
      </c>
      <c r="D120" t="s">
        <v>2903</v>
      </c>
      <c r="E120" t="s">
        <v>2906</v>
      </c>
      <c r="F120">
        <v>1352</v>
      </c>
      <c r="G120" t="str">
        <f t="shared" si="1"/>
        <v>0101F26G1352</v>
      </c>
    </row>
    <row r="121" spans="3:7">
      <c r="C121" t="s">
        <v>1621</v>
      </c>
      <c r="D121" t="s">
        <v>1508</v>
      </c>
      <c r="E121" t="s">
        <v>1508</v>
      </c>
      <c r="F121">
        <v>1353</v>
      </c>
      <c r="G121" t="str">
        <f t="shared" si="1"/>
        <v>0101M26M1353</v>
      </c>
    </row>
    <row r="122" spans="3:7">
      <c r="C122" t="s">
        <v>1622</v>
      </c>
      <c r="D122" t="s">
        <v>2904</v>
      </c>
      <c r="E122" t="s">
        <v>1500</v>
      </c>
      <c r="F122">
        <v>1354</v>
      </c>
      <c r="G122" t="str">
        <f t="shared" si="1"/>
        <v>0101L26S1354</v>
      </c>
    </row>
    <row r="123" spans="3:7">
      <c r="C123" t="s">
        <v>1623</v>
      </c>
      <c r="D123" t="s">
        <v>1504</v>
      </c>
      <c r="E123" t="s">
        <v>1500</v>
      </c>
      <c r="F123">
        <v>1355</v>
      </c>
      <c r="G123" t="str">
        <f t="shared" si="1"/>
        <v>0101P26S1355</v>
      </c>
    </row>
    <row r="124" spans="3:7">
      <c r="C124" t="s">
        <v>1624</v>
      </c>
      <c r="D124" t="s">
        <v>1502</v>
      </c>
      <c r="E124" t="s">
        <v>1497</v>
      </c>
      <c r="F124">
        <v>1356</v>
      </c>
      <c r="G124" t="str">
        <f t="shared" si="1"/>
        <v>0101D26A1356</v>
      </c>
    </row>
    <row r="125" spans="3:7">
      <c r="C125" t="s">
        <v>1625</v>
      </c>
      <c r="D125" t="s">
        <v>1508</v>
      </c>
      <c r="E125" t="s">
        <v>1509</v>
      </c>
      <c r="F125">
        <v>1357</v>
      </c>
      <c r="G125" t="str">
        <f t="shared" si="1"/>
        <v>0101M26H1357</v>
      </c>
    </row>
    <row r="126" spans="3:7">
      <c r="C126" t="s">
        <v>1626</v>
      </c>
      <c r="D126" t="s">
        <v>1500</v>
      </c>
      <c r="E126" t="s">
        <v>1502</v>
      </c>
      <c r="F126">
        <v>1358</v>
      </c>
      <c r="G126" t="str">
        <f t="shared" si="1"/>
        <v>0101S26D1358</v>
      </c>
    </row>
    <row r="127" spans="3:7">
      <c r="C127" t="s">
        <v>1627</v>
      </c>
      <c r="D127" t="s">
        <v>2899</v>
      </c>
      <c r="E127" t="s">
        <v>1502</v>
      </c>
      <c r="F127">
        <v>1359</v>
      </c>
      <c r="G127" t="str">
        <f t="shared" si="1"/>
        <v>0101V26D1359</v>
      </c>
    </row>
    <row r="128" spans="3:7">
      <c r="C128" t="s">
        <v>1628</v>
      </c>
      <c r="D128" t="s">
        <v>1504</v>
      </c>
      <c r="E128" t="s">
        <v>1502</v>
      </c>
      <c r="F128">
        <v>1360</v>
      </c>
      <c r="G128" t="str">
        <f t="shared" si="1"/>
        <v>0101P26D1360</v>
      </c>
    </row>
    <row r="129" spans="3:7">
      <c r="C129" t="s">
        <v>1629</v>
      </c>
      <c r="D129" t="s">
        <v>2903</v>
      </c>
      <c r="E129" t="s">
        <v>1498</v>
      </c>
      <c r="F129">
        <v>1361</v>
      </c>
      <c r="G129" t="str">
        <f t="shared" si="1"/>
        <v>0101F26K1361</v>
      </c>
    </row>
    <row r="130" spans="3:7">
      <c r="C130" t="s">
        <v>1630</v>
      </c>
      <c r="D130" t="s">
        <v>1504</v>
      </c>
      <c r="E130" t="s">
        <v>1504</v>
      </c>
      <c r="F130">
        <v>1362</v>
      </c>
      <c r="G130" t="str">
        <f t="shared" si="1"/>
        <v>0101P26P1362</v>
      </c>
    </row>
    <row r="131" spans="3:7">
      <c r="C131" t="s">
        <v>1631</v>
      </c>
      <c r="D131" t="s">
        <v>1497</v>
      </c>
      <c r="E131" t="s">
        <v>1497</v>
      </c>
      <c r="F131">
        <v>1363</v>
      </c>
      <c r="G131" t="str">
        <f t="shared" ref="G131:G194" si="2">_xlfn.CONCAT("0101",D131,"26",E131,F131)</f>
        <v>0101A26A1363</v>
      </c>
    </row>
    <row r="132" spans="3:7">
      <c r="C132" t="s">
        <v>1632</v>
      </c>
      <c r="D132" t="s">
        <v>1505</v>
      </c>
      <c r="E132" t="s">
        <v>2901</v>
      </c>
      <c r="F132">
        <v>1364</v>
      </c>
      <c r="G132" t="str">
        <f t="shared" si="2"/>
        <v>0101J26B1364</v>
      </c>
    </row>
    <row r="133" spans="3:7">
      <c r="C133" t="s">
        <v>1633</v>
      </c>
      <c r="D133" t="s">
        <v>1497</v>
      </c>
      <c r="E133" t="s">
        <v>1501</v>
      </c>
      <c r="F133">
        <v>1365</v>
      </c>
      <c r="G133" t="str">
        <f t="shared" si="2"/>
        <v>0101A26R1365</v>
      </c>
    </row>
    <row r="134" spans="3:7">
      <c r="C134" t="s">
        <v>1634</v>
      </c>
      <c r="D134" t="s">
        <v>1501</v>
      </c>
      <c r="E134" t="s">
        <v>2906</v>
      </c>
      <c r="F134">
        <v>1366</v>
      </c>
      <c r="G134" t="str">
        <f t="shared" si="2"/>
        <v>0101R26G1366</v>
      </c>
    </row>
    <row r="135" spans="3:7">
      <c r="C135" t="s">
        <v>1635</v>
      </c>
      <c r="D135" t="s">
        <v>1500</v>
      </c>
      <c r="E135" t="s">
        <v>2907</v>
      </c>
      <c r="F135">
        <v>1367</v>
      </c>
      <c r="G135" t="str">
        <f t="shared" si="2"/>
        <v>0101S26Y1367</v>
      </c>
    </row>
    <row r="136" spans="3:7">
      <c r="C136" t="s">
        <v>1636</v>
      </c>
      <c r="D136" t="s">
        <v>1500</v>
      </c>
      <c r="E136" t="s">
        <v>1501</v>
      </c>
      <c r="F136">
        <v>1368</v>
      </c>
      <c r="G136" t="str">
        <f t="shared" si="2"/>
        <v>0101S26R1368</v>
      </c>
    </row>
    <row r="137" spans="3:7">
      <c r="C137" t="s">
        <v>1637</v>
      </c>
      <c r="D137" t="s">
        <v>1500</v>
      </c>
      <c r="E137" t="s">
        <v>1505</v>
      </c>
      <c r="F137">
        <v>1369</v>
      </c>
      <c r="G137" t="str">
        <f t="shared" si="2"/>
        <v>0101S26J1369</v>
      </c>
    </row>
    <row r="138" spans="3:7">
      <c r="C138" t="s">
        <v>1638</v>
      </c>
      <c r="D138" t="s">
        <v>2898</v>
      </c>
      <c r="E138" t="s">
        <v>1497</v>
      </c>
      <c r="F138">
        <v>1370</v>
      </c>
      <c r="G138" t="str">
        <f t="shared" si="2"/>
        <v>0101U26A1370</v>
      </c>
    </row>
    <row r="139" spans="3:7">
      <c r="C139" t="s">
        <v>1639</v>
      </c>
      <c r="D139" t="s">
        <v>1506</v>
      </c>
      <c r="E139" t="s">
        <v>1505</v>
      </c>
      <c r="F139">
        <v>1371</v>
      </c>
      <c r="G139" t="str">
        <f t="shared" si="2"/>
        <v>0101N26J1371</v>
      </c>
    </row>
    <row r="140" spans="3:7">
      <c r="C140" t="s">
        <v>1640</v>
      </c>
      <c r="D140" t="s">
        <v>1505</v>
      </c>
      <c r="E140" t="s">
        <v>1500</v>
      </c>
      <c r="F140">
        <v>1372</v>
      </c>
      <c r="G140" t="str">
        <f t="shared" si="2"/>
        <v>0101J26S1372</v>
      </c>
    </row>
    <row r="141" spans="3:7">
      <c r="C141" t="s">
        <v>1641</v>
      </c>
      <c r="D141" t="s">
        <v>1500</v>
      </c>
      <c r="E141" t="s">
        <v>2906</v>
      </c>
      <c r="F141">
        <v>1373</v>
      </c>
      <c r="G141" t="str">
        <f t="shared" si="2"/>
        <v>0101S26G1373</v>
      </c>
    </row>
    <row r="142" spans="3:7">
      <c r="C142" t="s">
        <v>1642</v>
      </c>
      <c r="D142" t="s">
        <v>1500</v>
      </c>
      <c r="E142" t="s">
        <v>2906</v>
      </c>
      <c r="F142">
        <v>1374</v>
      </c>
      <c r="G142" t="str">
        <f t="shared" si="2"/>
        <v>0101S26G1374</v>
      </c>
    </row>
    <row r="143" spans="3:7">
      <c r="C143" t="s">
        <v>1643</v>
      </c>
      <c r="D143" t="s">
        <v>2899</v>
      </c>
      <c r="E143" t="s">
        <v>1500</v>
      </c>
      <c r="F143">
        <v>1375</v>
      </c>
      <c r="G143" t="str">
        <f t="shared" si="2"/>
        <v>0101V26S1375</v>
      </c>
    </row>
    <row r="144" spans="3:7">
      <c r="C144" t="s">
        <v>1644</v>
      </c>
      <c r="D144" t="s">
        <v>2901</v>
      </c>
      <c r="E144" t="s">
        <v>2906</v>
      </c>
      <c r="F144">
        <v>1376</v>
      </c>
      <c r="G144" t="str">
        <f t="shared" si="2"/>
        <v>0101B26G1376</v>
      </c>
    </row>
    <row r="145" spans="3:7">
      <c r="C145" t="s">
        <v>1645</v>
      </c>
      <c r="D145" t="s">
        <v>1499</v>
      </c>
      <c r="E145" t="s">
        <v>2901</v>
      </c>
      <c r="F145">
        <v>1377</v>
      </c>
      <c r="G145" t="str">
        <f t="shared" si="2"/>
        <v>0101C26B1377</v>
      </c>
    </row>
    <row r="146" spans="3:7">
      <c r="C146" t="s">
        <v>1646</v>
      </c>
      <c r="D146" t="s">
        <v>1503</v>
      </c>
      <c r="E146" t="s">
        <v>1509</v>
      </c>
      <c r="F146">
        <v>1378</v>
      </c>
      <c r="G146" t="str">
        <f t="shared" si="2"/>
        <v>0101I26H1378</v>
      </c>
    </row>
    <row r="147" spans="3:7">
      <c r="C147" t="s">
        <v>1647</v>
      </c>
      <c r="D147" t="s">
        <v>1500</v>
      </c>
      <c r="E147" t="s">
        <v>1500</v>
      </c>
      <c r="F147">
        <v>1379</v>
      </c>
      <c r="G147" t="str">
        <f t="shared" si="2"/>
        <v>0101S26S1379</v>
      </c>
    </row>
    <row r="148" spans="3:7">
      <c r="C148" t="s">
        <v>1648</v>
      </c>
      <c r="D148" t="s">
        <v>1497</v>
      </c>
      <c r="E148" t="s">
        <v>1500</v>
      </c>
      <c r="F148">
        <v>1380</v>
      </c>
      <c r="G148" t="str">
        <f t="shared" si="2"/>
        <v>0101A26S1380</v>
      </c>
    </row>
    <row r="149" spans="3:7">
      <c r="C149" t="s">
        <v>1649</v>
      </c>
      <c r="D149" t="s">
        <v>2905</v>
      </c>
      <c r="E149" t="s">
        <v>2901</v>
      </c>
      <c r="F149">
        <v>1381</v>
      </c>
      <c r="G149" t="str">
        <f t="shared" si="2"/>
        <v>0101O26B1381</v>
      </c>
    </row>
    <row r="150" spans="3:7">
      <c r="C150" t="s">
        <v>1650</v>
      </c>
      <c r="D150" t="s">
        <v>1502</v>
      </c>
      <c r="E150" t="s">
        <v>1502</v>
      </c>
      <c r="F150">
        <v>1382</v>
      </c>
      <c r="G150" t="str">
        <f t="shared" si="2"/>
        <v>0101D26D1382</v>
      </c>
    </row>
    <row r="151" spans="3:7">
      <c r="C151" t="s">
        <v>1651</v>
      </c>
      <c r="D151" t="s">
        <v>1500</v>
      </c>
      <c r="E151" t="s">
        <v>1500</v>
      </c>
      <c r="F151">
        <v>1383</v>
      </c>
      <c r="G151" t="str">
        <f t="shared" si="2"/>
        <v>0101S26S1383</v>
      </c>
    </row>
    <row r="152" spans="3:7">
      <c r="C152" t="s">
        <v>1652</v>
      </c>
      <c r="D152" t="s">
        <v>1507</v>
      </c>
      <c r="E152" t="s">
        <v>1509</v>
      </c>
      <c r="F152">
        <v>1384</v>
      </c>
      <c r="G152" t="str">
        <f t="shared" si="2"/>
        <v>0101T26H1384</v>
      </c>
    </row>
    <row r="153" spans="3:7">
      <c r="C153" t="s">
        <v>1653</v>
      </c>
      <c r="D153" t="s">
        <v>1508</v>
      </c>
      <c r="E153" t="s">
        <v>2901</v>
      </c>
      <c r="F153">
        <v>1385</v>
      </c>
      <c r="G153" t="str">
        <f t="shared" si="2"/>
        <v>0101M26B1385</v>
      </c>
    </row>
    <row r="154" spans="3:7">
      <c r="C154" t="s">
        <v>1654</v>
      </c>
      <c r="D154" t="s">
        <v>1497</v>
      </c>
      <c r="E154" t="s">
        <v>2906</v>
      </c>
      <c r="F154">
        <v>1386</v>
      </c>
      <c r="G154" t="str">
        <f t="shared" si="2"/>
        <v>0101A26G1386</v>
      </c>
    </row>
    <row r="155" spans="3:7">
      <c r="C155" t="s">
        <v>1408</v>
      </c>
      <c r="D155" t="s">
        <v>1504</v>
      </c>
      <c r="E155" t="s">
        <v>1497</v>
      </c>
      <c r="F155">
        <v>1387</v>
      </c>
      <c r="G155" t="str">
        <f t="shared" si="2"/>
        <v>0101P26A1387</v>
      </c>
    </row>
    <row r="156" spans="3:7">
      <c r="C156" t="s">
        <v>1655</v>
      </c>
      <c r="D156" t="s">
        <v>1504</v>
      </c>
      <c r="E156" t="s">
        <v>2903</v>
      </c>
      <c r="F156">
        <v>1388</v>
      </c>
      <c r="G156" t="str">
        <f t="shared" si="2"/>
        <v>0101P26F1388</v>
      </c>
    </row>
    <row r="157" spans="3:7">
      <c r="C157" t="s">
        <v>1656</v>
      </c>
      <c r="D157" t="s">
        <v>1500</v>
      </c>
      <c r="E157" t="s">
        <v>1504</v>
      </c>
      <c r="F157">
        <v>1389</v>
      </c>
      <c r="G157" t="str">
        <f t="shared" si="2"/>
        <v>0101S26P1389</v>
      </c>
    </row>
    <row r="158" spans="3:7">
      <c r="C158" t="s">
        <v>1657</v>
      </c>
      <c r="D158" t="s">
        <v>1499</v>
      </c>
      <c r="E158" t="s">
        <v>1497</v>
      </c>
      <c r="F158">
        <v>1390</v>
      </c>
      <c r="G158" t="str">
        <f t="shared" si="2"/>
        <v>0101C26A1390</v>
      </c>
    </row>
    <row r="159" spans="3:7">
      <c r="C159" t="s">
        <v>1658</v>
      </c>
      <c r="D159" t="s">
        <v>1501</v>
      </c>
      <c r="E159" t="s">
        <v>1499</v>
      </c>
      <c r="F159">
        <v>1391</v>
      </c>
      <c r="G159" t="str">
        <f t="shared" si="2"/>
        <v>0101R26C1391</v>
      </c>
    </row>
    <row r="160" spans="3:7">
      <c r="C160" t="s">
        <v>1659</v>
      </c>
      <c r="D160" t="s">
        <v>1507</v>
      </c>
      <c r="E160" t="s">
        <v>1502</v>
      </c>
      <c r="F160">
        <v>1392</v>
      </c>
      <c r="G160" t="str">
        <f t="shared" si="2"/>
        <v>0101T26D1392</v>
      </c>
    </row>
    <row r="161" spans="3:7">
      <c r="C161" t="s">
        <v>1660</v>
      </c>
      <c r="D161" t="s">
        <v>1497</v>
      </c>
      <c r="E161" t="s">
        <v>2906</v>
      </c>
      <c r="F161">
        <v>1393</v>
      </c>
      <c r="G161" t="str">
        <f t="shared" si="2"/>
        <v>0101A26G1393</v>
      </c>
    </row>
    <row r="162" spans="3:7">
      <c r="C162" t="s">
        <v>1661</v>
      </c>
      <c r="D162" t="s">
        <v>2898</v>
      </c>
      <c r="E162" t="s">
        <v>2901</v>
      </c>
      <c r="F162">
        <v>1394</v>
      </c>
      <c r="G162" t="str">
        <f t="shared" si="2"/>
        <v>0101U26B1394</v>
      </c>
    </row>
    <row r="163" spans="3:7">
      <c r="C163" t="s">
        <v>1662</v>
      </c>
      <c r="D163" t="s">
        <v>1502</v>
      </c>
      <c r="E163" t="s">
        <v>1497</v>
      </c>
      <c r="F163">
        <v>1395</v>
      </c>
      <c r="G163" t="str">
        <f t="shared" si="2"/>
        <v>0101D26A1395</v>
      </c>
    </row>
    <row r="164" spans="3:7">
      <c r="C164" t="s">
        <v>1663</v>
      </c>
      <c r="D164" t="s">
        <v>1498</v>
      </c>
      <c r="E164" t="s">
        <v>2901</v>
      </c>
      <c r="F164">
        <v>1396</v>
      </c>
      <c r="G164" t="str">
        <f t="shared" si="2"/>
        <v>0101K26B1396</v>
      </c>
    </row>
    <row r="165" spans="3:7">
      <c r="C165" t="s">
        <v>172</v>
      </c>
      <c r="D165" t="s">
        <v>1500</v>
      </c>
      <c r="E165" t="s">
        <v>1500</v>
      </c>
      <c r="F165">
        <v>1397</v>
      </c>
      <c r="G165" t="str">
        <f t="shared" si="2"/>
        <v>0101S26S1397</v>
      </c>
    </row>
    <row r="166" spans="3:7">
      <c r="C166" t="s">
        <v>173</v>
      </c>
      <c r="D166" t="s">
        <v>2903</v>
      </c>
      <c r="E166" t="s">
        <v>1508</v>
      </c>
      <c r="F166">
        <v>1398</v>
      </c>
      <c r="G166" t="str">
        <f t="shared" si="2"/>
        <v>0101F26M1398</v>
      </c>
    </row>
    <row r="167" spans="3:7">
      <c r="C167" t="s">
        <v>1664</v>
      </c>
      <c r="D167" t="s">
        <v>1498</v>
      </c>
      <c r="E167" t="s">
        <v>1508</v>
      </c>
      <c r="F167">
        <v>1399</v>
      </c>
      <c r="G167" t="str">
        <f t="shared" si="2"/>
        <v>0101K26M1399</v>
      </c>
    </row>
    <row r="168" spans="3:7">
      <c r="C168" t="s">
        <v>1665</v>
      </c>
      <c r="D168" t="s">
        <v>1502</v>
      </c>
      <c r="E168" t="s">
        <v>2901</v>
      </c>
      <c r="F168">
        <v>1400</v>
      </c>
      <c r="G168" t="str">
        <f t="shared" si="2"/>
        <v>0101D26B1400</v>
      </c>
    </row>
    <row r="169" spans="3:7">
      <c r="C169" t="s">
        <v>1666</v>
      </c>
      <c r="D169" t="s">
        <v>2902</v>
      </c>
      <c r="E169" t="s">
        <v>1504</v>
      </c>
      <c r="F169">
        <v>1401</v>
      </c>
      <c r="G169" t="str">
        <f t="shared" si="2"/>
        <v>0101E26P1401</v>
      </c>
    </row>
    <row r="170" spans="3:7">
      <c r="C170" t="s">
        <v>1667</v>
      </c>
      <c r="D170" t="s">
        <v>1509</v>
      </c>
      <c r="E170" t="s">
        <v>1498</v>
      </c>
      <c r="F170">
        <v>1402</v>
      </c>
      <c r="G170" t="str">
        <f t="shared" si="2"/>
        <v>0101H26K1402</v>
      </c>
    </row>
    <row r="171" spans="3:7">
      <c r="C171" t="s">
        <v>1668</v>
      </c>
      <c r="D171" t="s">
        <v>1500</v>
      </c>
      <c r="E171" t="s">
        <v>2901</v>
      </c>
      <c r="F171">
        <v>1403</v>
      </c>
      <c r="G171" t="str">
        <f t="shared" si="2"/>
        <v>0101S26B1403</v>
      </c>
    </row>
    <row r="172" spans="3:7">
      <c r="C172" t="s">
        <v>1669</v>
      </c>
      <c r="D172" t="s">
        <v>1497</v>
      </c>
      <c r="E172" t="s">
        <v>1500</v>
      </c>
      <c r="F172">
        <v>1404</v>
      </c>
      <c r="G172" t="str">
        <f t="shared" si="2"/>
        <v>0101A26S1404</v>
      </c>
    </row>
    <row r="173" spans="3:7">
      <c r="C173" t="s">
        <v>1670</v>
      </c>
      <c r="D173" t="s">
        <v>1498</v>
      </c>
      <c r="E173" t="s">
        <v>2906</v>
      </c>
      <c r="F173">
        <v>1405</v>
      </c>
      <c r="G173" t="str">
        <f t="shared" si="2"/>
        <v>0101K26G1405</v>
      </c>
    </row>
    <row r="174" spans="3:7">
      <c r="C174" t="s">
        <v>1671</v>
      </c>
      <c r="D174" t="s">
        <v>1498</v>
      </c>
      <c r="E174" t="s">
        <v>1507</v>
      </c>
      <c r="F174">
        <v>1406</v>
      </c>
      <c r="G174" t="str">
        <f t="shared" si="2"/>
        <v>0101K26T1406</v>
      </c>
    </row>
    <row r="175" spans="3:7">
      <c r="C175" t="s">
        <v>1672</v>
      </c>
      <c r="D175" t="s">
        <v>1499</v>
      </c>
      <c r="E175" t="s">
        <v>1500</v>
      </c>
      <c r="F175">
        <v>1407</v>
      </c>
      <c r="G175" t="str">
        <f t="shared" si="2"/>
        <v>0101C26S1407</v>
      </c>
    </row>
    <row r="176" spans="3:7">
      <c r="C176" t="s">
        <v>1673</v>
      </c>
      <c r="D176" t="s">
        <v>1508</v>
      </c>
      <c r="E176" t="s">
        <v>1498</v>
      </c>
      <c r="F176">
        <v>1408</v>
      </c>
      <c r="G176" t="str">
        <f t="shared" si="2"/>
        <v>0101M26K1408</v>
      </c>
    </row>
    <row r="177" spans="3:7">
      <c r="C177" t="s">
        <v>1674</v>
      </c>
      <c r="D177" t="s">
        <v>1497</v>
      </c>
      <c r="E177" t="s">
        <v>2901</v>
      </c>
      <c r="F177">
        <v>1409</v>
      </c>
      <c r="G177" t="str">
        <f t="shared" si="2"/>
        <v>0101A26B1409</v>
      </c>
    </row>
    <row r="178" spans="3:7">
      <c r="C178" t="s">
        <v>1675</v>
      </c>
      <c r="D178" t="s">
        <v>1497</v>
      </c>
      <c r="E178" t="s">
        <v>2901</v>
      </c>
      <c r="F178">
        <v>1410</v>
      </c>
      <c r="G178" t="str">
        <f t="shared" si="2"/>
        <v>0101A26B1410</v>
      </c>
    </row>
    <row r="179" spans="3:7">
      <c r="C179" t="s">
        <v>1676</v>
      </c>
      <c r="D179" t="s">
        <v>2906</v>
      </c>
      <c r="E179" t="s">
        <v>1500</v>
      </c>
      <c r="F179">
        <v>1411</v>
      </c>
      <c r="G179" t="str">
        <f t="shared" si="2"/>
        <v>0101G26S1411</v>
      </c>
    </row>
    <row r="180" spans="3:7">
      <c r="C180" t="s">
        <v>1677</v>
      </c>
      <c r="D180" t="s">
        <v>2904</v>
      </c>
      <c r="E180" t="s">
        <v>2901</v>
      </c>
      <c r="F180">
        <v>1412</v>
      </c>
      <c r="G180" t="str">
        <f t="shared" si="2"/>
        <v>0101L26B1412</v>
      </c>
    </row>
    <row r="181" spans="3:7">
      <c r="C181" t="s">
        <v>1678</v>
      </c>
      <c r="D181" t="s">
        <v>1501</v>
      </c>
      <c r="E181" t="s">
        <v>1506</v>
      </c>
      <c r="F181">
        <v>1413</v>
      </c>
      <c r="G181" t="str">
        <f t="shared" si="2"/>
        <v>0101R26N1413</v>
      </c>
    </row>
    <row r="182" spans="3:7">
      <c r="C182" t="s">
        <v>1679</v>
      </c>
      <c r="D182" t="s">
        <v>1508</v>
      </c>
      <c r="E182" t="s">
        <v>1504</v>
      </c>
      <c r="F182">
        <v>1414</v>
      </c>
      <c r="G182" t="str">
        <f t="shared" si="2"/>
        <v>0101M26P1414</v>
      </c>
    </row>
    <row r="183" spans="3:7">
      <c r="C183" t="s">
        <v>1680</v>
      </c>
      <c r="D183" t="s">
        <v>1509</v>
      </c>
      <c r="E183" t="s">
        <v>1508</v>
      </c>
      <c r="F183">
        <v>1415</v>
      </c>
      <c r="G183" t="str">
        <f t="shared" si="2"/>
        <v>0101H26M1415</v>
      </c>
    </row>
    <row r="184" spans="3:7">
      <c r="C184" t="s">
        <v>1681</v>
      </c>
      <c r="D184" t="s">
        <v>1500</v>
      </c>
      <c r="E184" t="s">
        <v>2906</v>
      </c>
      <c r="F184">
        <v>1416</v>
      </c>
      <c r="G184" t="str">
        <f t="shared" si="2"/>
        <v>0101S26G1416</v>
      </c>
    </row>
    <row r="185" spans="3:7">
      <c r="C185" t="s">
        <v>1682</v>
      </c>
      <c r="D185" t="s">
        <v>1506</v>
      </c>
      <c r="E185" t="s">
        <v>1499</v>
      </c>
      <c r="F185">
        <v>1417</v>
      </c>
      <c r="G185" t="str">
        <f t="shared" si="2"/>
        <v>0101N26C1417</v>
      </c>
    </row>
    <row r="186" spans="3:7">
      <c r="C186" t="s">
        <v>1683</v>
      </c>
      <c r="D186" t="s">
        <v>2898</v>
      </c>
      <c r="E186" t="s">
        <v>1500</v>
      </c>
      <c r="F186">
        <v>1418</v>
      </c>
      <c r="G186" t="str">
        <f t="shared" si="2"/>
        <v>0101U26S1418</v>
      </c>
    </row>
    <row r="187" spans="3:7">
      <c r="C187" t="s">
        <v>1684</v>
      </c>
      <c r="D187" t="s">
        <v>1500</v>
      </c>
      <c r="E187" t="s">
        <v>2906</v>
      </c>
      <c r="F187">
        <v>1419</v>
      </c>
      <c r="G187" t="str">
        <f t="shared" si="2"/>
        <v>0101S26G1419</v>
      </c>
    </row>
    <row r="188" spans="3:7">
      <c r="C188" t="s">
        <v>1685</v>
      </c>
      <c r="D188" t="s">
        <v>1507</v>
      </c>
      <c r="E188" t="s">
        <v>1501</v>
      </c>
      <c r="F188">
        <v>1420</v>
      </c>
      <c r="G188" t="str">
        <f t="shared" si="2"/>
        <v>0101T26R1420</v>
      </c>
    </row>
    <row r="189" spans="3:7">
      <c r="C189" t="s">
        <v>1686</v>
      </c>
      <c r="D189" t="s">
        <v>2899</v>
      </c>
      <c r="E189" t="s">
        <v>1500</v>
      </c>
      <c r="F189">
        <v>1421</v>
      </c>
      <c r="G189" t="str">
        <f t="shared" si="2"/>
        <v>0101V26S1421</v>
      </c>
    </row>
    <row r="190" spans="3:7">
      <c r="C190" t="s">
        <v>1687</v>
      </c>
      <c r="D190" t="s">
        <v>1502</v>
      </c>
      <c r="E190" t="s">
        <v>1509</v>
      </c>
      <c r="F190">
        <v>1422</v>
      </c>
      <c r="G190" t="str">
        <f t="shared" si="2"/>
        <v>0101D26H1422</v>
      </c>
    </row>
    <row r="191" spans="3:7">
      <c r="C191" t="s">
        <v>1688</v>
      </c>
      <c r="D191" t="s">
        <v>1509</v>
      </c>
      <c r="E191" t="s">
        <v>1498</v>
      </c>
      <c r="F191">
        <v>1423</v>
      </c>
      <c r="G191" t="str">
        <f t="shared" si="2"/>
        <v>0101H26K1423</v>
      </c>
    </row>
    <row r="192" spans="3:7">
      <c r="C192" t="s">
        <v>1689</v>
      </c>
      <c r="D192" t="s">
        <v>2899</v>
      </c>
      <c r="E192" t="s">
        <v>1505</v>
      </c>
      <c r="F192">
        <v>1424</v>
      </c>
      <c r="G192" t="str">
        <f t="shared" si="2"/>
        <v>0101V26J1424</v>
      </c>
    </row>
    <row r="193" spans="3:7">
      <c r="C193" t="s">
        <v>200</v>
      </c>
      <c r="D193" t="s">
        <v>2906</v>
      </c>
      <c r="E193" t="s">
        <v>1500</v>
      </c>
      <c r="F193">
        <v>1425</v>
      </c>
      <c r="G193" t="str">
        <f t="shared" si="2"/>
        <v>0101G26S1425</v>
      </c>
    </row>
    <row r="194" spans="3:7">
      <c r="C194" t="s">
        <v>1690</v>
      </c>
      <c r="D194" t="s">
        <v>1501</v>
      </c>
      <c r="E194" t="s">
        <v>1500</v>
      </c>
      <c r="F194">
        <v>1426</v>
      </c>
      <c r="G194" t="str">
        <f t="shared" si="2"/>
        <v>0101R26S1426</v>
      </c>
    </row>
    <row r="195" spans="3:7">
      <c r="C195" t="s">
        <v>1691</v>
      </c>
      <c r="D195" t="s">
        <v>1501</v>
      </c>
      <c r="E195" t="s">
        <v>1497</v>
      </c>
      <c r="F195">
        <v>1427</v>
      </c>
      <c r="G195" t="str">
        <f t="shared" ref="G195:G258" si="3">_xlfn.CONCAT("0101",D195,"26",E195,F195)</f>
        <v>0101R26A1427</v>
      </c>
    </row>
    <row r="196" spans="3:7">
      <c r="C196" t="s">
        <v>1692</v>
      </c>
      <c r="D196" t="s">
        <v>1500</v>
      </c>
      <c r="E196" t="s">
        <v>1500</v>
      </c>
      <c r="F196">
        <v>1428</v>
      </c>
      <c r="G196" t="str">
        <f t="shared" si="3"/>
        <v>0101S26S1428</v>
      </c>
    </row>
    <row r="197" spans="3:7">
      <c r="C197" t="s">
        <v>1693</v>
      </c>
      <c r="D197" t="s">
        <v>1504</v>
      </c>
      <c r="E197" t="s">
        <v>1500</v>
      </c>
      <c r="F197">
        <v>1429</v>
      </c>
      <c r="G197" t="str">
        <f t="shared" si="3"/>
        <v>0101P26S1429</v>
      </c>
    </row>
    <row r="198" spans="3:7">
      <c r="C198" t="s">
        <v>205</v>
      </c>
      <c r="D198" t="s">
        <v>1497</v>
      </c>
      <c r="E198" t="s">
        <v>1500</v>
      </c>
      <c r="F198">
        <v>1430</v>
      </c>
      <c r="G198" t="str">
        <f t="shared" si="3"/>
        <v>0101A26S1430</v>
      </c>
    </row>
    <row r="199" spans="3:7">
      <c r="C199" t="s">
        <v>1694</v>
      </c>
      <c r="D199" t="s">
        <v>2899</v>
      </c>
      <c r="E199" t="s">
        <v>1500</v>
      </c>
      <c r="F199">
        <v>1431</v>
      </c>
      <c r="G199" t="str">
        <f t="shared" si="3"/>
        <v>0101V26S1431</v>
      </c>
    </row>
    <row r="200" spans="3:7">
      <c r="C200" t="s">
        <v>1695</v>
      </c>
      <c r="D200" t="s">
        <v>1500</v>
      </c>
      <c r="E200" t="s">
        <v>1504</v>
      </c>
      <c r="F200">
        <v>1432</v>
      </c>
      <c r="G200" t="str">
        <f t="shared" si="3"/>
        <v>0101S26P1432</v>
      </c>
    </row>
    <row r="201" spans="3:7">
      <c r="C201" t="s">
        <v>1696</v>
      </c>
      <c r="D201" t="s">
        <v>1500</v>
      </c>
      <c r="E201" t="s">
        <v>2901</v>
      </c>
      <c r="F201">
        <v>1433</v>
      </c>
      <c r="G201" t="str">
        <f t="shared" si="3"/>
        <v>0101S26B1433</v>
      </c>
    </row>
    <row r="202" spans="3:7">
      <c r="C202" t="s">
        <v>1697</v>
      </c>
      <c r="D202" t="s">
        <v>2898</v>
      </c>
      <c r="E202" t="s">
        <v>2906</v>
      </c>
      <c r="F202">
        <v>1434</v>
      </c>
      <c r="G202" t="str">
        <f t="shared" si="3"/>
        <v>0101U26G1434</v>
      </c>
    </row>
    <row r="203" spans="3:7">
      <c r="C203" t="s">
        <v>1698</v>
      </c>
      <c r="D203" t="s">
        <v>2899</v>
      </c>
      <c r="E203" t="s">
        <v>1498</v>
      </c>
      <c r="F203">
        <v>1435</v>
      </c>
      <c r="G203" t="str">
        <f t="shared" si="3"/>
        <v>0101V26K1435</v>
      </c>
    </row>
    <row r="204" spans="3:7">
      <c r="C204" t="s">
        <v>1699</v>
      </c>
      <c r="D204" t="s">
        <v>1498</v>
      </c>
      <c r="E204" t="s">
        <v>2901</v>
      </c>
      <c r="F204">
        <v>1436</v>
      </c>
      <c r="G204" t="str">
        <f t="shared" si="3"/>
        <v>0101K26B1436</v>
      </c>
    </row>
    <row r="205" spans="3:7">
      <c r="C205" t="s">
        <v>1700</v>
      </c>
      <c r="D205" t="s">
        <v>2899</v>
      </c>
      <c r="E205" t="s">
        <v>1504</v>
      </c>
      <c r="F205">
        <v>1437</v>
      </c>
      <c r="G205" t="str">
        <f t="shared" si="3"/>
        <v>0101V26P1437</v>
      </c>
    </row>
    <row r="206" spans="3:7">
      <c r="C206" t="s">
        <v>1701</v>
      </c>
      <c r="D206" t="s">
        <v>2899</v>
      </c>
      <c r="E206" t="s">
        <v>1507</v>
      </c>
      <c r="F206">
        <v>1438</v>
      </c>
      <c r="G206" t="str">
        <f t="shared" si="3"/>
        <v>0101V26T1438</v>
      </c>
    </row>
    <row r="207" spans="3:7">
      <c r="C207" t="s">
        <v>214</v>
      </c>
      <c r="D207" t="s">
        <v>1500</v>
      </c>
      <c r="E207" t="s">
        <v>1500</v>
      </c>
      <c r="F207">
        <v>1439</v>
      </c>
      <c r="G207" t="str">
        <f t="shared" si="3"/>
        <v>0101S26S1439</v>
      </c>
    </row>
    <row r="208" spans="3:7">
      <c r="C208" t="s">
        <v>1702</v>
      </c>
      <c r="D208" t="s">
        <v>1500</v>
      </c>
      <c r="E208" t="s">
        <v>1505</v>
      </c>
      <c r="F208">
        <v>1440</v>
      </c>
      <c r="G208" t="str">
        <f t="shared" si="3"/>
        <v>0101S26J1440</v>
      </c>
    </row>
    <row r="209" spans="3:7">
      <c r="C209" t="s">
        <v>216</v>
      </c>
      <c r="D209" t="s">
        <v>1497</v>
      </c>
      <c r="E209" t="s">
        <v>1500</v>
      </c>
      <c r="F209">
        <v>1441</v>
      </c>
      <c r="G209" t="str">
        <f t="shared" si="3"/>
        <v>0101A26S1441</v>
      </c>
    </row>
    <row r="210" spans="3:7">
      <c r="C210" t="s">
        <v>1703</v>
      </c>
      <c r="D210" t="s">
        <v>1497</v>
      </c>
      <c r="E210" t="s">
        <v>1504</v>
      </c>
      <c r="F210">
        <v>1442</v>
      </c>
      <c r="G210" t="str">
        <f t="shared" si="3"/>
        <v>0101A26P1442</v>
      </c>
    </row>
    <row r="211" spans="3:7">
      <c r="C211" t="s">
        <v>1704</v>
      </c>
      <c r="D211" t="s">
        <v>2906</v>
      </c>
      <c r="E211" t="s">
        <v>1500</v>
      </c>
      <c r="F211">
        <v>1443</v>
      </c>
      <c r="G211" t="str">
        <f t="shared" si="3"/>
        <v>0101G26S1443</v>
      </c>
    </row>
    <row r="212" spans="3:7">
      <c r="C212" t="s">
        <v>1705</v>
      </c>
      <c r="D212" t="s">
        <v>2901</v>
      </c>
      <c r="E212" t="s">
        <v>1500</v>
      </c>
      <c r="F212">
        <v>1444</v>
      </c>
      <c r="G212" t="str">
        <f t="shared" si="3"/>
        <v>0101B26S1444</v>
      </c>
    </row>
    <row r="213" spans="3:7">
      <c r="C213" t="s">
        <v>1706</v>
      </c>
      <c r="D213" t="s">
        <v>1500</v>
      </c>
      <c r="E213" t="s">
        <v>1505</v>
      </c>
      <c r="F213">
        <v>1445</v>
      </c>
      <c r="G213" t="str">
        <f t="shared" si="3"/>
        <v>0101S26J1445</v>
      </c>
    </row>
    <row r="214" spans="3:7">
      <c r="C214" t="s">
        <v>1707</v>
      </c>
      <c r="D214" t="s">
        <v>1497</v>
      </c>
      <c r="E214" t="s">
        <v>1500</v>
      </c>
      <c r="F214">
        <v>1446</v>
      </c>
      <c r="G214" t="str">
        <f t="shared" si="3"/>
        <v>0101A26S1446</v>
      </c>
    </row>
    <row r="215" spans="3:7">
      <c r="C215" t="s">
        <v>1708</v>
      </c>
      <c r="D215" t="s">
        <v>1501</v>
      </c>
      <c r="E215" t="s">
        <v>1504</v>
      </c>
      <c r="F215">
        <v>1447</v>
      </c>
      <c r="G215" t="str">
        <f t="shared" si="3"/>
        <v>0101R26P1447</v>
      </c>
    </row>
    <row r="216" spans="3:7">
      <c r="C216" t="s">
        <v>223</v>
      </c>
      <c r="D216" t="s">
        <v>1497</v>
      </c>
      <c r="E216" t="s">
        <v>1500</v>
      </c>
      <c r="F216">
        <v>1448</v>
      </c>
      <c r="G216" t="str">
        <f t="shared" si="3"/>
        <v>0101A26S1448</v>
      </c>
    </row>
    <row r="217" spans="3:7">
      <c r="C217" t="s">
        <v>1709</v>
      </c>
      <c r="D217" t="s">
        <v>1503</v>
      </c>
      <c r="E217" t="s">
        <v>1505</v>
      </c>
      <c r="F217">
        <v>1449</v>
      </c>
      <c r="G217" t="str">
        <f t="shared" si="3"/>
        <v>0101I26J1449</v>
      </c>
    </row>
    <row r="218" spans="3:7">
      <c r="C218" t="s">
        <v>1710</v>
      </c>
      <c r="D218" t="s">
        <v>1500</v>
      </c>
      <c r="E218" t="s">
        <v>1505</v>
      </c>
      <c r="F218">
        <v>1450</v>
      </c>
      <c r="G218" t="str">
        <f t="shared" si="3"/>
        <v>0101S26J1450</v>
      </c>
    </row>
    <row r="219" spans="3:7">
      <c r="C219" t="s">
        <v>1711</v>
      </c>
      <c r="D219" t="s">
        <v>1506</v>
      </c>
      <c r="E219" t="s">
        <v>2906</v>
      </c>
      <c r="F219">
        <v>1451</v>
      </c>
      <c r="G219" t="str">
        <f t="shared" si="3"/>
        <v>0101N26G1451</v>
      </c>
    </row>
    <row r="220" spans="3:7">
      <c r="C220" t="s">
        <v>1712</v>
      </c>
      <c r="D220" t="s">
        <v>1501</v>
      </c>
      <c r="E220" t="s">
        <v>1508</v>
      </c>
      <c r="F220">
        <v>1452</v>
      </c>
      <c r="G220" t="str">
        <f t="shared" si="3"/>
        <v>0101R26M1452</v>
      </c>
    </row>
    <row r="221" spans="3:7">
      <c r="C221" t="s">
        <v>1713</v>
      </c>
      <c r="D221" t="s">
        <v>1499</v>
      </c>
      <c r="E221" t="s">
        <v>2904</v>
      </c>
      <c r="F221">
        <v>1453</v>
      </c>
      <c r="G221" t="str">
        <f t="shared" si="3"/>
        <v>0101C26L1453</v>
      </c>
    </row>
    <row r="222" spans="3:7">
      <c r="C222" t="s">
        <v>1714</v>
      </c>
      <c r="D222" t="s">
        <v>1498</v>
      </c>
      <c r="E222" t="s">
        <v>2901</v>
      </c>
      <c r="F222">
        <v>1454</v>
      </c>
      <c r="G222" t="str">
        <f t="shared" si="3"/>
        <v>0101K26B1454</v>
      </c>
    </row>
    <row r="223" spans="3:7">
      <c r="C223" t="s">
        <v>1715</v>
      </c>
      <c r="D223" t="s">
        <v>1498</v>
      </c>
      <c r="E223" t="s">
        <v>1502</v>
      </c>
      <c r="F223">
        <v>1455</v>
      </c>
      <c r="G223" t="str">
        <f t="shared" si="3"/>
        <v>0101K26D1455</v>
      </c>
    </row>
    <row r="224" spans="3:7">
      <c r="C224" t="s">
        <v>1716</v>
      </c>
      <c r="D224" t="s">
        <v>1497</v>
      </c>
      <c r="E224" t="s">
        <v>1500</v>
      </c>
      <c r="F224">
        <v>1456</v>
      </c>
      <c r="G224" t="str">
        <f t="shared" si="3"/>
        <v>0101A26S1456</v>
      </c>
    </row>
    <row r="225" spans="3:7">
      <c r="C225" t="s">
        <v>1717</v>
      </c>
      <c r="D225" t="s">
        <v>1497</v>
      </c>
      <c r="E225" t="s">
        <v>1500</v>
      </c>
      <c r="F225">
        <v>1457</v>
      </c>
      <c r="G225" t="str">
        <f t="shared" si="3"/>
        <v>0101A26S1457</v>
      </c>
    </row>
    <row r="226" spans="3:7">
      <c r="C226" t="s">
        <v>1718</v>
      </c>
      <c r="D226" t="s">
        <v>1502</v>
      </c>
      <c r="E226" t="s">
        <v>1504</v>
      </c>
      <c r="F226">
        <v>1458</v>
      </c>
      <c r="G226" t="str">
        <f t="shared" si="3"/>
        <v>0101D26P1458</v>
      </c>
    </row>
    <row r="227" spans="3:7">
      <c r="C227" t="s">
        <v>1719</v>
      </c>
      <c r="D227" t="s">
        <v>1501</v>
      </c>
      <c r="E227" t="s">
        <v>1499</v>
      </c>
      <c r="F227">
        <v>1459</v>
      </c>
      <c r="G227" t="str">
        <f t="shared" si="3"/>
        <v>0101R26C1459</v>
      </c>
    </row>
    <row r="228" spans="3:7">
      <c r="C228" t="s">
        <v>1720</v>
      </c>
      <c r="D228" t="s">
        <v>2899</v>
      </c>
      <c r="E228" t="s">
        <v>1507</v>
      </c>
      <c r="F228">
        <v>1460</v>
      </c>
      <c r="G228" t="str">
        <f t="shared" si="3"/>
        <v>0101V26T1460</v>
      </c>
    </row>
    <row r="229" spans="3:7">
      <c r="C229" t="s">
        <v>1721</v>
      </c>
      <c r="D229" t="s">
        <v>1500</v>
      </c>
      <c r="E229" t="s">
        <v>2906</v>
      </c>
      <c r="F229">
        <v>1461</v>
      </c>
      <c r="G229" t="str">
        <f t="shared" si="3"/>
        <v>0101S26G1461</v>
      </c>
    </row>
    <row r="230" spans="3:7">
      <c r="C230" t="s">
        <v>1722</v>
      </c>
      <c r="D230" t="s">
        <v>1505</v>
      </c>
      <c r="E230" t="s">
        <v>2906</v>
      </c>
      <c r="F230">
        <v>1462</v>
      </c>
      <c r="G230" t="str">
        <f t="shared" si="3"/>
        <v>0101J26G1462</v>
      </c>
    </row>
    <row r="231" spans="3:7">
      <c r="C231" t="s">
        <v>238</v>
      </c>
      <c r="D231" t="s">
        <v>1504</v>
      </c>
      <c r="E231" t="s">
        <v>2908</v>
      </c>
      <c r="F231">
        <v>1463</v>
      </c>
      <c r="G231" t="str">
        <f t="shared" si="3"/>
        <v>0101P26W1463</v>
      </c>
    </row>
    <row r="232" spans="3:7">
      <c r="C232" t="s">
        <v>1723</v>
      </c>
      <c r="D232" t="s">
        <v>1504</v>
      </c>
      <c r="E232" t="s">
        <v>1498</v>
      </c>
      <c r="F232">
        <v>1464</v>
      </c>
      <c r="G232" t="str">
        <f t="shared" si="3"/>
        <v>0101P26K1464</v>
      </c>
    </row>
    <row r="233" spans="3:7">
      <c r="C233" t="s">
        <v>1724</v>
      </c>
      <c r="D233" t="s">
        <v>1497</v>
      </c>
      <c r="E233" t="s">
        <v>1499</v>
      </c>
      <c r="F233">
        <v>1465</v>
      </c>
      <c r="G233" t="str">
        <f t="shared" si="3"/>
        <v>0101A26C1465</v>
      </c>
    </row>
    <row r="234" spans="3:7">
      <c r="C234" t="s">
        <v>1725</v>
      </c>
      <c r="D234" t="s">
        <v>1504</v>
      </c>
      <c r="E234" t="s">
        <v>1497</v>
      </c>
      <c r="F234">
        <v>1466</v>
      </c>
      <c r="G234" t="str">
        <f t="shared" si="3"/>
        <v>0101P26A1466</v>
      </c>
    </row>
    <row r="235" spans="3:7">
      <c r="C235" t="s">
        <v>1726</v>
      </c>
      <c r="D235" t="s">
        <v>1504</v>
      </c>
      <c r="E235" t="s">
        <v>1505</v>
      </c>
      <c r="F235">
        <v>1467</v>
      </c>
      <c r="G235" t="str">
        <f t="shared" si="3"/>
        <v>0101P26J1467</v>
      </c>
    </row>
    <row r="236" spans="3:7">
      <c r="C236" t="s">
        <v>1727</v>
      </c>
      <c r="D236" t="s">
        <v>1504</v>
      </c>
      <c r="E236" t="s">
        <v>1499</v>
      </c>
      <c r="F236">
        <v>1468</v>
      </c>
      <c r="G236" t="str">
        <f t="shared" si="3"/>
        <v>0101P26C1468</v>
      </c>
    </row>
    <row r="237" spans="3:7">
      <c r="C237" t="s">
        <v>1728</v>
      </c>
      <c r="D237" t="s">
        <v>1497</v>
      </c>
      <c r="E237" t="s">
        <v>1498</v>
      </c>
      <c r="F237">
        <v>1469</v>
      </c>
      <c r="G237" t="str">
        <f t="shared" si="3"/>
        <v>0101A26K1469</v>
      </c>
    </row>
    <row r="238" spans="3:7">
      <c r="C238" t="s">
        <v>1729</v>
      </c>
      <c r="D238" t="s">
        <v>1500</v>
      </c>
      <c r="E238" t="s">
        <v>1508</v>
      </c>
      <c r="F238">
        <v>1470</v>
      </c>
      <c r="G238" t="str">
        <f t="shared" si="3"/>
        <v>0101S26M1470</v>
      </c>
    </row>
    <row r="239" spans="3:7">
      <c r="C239" t="s">
        <v>1730</v>
      </c>
      <c r="D239" t="s">
        <v>1497</v>
      </c>
      <c r="E239" t="s">
        <v>1497</v>
      </c>
      <c r="F239">
        <v>1471</v>
      </c>
      <c r="G239" t="str">
        <f t="shared" si="3"/>
        <v>0101A26A1471</v>
      </c>
    </row>
    <row r="240" spans="3:7">
      <c r="C240" t="s">
        <v>1731</v>
      </c>
      <c r="D240" t="s">
        <v>1497</v>
      </c>
      <c r="E240" t="s">
        <v>2902</v>
      </c>
      <c r="F240">
        <v>1472</v>
      </c>
      <c r="G240" t="str">
        <f t="shared" si="3"/>
        <v>0101A26E1472</v>
      </c>
    </row>
    <row r="241" spans="3:7">
      <c r="C241" t="s">
        <v>1732</v>
      </c>
      <c r="D241" t="s">
        <v>1508</v>
      </c>
      <c r="E241" t="s">
        <v>1504</v>
      </c>
      <c r="F241">
        <v>1473</v>
      </c>
      <c r="G241" t="str">
        <f t="shared" si="3"/>
        <v>0101M26P1473</v>
      </c>
    </row>
    <row r="242" spans="3:7">
      <c r="C242" t="s">
        <v>1733</v>
      </c>
      <c r="D242" t="s">
        <v>1500</v>
      </c>
      <c r="E242" t="s">
        <v>2901</v>
      </c>
      <c r="F242">
        <v>1474</v>
      </c>
      <c r="G242" t="str">
        <f t="shared" si="3"/>
        <v>0101S26B1474</v>
      </c>
    </row>
    <row r="243" spans="3:7">
      <c r="C243" t="s">
        <v>1734</v>
      </c>
      <c r="D243" t="s">
        <v>1501</v>
      </c>
      <c r="E243" t="s">
        <v>1498</v>
      </c>
      <c r="F243">
        <v>1475</v>
      </c>
      <c r="G243" t="str">
        <f t="shared" si="3"/>
        <v>0101R26K1475</v>
      </c>
    </row>
    <row r="244" spans="3:7">
      <c r="C244" t="s">
        <v>1735</v>
      </c>
      <c r="D244" t="s">
        <v>1508</v>
      </c>
      <c r="E244" t="s">
        <v>1500</v>
      </c>
      <c r="F244">
        <v>1476</v>
      </c>
      <c r="G244" t="str">
        <f t="shared" si="3"/>
        <v>0101M26S1476</v>
      </c>
    </row>
    <row r="245" spans="3:7">
      <c r="C245" t="s">
        <v>1736</v>
      </c>
      <c r="D245" t="s">
        <v>1506</v>
      </c>
      <c r="E245" t="s">
        <v>1498</v>
      </c>
      <c r="F245">
        <v>1477</v>
      </c>
      <c r="G245" t="str">
        <f t="shared" si="3"/>
        <v>0101N26K1477</v>
      </c>
    </row>
    <row r="246" spans="3:7">
      <c r="C246" t="s">
        <v>1737</v>
      </c>
      <c r="D246" t="s">
        <v>1497</v>
      </c>
      <c r="E246" t="s">
        <v>1505</v>
      </c>
      <c r="F246">
        <v>1478</v>
      </c>
      <c r="G246" t="str">
        <f t="shared" si="3"/>
        <v>0101A26J1478</v>
      </c>
    </row>
    <row r="247" spans="3:7">
      <c r="C247" t="s">
        <v>1738</v>
      </c>
      <c r="D247" t="s">
        <v>1497</v>
      </c>
      <c r="E247" t="s">
        <v>1504</v>
      </c>
      <c r="F247">
        <v>1479</v>
      </c>
      <c r="G247" t="str">
        <f t="shared" si="3"/>
        <v>0101A26P1479</v>
      </c>
    </row>
    <row r="248" spans="3:7">
      <c r="C248" t="s">
        <v>1739</v>
      </c>
      <c r="D248" t="s">
        <v>1508</v>
      </c>
      <c r="E248" t="s">
        <v>1498</v>
      </c>
      <c r="F248">
        <v>1480</v>
      </c>
      <c r="G248" t="str">
        <f t="shared" si="3"/>
        <v>0101M26K1480</v>
      </c>
    </row>
    <row r="249" spans="3:7">
      <c r="C249" t="s">
        <v>1740</v>
      </c>
      <c r="D249" t="s">
        <v>1497</v>
      </c>
      <c r="E249" t="s">
        <v>1498</v>
      </c>
      <c r="F249">
        <v>1481</v>
      </c>
      <c r="G249" t="str">
        <f t="shared" si="3"/>
        <v>0101A26K1481</v>
      </c>
    </row>
    <row r="250" spans="3:7">
      <c r="C250" t="s">
        <v>1741</v>
      </c>
      <c r="D250" t="s">
        <v>1508</v>
      </c>
      <c r="E250" t="s">
        <v>1505</v>
      </c>
      <c r="F250">
        <v>1482</v>
      </c>
      <c r="G250" t="str">
        <f t="shared" si="3"/>
        <v>0101M26J1482</v>
      </c>
    </row>
    <row r="251" spans="3:7">
      <c r="C251" t="s">
        <v>1742</v>
      </c>
      <c r="D251" t="s">
        <v>1501</v>
      </c>
      <c r="E251" t="s">
        <v>1498</v>
      </c>
      <c r="F251">
        <v>1483</v>
      </c>
      <c r="G251" t="str">
        <f t="shared" si="3"/>
        <v>0101R26K1483</v>
      </c>
    </row>
    <row r="252" spans="3:7">
      <c r="C252" t="s">
        <v>1743</v>
      </c>
      <c r="D252" t="s">
        <v>1501</v>
      </c>
      <c r="E252" t="s">
        <v>1497</v>
      </c>
      <c r="F252">
        <v>1484</v>
      </c>
      <c r="G252" t="str">
        <f t="shared" si="3"/>
        <v>0101R26A1484</v>
      </c>
    </row>
    <row r="253" spans="3:7">
      <c r="C253" t="s">
        <v>1744</v>
      </c>
      <c r="D253" t="s">
        <v>1501</v>
      </c>
      <c r="E253" t="s">
        <v>1501</v>
      </c>
      <c r="F253">
        <v>1485</v>
      </c>
      <c r="G253" t="str">
        <f t="shared" si="3"/>
        <v>0101R26R1485</v>
      </c>
    </row>
    <row r="254" spans="3:7">
      <c r="C254" t="s">
        <v>1745</v>
      </c>
      <c r="D254" t="s">
        <v>2898</v>
      </c>
      <c r="E254" t="s">
        <v>1500</v>
      </c>
      <c r="F254">
        <v>1486</v>
      </c>
      <c r="G254" t="str">
        <f t="shared" si="3"/>
        <v>0101U26S1486</v>
      </c>
    </row>
    <row r="255" spans="3:7">
      <c r="C255" t="s">
        <v>1746</v>
      </c>
      <c r="D255" t="s">
        <v>1497</v>
      </c>
      <c r="E255" t="s">
        <v>2906</v>
      </c>
      <c r="F255">
        <v>1487</v>
      </c>
      <c r="G255" t="str">
        <f t="shared" si="3"/>
        <v>0101A26G1487</v>
      </c>
    </row>
    <row r="256" spans="3:7">
      <c r="C256" t="s">
        <v>1747</v>
      </c>
      <c r="D256" t="s">
        <v>1497</v>
      </c>
      <c r="E256" t="s">
        <v>1501</v>
      </c>
      <c r="F256">
        <v>1488</v>
      </c>
      <c r="G256" t="str">
        <f t="shared" si="3"/>
        <v>0101A26R1488</v>
      </c>
    </row>
    <row r="257" spans="3:7">
      <c r="C257" t="s">
        <v>1748</v>
      </c>
      <c r="D257" t="s">
        <v>1500</v>
      </c>
      <c r="E257" t="s">
        <v>1500</v>
      </c>
      <c r="F257">
        <v>1489</v>
      </c>
      <c r="G257" t="str">
        <f t="shared" si="3"/>
        <v>0101S26S1489</v>
      </c>
    </row>
    <row r="258" spans="3:7">
      <c r="C258" t="s">
        <v>1749</v>
      </c>
      <c r="D258" t="s">
        <v>1497</v>
      </c>
      <c r="E258" t="s">
        <v>1497</v>
      </c>
      <c r="F258">
        <v>1490</v>
      </c>
      <c r="G258" t="str">
        <f t="shared" si="3"/>
        <v>0101A26A1490</v>
      </c>
    </row>
    <row r="259" spans="3:7">
      <c r="C259" t="s">
        <v>1750</v>
      </c>
      <c r="D259" t="s">
        <v>1502</v>
      </c>
      <c r="E259" t="s">
        <v>2901</v>
      </c>
      <c r="F259">
        <v>1491</v>
      </c>
      <c r="G259" t="str">
        <f t="shared" ref="G259:G322" si="4">_xlfn.CONCAT("0101",D259,"26",E259,F259)</f>
        <v>0101D26B1491</v>
      </c>
    </row>
    <row r="260" spans="3:7">
      <c r="C260" t="s">
        <v>1751</v>
      </c>
      <c r="D260" t="s">
        <v>1504</v>
      </c>
      <c r="E260" t="s">
        <v>1504</v>
      </c>
      <c r="F260">
        <v>1492</v>
      </c>
      <c r="G260" t="str">
        <f t="shared" si="4"/>
        <v>0101P26P1492</v>
      </c>
    </row>
    <row r="261" spans="3:7">
      <c r="C261" t="s">
        <v>1752</v>
      </c>
      <c r="D261" t="s">
        <v>1498</v>
      </c>
      <c r="E261" t="s">
        <v>2901</v>
      </c>
      <c r="F261">
        <v>1493</v>
      </c>
      <c r="G261" t="str">
        <f t="shared" si="4"/>
        <v>0101K26B1493</v>
      </c>
    </row>
    <row r="262" spans="3:7">
      <c r="C262" t="s">
        <v>1753</v>
      </c>
      <c r="D262" t="s">
        <v>1500</v>
      </c>
      <c r="E262" t="s">
        <v>1497</v>
      </c>
      <c r="F262">
        <v>1494</v>
      </c>
      <c r="G262" t="str">
        <f t="shared" si="4"/>
        <v>0101S26A1494</v>
      </c>
    </row>
    <row r="263" spans="3:7">
      <c r="C263" t="s">
        <v>1754</v>
      </c>
      <c r="D263" t="s">
        <v>1508</v>
      </c>
      <c r="E263" t="s">
        <v>1505</v>
      </c>
      <c r="F263">
        <v>1495</v>
      </c>
      <c r="G263" t="str">
        <f t="shared" si="4"/>
        <v>0101M26J1495</v>
      </c>
    </row>
    <row r="264" spans="3:7">
      <c r="C264" t="s">
        <v>1755</v>
      </c>
      <c r="D264" t="s">
        <v>1500</v>
      </c>
      <c r="E264" t="s">
        <v>2903</v>
      </c>
      <c r="F264">
        <v>1496</v>
      </c>
      <c r="G264" t="str">
        <f t="shared" si="4"/>
        <v>0101S26F1496</v>
      </c>
    </row>
    <row r="265" spans="3:7">
      <c r="C265" t="s">
        <v>1756</v>
      </c>
      <c r="D265" t="s">
        <v>2907</v>
      </c>
      <c r="E265" t="s">
        <v>1498</v>
      </c>
      <c r="F265">
        <v>1497</v>
      </c>
      <c r="G265" t="str">
        <f t="shared" si="4"/>
        <v>0101Y26K1497</v>
      </c>
    </row>
    <row r="266" spans="3:7">
      <c r="C266" t="s">
        <v>1757</v>
      </c>
      <c r="D266" t="s">
        <v>1508</v>
      </c>
      <c r="E266" t="s">
        <v>1497</v>
      </c>
      <c r="F266">
        <v>1498</v>
      </c>
      <c r="G266" t="str">
        <f t="shared" si="4"/>
        <v>0101M26A1498</v>
      </c>
    </row>
    <row r="267" spans="3:7">
      <c r="C267" t="s">
        <v>1758</v>
      </c>
      <c r="D267" t="s">
        <v>1506</v>
      </c>
      <c r="E267" t="s">
        <v>1497</v>
      </c>
      <c r="F267">
        <v>1499</v>
      </c>
      <c r="G267" t="str">
        <f t="shared" si="4"/>
        <v>0101N26A1499</v>
      </c>
    </row>
    <row r="268" spans="3:7">
      <c r="C268" t="s">
        <v>1759</v>
      </c>
      <c r="D268" t="s">
        <v>2907</v>
      </c>
      <c r="E268" t="s">
        <v>1499</v>
      </c>
      <c r="F268">
        <v>1500</v>
      </c>
      <c r="G268" t="str">
        <f t="shared" si="4"/>
        <v>0101Y26C1500</v>
      </c>
    </row>
    <row r="269" spans="3:7">
      <c r="C269" t="s">
        <v>1760</v>
      </c>
      <c r="D269" t="s">
        <v>1508</v>
      </c>
      <c r="E269" t="s">
        <v>1500</v>
      </c>
      <c r="F269">
        <v>1501</v>
      </c>
      <c r="G269" t="str">
        <f t="shared" si="4"/>
        <v>0101M26S1501</v>
      </c>
    </row>
    <row r="270" spans="3:7">
      <c r="C270" t="s">
        <v>1761</v>
      </c>
      <c r="D270" t="s">
        <v>1498</v>
      </c>
      <c r="E270" t="s">
        <v>1500</v>
      </c>
      <c r="F270">
        <v>1502</v>
      </c>
      <c r="G270" t="str">
        <f t="shared" si="4"/>
        <v>0101K26S1502</v>
      </c>
    </row>
    <row r="271" spans="3:7">
      <c r="C271" t="s">
        <v>1762</v>
      </c>
      <c r="D271" t="s">
        <v>1508</v>
      </c>
      <c r="E271" t="s">
        <v>1500</v>
      </c>
      <c r="F271">
        <v>1503</v>
      </c>
      <c r="G271" t="str">
        <f t="shared" si="4"/>
        <v>0101M26S1503</v>
      </c>
    </row>
    <row r="272" spans="3:7">
      <c r="C272" t="s">
        <v>1763</v>
      </c>
      <c r="D272" t="s">
        <v>1501</v>
      </c>
      <c r="E272" t="s">
        <v>1499</v>
      </c>
      <c r="F272">
        <v>1504</v>
      </c>
      <c r="G272" t="str">
        <f t="shared" si="4"/>
        <v>0101R26C1504</v>
      </c>
    </row>
    <row r="273" spans="3:7">
      <c r="C273" t="s">
        <v>1764</v>
      </c>
      <c r="D273" t="s">
        <v>1498</v>
      </c>
      <c r="E273" t="s">
        <v>1508</v>
      </c>
      <c r="F273">
        <v>1505</v>
      </c>
      <c r="G273" t="str">
        <f t="shared" si="4"/>
        <v>0101K26M1505</v>
      </c>
    </row>
    <row r="274" spans="3:7">
      <c r="C274" t="s">
        <v>1765</v>
      </c>
      <c r="D274" t="s">
        <v>2900</v>
      </c>
      <c r="E274" t="s">
        <v>2902</v>
      </c>
      <c r="F274">
        <v>1506</v>
      </c>
      <c r="G274" t="str">
        <f t="shared" si="4"/>
        <v>0101Z26E1506</v>
      </c>
    </row>
    <row r="275" spans="3:7">
      <c r="C275" t="s">
        <v>1766</v>
      </c>
      <c r="D275" t="s">
        <v>1504</v>
      </c>
      <c r="E275" t="s">
        <v>1508</v>
      </c>
      <c r="F275">
        <v>1507</v>
      </c>
      <c r="G275" t="str">
        <f t="shared" si="4"/>
        <v>0101P26M1507</v>
      </c>
    </row>
    <row r="276" spans="3:7">
      <c r="C276" t="s">
        <v>1767</v>
      </c>
      <c r="D276" t="s">
        <v>1500</v>
      </c>
      <c r="E276" t="s">
        <v>2901</v>
      </c>
      <c r="F276">
        <v>1508</v>
      </c>
      <c r="G276" t="str">
        <f t="shared" si="4"/>
        <v>0101S26B1508</v>
      </c>
    </row>
    <row r="277" spans="3:7">
      <c r="C277" t="s">
        <v>1768</v>
      </c>
      <c r="D277" t="s">
        <v>1509</v>
      </c>
      <c r="E277" t="s">
        <v>2901</v>
      </c>
      <c r="F277">
        <v>1509</v>
      </c>
      <c r="G277" t="str">
        <f t="shared" si="4"/>
        <v>0101H26B1509</v>
      </c>
    </row>
    <row r="278" spans="3:7">
      <c r="C278" t="s">
        <v>1769</v>
      </c>
      <c r="D278" t="s">
        <v>1508</v>
      </c>
      <c r="E278" t="s">
        <v>1498</v>
      </c>
      <c r="F278">
        <v>1510</v>
      </c>
      <c r="G278" t="str">
        <f t="shared" si="4"/>
        <v>0101M26K1510</v>
      </c>
    </row>
    <row r="279" spans="3:7">
      <c r="C279" t="s">
        <v>1770</v>
      </c>
      <c r="D279" t="s">
        <v>1497</v>
      </c>
      <c r="E279" t="s">
        <v>1500</v>
      </c>
      <c r="F279">
        <v>1511</v>
      </c>
      <c r="G279" t="str">
        <f t="shared" si="4"/>
        <v>0101A26S1511</v>
      </c>
    </row>
    <row r="280" spans="3:7">
      <c r="C280" t="s">
        <v>1771</v>
      </c>
      <c r="D280" t="s">
        <v>1497</v>
      </c>
      <c r="E280" t="s">
        <v>2901</v>
      </c>
      <c r="F280">
        <v>1512</v>
      </c>
      <c r="G280" t="str">
        <f t="shared" si="4"/>
        <v>0101A26B1512</v>
      </c>
    </row>
    <row r="281" spans="3:7">
      <c r="C281" t="s">
        <v>1772</v>
      </c>
      <c r="D281" t="s">
        <v>1498</v>
      </c>
      <c r="E281" t="s">
        <v>1504</v>
      </c>
      <c r="F281">
        <v>1513</v>
      </c>
      <c r="G281" t="str">
        <f t="shared" si="4"/>
        <v>0101K26P1513</v>
      </c>
    </row>
    <row r="282" spans="3:7">
      <c r="C282" t="s">
        <v>1773</v>
      </c>
      <c r="D282" t="s">
        <v>1497</v>
      </c>
      <c r="E282" t="s">
        <v>1500</v>
      </c>
      <c r="F282">
        <v>1514</v>
      </c>
      <c r="G282" t="str">
        <f t="shared" si="4"/>
        <v>0101A26S1514</v>
      </c>
    </row>
    <row r="283" spans="3:7">
      <c r="C283" t="s">
        <v>1774</v>
      </c>
      <c r="D283" t="s">
        <v>2902</v>
      </c>
      <c r="E283" t="s">
        <v>1502</v>
      </c>
      <c r="F283">
        <v>1515</v>
      </c>
      <c r="G283" t="str">
        <f t="shared" si="4"/>
        <v>0101E26D1515</v>
      </c>
    </row>
    <row r="284" spans="3:7">
      <c r="C284" t="s">
        <v>1775</v>
      </c>
      <c r="D284" t="s">
        <v>1498</v>
      </c>
      <c r="E284" t="s">
        <v>1500</v>
      </c>
      <c r="F284">
        <v>1516</v>
      </c>
      <c r="G284" t="str">
        <f t="shared" si="4"/>
        <v>0101K26S1516</v>
      </c>
    </row>
    <row r="285" spans="3:7">
      <c r="C285" t="s">
        <v>1776</v>
      </c>
      <c r="D285" t="s">
        <v>1497</v>
      </c>
      <c r="E285" t="s">
        <v>1497</v>
      </c>
      <c r="F285">
        <v>1517</v>
      </c>
      <c r="G285" t="str">
        <f t="shared" si="4"/>
        <v>0101A26A1517</v>
      </c>
    </row>
    <row r="286" spans="3:7">
      <c r="C286" t="s">
        <v>1777</v>
      </c>
      <c r="D286" t="s">
        <v>1498</v>
      </c>
      <c r="E286" t="s">
        <v>2901</v>
      </c>
      <c r="F286">
        <v>1518</v>
      </c>
      <c r="G286" t="str">
        <f t="shared" si="4"/>
        <v>0101K26B1518</v>
      </c>
    </row>
    <row r="287" spans="3:7">
      <c r="C287" t="s">
        <v>1778</v>
      </c>
      <c r="D287" t="s">
        <v>1504</v>
      </c>
      <c r="E287" t="s">
        <v>1504</v>
      </c>
      <c r="F287">
        <v>1519</v>
      </c>
      <c r="G287" t="str">
        <f t="shared" si="4"/>
        <v>0101P26P1519</v>
      </c>
    </row>
    <row r="288" spans="3:7">
      <c r="C288" t="s">
        <v>1779</v>
      </c>
      <c r="D288" t="s">
        <v>1500</v>
      </c>
      <c r="E288" t="s">
        <v>1498</v>
      </c>
      <c r="F288">
        <v>1520</v>
      </c>
      <c r="G288" t="str">
        <f t="shared" si="4"/>
        <v>0101S26K1520</v>
      </c>
    </row>
    <row r="289" spans="3:7">
      <c r="C289" t="s">
        <v>1780</v>
      </c>
      <c r="D289" t="s">
        <v>1504</v>
      </c>
      <c r="E289" t="s">
        <v>1505</v>
      </c>
      <c r="F289">
        <v>1521</v>
      </c>
      <c r="G289" t="str">
        <f t="shared" si="4"/>
        <v>0101P26J1521</v>
      </c>
    </row>
    <row r="290" spans="3:7">
      <c r="C290" t="s">
        <v>1781</v>
      </c>
      <c r="D290" t="s">
        <v>1497</v>
      </c>
      <c r="E290" t="s">
        <v>1503</v>
      </c>
      <c r="F290">
        <v>1522</v>
      </c>
      <c r="G290" t="str">
        <f t="shared" si="4"/>
        <v>0101A26I1522</v>
      </c>
    </row>
    <row r="291" spans="3:7">
      <c r="C291" t="s">
        <v>1782</v>
      </c>
      <c r="D291" t="s">
        <v>1500</v>
      </c>
      <c r="E291" t="s">
        <v>1498</v>
      </c>
      <c r="F291">
        <v>1523</v>
      </c>
      <c r="G291" t="str">
        <f t="shared" si="4"/>
        <v>0101S26K1523</v>
      </c>
    </row>
    <row r="292" spans="3:7">
      <c r="C292" t="s">
        <v>1783</v>
      </c>
      <c r="D292" t="s">
        <v>2906</v>
      </c>
      <c r="E292" t="s">
        <v>2901</v>
      </c>
      <c r="F292">
        <v>1524</v>
      </c>
      <c r="G292" t="str">
        <f t="shared" si="4"/>
        <v>0101G26B1524</v>
      </c>
    </row>
    <row r="293" spans="3:7">
      <c r="C293" t="s">
        <v>1784</v>
      </c>
      <c r="D293" t="s">
        <v>1504</v>
      </c>
      <c r="E293" t="s">
        <v>1505</v>
      </c>
      <c r="F293">
        <v>1525</v>
      </c>
      <c r="G293" t="str">
        <f t="shared" si="4"/>
        <v>0101P26J1525</v>
      </c>
    </row>
    <row r="294" spans="3:7">
      <c r="C294" t="s">
        <v>1785</v>
      </c>
      <c r="D294" t="s">
        <v>1500</v>
      </c>
      <c r="E294" t="s">
        <v>1504</v>
      </c>
      <c r="F294">
        <v>1526</v>
      </c>
      <c r="G294" t="str">
        <f t="shared" si="4"/>
        <v>0101S26P1526</v>
      </c>
    </row>
    <row r="295" spans="3:7">
      <c r="C295" t="s">
        <v>1786</v>
      </c>
      <c r="D295" t="s">
        <v>1509</v>
      </c>
      <c r="E295" t="s">
        <v>1500</v>
      </c>
      <c r="F295">
        <v>1527</v>
      </c>
      <c r="G295" t="str">
        <f t="shared" si="4"/>
        <v>0101H26S1527</v>
      </c>
    </row>
    <row r="296" spans="3:7">
      <c r="C296" t="s">
        <v>1787</v>
      </c>
      <c r="D296" t="s">
        <v>1499</v>
      </c>
      <c r="E296" t="s">
        <v>1498</v>
      </c>
      <c r="F296">
        <v>1528</v>
      </c>
      <c r="G296" t="str">
        <f t="shared" si="4"/>
        <v>0101C26K1528</v>
      </c>
    </row>
    <row r="297" spans="3:7">
      <c r="C297" t="s">
        <v>1788</v>
      </c>
      <c r="D297" t="s">
        <v>1501</v>
      </c>
      <c r="E297" t="s">
        <v>1506</v>
      </c>
      <c r="F297">
        <v>1529</v>
      </c>
      <c r="G297" t="str">
        <f t="shared" si="4"/>
        <v>0101R26N1529</v>
      </c>
    </row>
    <row r="298" spans="3:7">
      <c r="C298" t="s">
        <v>1789</v>
      </c>
      <c r="D298" t="s">
        <v>1497</v>
      </c>
      <c r="E298" t="s">
        <v>1499</v>
      </c>
      <c r="F298">
        <v>1530</v>
      </c>
      <c r="G298" t="str">
        <f t="shared" si="4"/>
        <v>0101A26C1530</v>
      </c>
    </row>
    <row r="299" spans="3:7">
      <c r="C299" t="s">
        <v>1790</v>
      </c>
      <c r="D299" t="s">
        <v>2907</v>
      </c>
      <c r="E299" t="s">
        <v>1500</v>
      </c>
      <c r="F299">
        <v>1531</v>
      </c>
      <c r="G299" t="str">
        <f t="shared" si="4"/>
        <v>0101Y26S1531</v>
      </c>
    </row>
    <row r="300" spans="3:7">
      <c r="C300" t="s">
        <v>307</v>
      </c>
      <c r="D300" t="s">
        <v>1500</v>
      </c>
      <c r="E300" t="s">
        <v>1498</v>
      </c>
      <c r="F300">
        <v>1532</v>
      </c>
      <c r="G300" t="str">
        <f t="shared" si="4"/>
        <v>0101S26K1532</v>
      </c>
    </row>
    <row r="301" spans="3:7">
      <c r="C301" t="s">
        <v>1635</v>
      </c>
      <c r="D301" t="s">
        <v>1500</v>
      </c>
      <c r="E301" t="s">
        <v>2907</v>
      </c>
      <c r="F301">
        <v>1533</v>
      </c>
      <c r="G301" t="str">
        <f t="shared" si="4"/>
        <v>0101S26Y1533</v>
      </c>
    </row>
    <row r="302" spans="3:7">
      <c r="C302" t="s">
        <v>1791</v>
      </c>
      <c r="D302" t="s">
        <v>1500</v>
      </c>
      <c r="E302" t="s">
        <v>1500</v>
      </c>
      <c r="F302">
        <v>1534</v>
      </c>
      <c r="G302" t="str">
        <f t="shared" si="4"/>
        <v>0101S26S1534</v>
      </c>
    </row>
    <row r="303" spans="3:7">
      <c r="C303" t="s">
        <v>1792</v>
      </c>
      <c r="D303" t="s">
        <v>2906</v>
      </c>
      <c r="E303" t="s">
        <v>1497</v>
      </c>
      <c r="F303">
        <v>1535</v>
      </c>
      <c r="G303" t="str">
        <f t="shared" si="4"/>
        <v>0101G26A1535</v>
      </c>
    </row>
    <row r="304" spans="3:7">
      <c r="C304" t="s">
        <v>1793</v>
      </c>
      <c r="D304" t="s">
        <v>1504</v>
      </c>
      <c r="E304" t="s">
        <v>1500</v>
      </c>
      <c r="F304">
        <v>1536</v>
      </c>
      <c r="G304" t="str">
        <f t="shared" si="4"/>
        <v>0101P26S1536</v>
      </c>
    </row>
    <row r="305" spans="3:7">
      <c r="C305" t="s">
        <v>1794</v>
      </c>
      <c r="D305" t="s">
        <v>1497</v>
      </c>
      <c r="E305" t="s">
        <v>1501</v>
      </c>
      <c r="F305">
        <v>1537</v>
      </c>
      <c r="G305" t="str">
        <f t="shared" si="4"/>
        <v>0101A26R1537</v>
      </c>
    </row>
    <row r="306" spans="3:7">
      <c r="C306" t="s">
        <v>1795</v>
      </c>
      <c r="D306" t="s">
        <v>1508</v>
      </c>
      <c r="E306" t="s">
        <v>1502</v>
      </c>
      <c r="F306">
        <v>1538</v>
      </c>
      <c r="G306" t="str">
        <f t="shared" si="4"/>
        <v>0101M26D1538</v>
      </c>
    </row>
    <row r="307" spans="3:7">
      <c r="C307" t="s">
        <v>1796</v>
      </c>
      <c r="D307" t="s">
        <v>1500</v>
      </c>
      <c r="E307" t="s">
        <v>2903</v>
      </c>
      <c r="F307">
        <v>1539</v>
      </c>
      <c r="G307" t="str">
        <f t="shared" si="4"/>
        <v>0101S26F1539</v>
      </c>
    </row>
    <row r="308" spans="3:7">
      <c r="C308" t="s">
        <v>1797</v>
      </c>
      <c r="D308" t="s">
        <v>2908</v>
      </c>
      <c r="E308" t="s">
        <v>1497</v>
      </c>
      <c r="F308">
        <v>1540</v>
      </c>
      <c r="G308" t="str">
        <f t="shared" si="4"/>
        <v>0101W26A1540</v>
      </c>
    </row>
    <row r="309" spans="3:7">
      <c r="C309" t="s">
        <v>1798</v>
      </c>
      <c r="D309" t="s">
        <v>1509</v>
      </c>
      <c r="E309" t="s">
        <v>1502</v>
      </c>
      <c r="F309">
        <v>1541</v>
      </c>
      <c r="G309" t="str">
        <f t="shared" si="4"/>
        <v>0101H26D1541</v>
      </c>
    </row>
    <row r="310" spans="3:7">
      <c r="C310" t="s">
        <v>1799</v>
      </c>
      <c r="D310" t="s">
        <v>1497</v>
      </c>
      <c r="E310" t="s">
        <v>1500</v>
      </c>
      <c r="F310">
        <v>1542</v>
      </c>
      <c r="G310" t="str">
        <f t="shared" si="4"/>
        <v>0101A26S1542</v>
      </c>
    </row>
    <row r="311" spans="3:7">
      <c r="C311" t="s">
        <v>1800</v>
      </c>
      <c r="D311" t="s">
        <v>2906</v>
      </c>
      <c r="E311" t="s">
        <v>1500</v>
      </c>
      <c r="F311">
        <v>1543</v>
      </c>
      <c r="G311" t="str">
        <f t="shared" si="4"/>
        <v>0101G26S1543</v>
      </c>
    </row>
    <row r="312" spans="3:7">
      <c r="C312" t="s">
        <v>1801</v>
      </c>
      <c r="D312" t="s">
        <v>1500</v>
      </c>
      <c r="E312" t="s">
        <v>1498</v>
      </c>
      <c r="F312">
        <v>1544</v>
      </c>
      <c r="G312" t="str">
        <f t="shared" si="4"/>
        <v>0101S26K1544</v>
      </c>
    </row>
    <row r="313" spans="3:7">
      <c r="C313" t="s">
        <v>1802</v>
      </c>
      <c r="D313" t="s">
        <v>1509</v>
      </c>
      <c r="E313" t="s">
        <v>1500</v>
      </c>
      <c r="F313">
        <v>1545</v>
      </c>
      <c r="G313" t="str">
        <f t="shared" si="4"/>
        <v>0101H26S1545</v>
      </c>
    </row>
    <row r="314" spans="3:7">
      <c r="C314" t="s">
        <v>1803</v>
      </c>
      <c r="D314" t="s">
        <v>1509</v>
      </c>
      <c r="E314" t="s">
        <v>1498</v>
      </c>
      <c r="F314">
        <v>1546</v>
      </c>
      <c r="G314" t="str">
        <f t="shared" si="4"/>
        <v>0101H26K1546</v>
      </c>
    </row>
    <row r="315" spans="3:7">
      <c r="C315" t="s">
        <v>1804</v>
      </c>
      <c r="D315" t="s">
        <v>1506</v>
      </c>
      <c r="E315" t="s">
        <v>1505</v>
      </c>
      <c r="F315">
        <v>1547</v>
      </c>
      <c r="G315" t="str">
        <f t="shared" si="4"/>
        <v>0101N26J1547</v>
      </c>
    </row>
    <row r="316" spans="3:7">
      <c r="C316" t="s">
        <v>1805</v>
      </c>
      <c r="D316" t="s">
        <v>1500</v>
      </c>
      <c r="E316" t="s">
        <v>1502</v>
      </c>
      <c r="F316">
        <v>1548</v>
      </c>
      <c r="G316" t="str">
        <f t="shared" si="4"/>
        <v>0101S26D1548</v>
      </c>
    </row>
    <row r="317" spans="3:7">
      <c r="C317" t="s">
        <v>1806</v>
      </c>
      <c r="D317" t="s">
        <v>1498</v>
      </c>
      <c r="E317" t="s">
        <v>1497</v>
      </c>
      <c r="F317">
        <v>1549</v>
      </c>
      <c r="G317" t="str">
        <f t="shared" si="4"/>
        <v>0101K26A1549</v>
      </c>
    </row>
    <row r="318" spans="3:7">
      <c r="C318" t="s">
        <v>1807</v>
      </c>
      <c r="D318" t="s">
        <v>1508</v>
      </c>
      <c r="E318" t="s">
        <v>1497</v>
      </c>
      <c r="F318">
        <v>1550</v>
      </c>
      <c r="G318" t="str">
        <f t="shared" si="4"/>
        <v>0101M26A1550</v>
      </c>
    </row>
    <row r="319" spans="3:7">
      <c r="C319" t="s">
        <v>1808</v>
      </c>
      <c r="D319" t="s">
        <v>1500</v>
      </c>
      <c r="E319" t="s">
        <v>1502</v>
      </c>
      <c r="F319">
        <v>1551</v>
      </c>
      <c r="G319" t="str">
        <f t="shared" si="4"/>
        <v>0101S26D1551</v>
      </c>
    </row>
    <row r="320" spans="3:7">
      <c r="C320" t="s">
        <v>1809</v>
      </c>
      <c r="D320" t="s">
        <v>1500</v>
      </c>
      <c r="E320" t="s">
        <v>2904</v>
      </c>
      <c r="F320">
        <v>1552</v>
      </c>
      <c r="G320" t="str">
        <f t="shared" si="4"/>
        <v>0101S26L1552</v>
      </c>
    </row>
    <row r="321" spans="3:7">
      <c r="C321" t="s">
        <v>1810</v>
      </c>
      <c r="D321" t="s">
        <v>1500</v>
      </c>
      <c r="E321" t="s">
        <v>1497</v>
      </c>
      <c r="F321">
        <v>1553</v>
      </c>
      <c r="G321" t="str">
        <f t="shared" si="4"/>
        <v>0101S26A1553</v>
      </c>
    </row>
    <row r="322" spans="3:7">
      <c r="C322" t="s">
        <v>1811</v>
      </c>
      <c r="D322" t="s">
        <v>1497</v>
      </c>
      <c r="E322" t="s">
        <v>1500</v>
      </c>
      <c r="F322">
        <v>1554</v>
      </c>
      <c r="G322" t="str">
        <f t="shared" si="4"/>
        <v>0101A26S1554</v>
      </c>
    </row>
    <row r="323" spans="3:7">
      <c r="C323" t="s">
        <v>1812</v>
      </c>
      <c r="D323" t="s">
        <v>1502</v>
      </c>
      <c r="E323" t="s">
        <v>2901</v>
      </c>
      <c r="F323">
        <v>1555</v>
      </c>
      <c r="G323" t="str">
        <f t="shared" ref="G323:G386" si="5">_xlfn.CONCAT("0101",D323,"26",E323,F323)</f>
        <v>0101D26B1555</v>
      </c>
    </row>
    <row r="324" spans="3:7">
      <c r="C324" t="s">
        <v>1813</v>
      </c>
      <c r="D324" t="s">
        <v>2904</v>
      </c>
      <c r="E324" t="s">
        <v>1498</v>
      </c>
      <c r="F324">
        <v>1556</v>
      </c>
      <c r="G324" t="str">
        <f t="shared" si="5"/>
        <v>0101L26K1556</v>
      </c>
    </row>
    <row r="325" spans="3:7">
      <c r="C325" t="s">
        <v>1814</v>
      </c>
      <c r="D325" t="s">
        <v>1500</v>
      </c>
      <c r="E325" t="s">
        <v>1505</v>
      </c>
      <c r="F325">
        <v>1557</v>
      </c>
      <c r="G325" t="str">
        <f t="shared" si="5"/>
        <v>0101S26J1557</v>
      </c>
    </row>
    <row r="326" spans="3:7">
      <c r="C326" t="s">
        <v>1815</v>
      </c>
      <c r="D326" t="s">
        <v>1497</v>
      </c>
      <c r="E326" t="s">
        <v>2906</v>
      </c>
      <c r="F326">
        <v>1558</v>
      </c>
      <c r="G326" t="str">
        <f t="shared" si="5"/>
        <v>0101A26G1558</v>
      </c>
    </row>
    <row r="327" spans="3:7">
      <c r="C327" t="s">
        <v>1816</v>
      </c>
      <c r="D327" t="s">
        <v>1506</v>
      </c>
      <c r="E327" t="s">
        <v>1498</v>
      </c>
      <c r="F327">
        <v>1559</v>
      </c>
      <c r="G327" t="str">
        <f t="shared" si="5"/>
        <v>0101N26K1559</v>
      </c>
    </row>
    <row r="328" spans="3:7">
      <c r="C328" t="s">
        <v>1817</v>
      </c>
      <c r="D328" t="s">
        <v>1497</v>
      </c>
      <c r="E328" t="s">
        <v>1500</v>
      </c>
      <c r="F328">
        <v>1560</v>
      </c>
      <c r="G328" t="str">
        <f t="shared" si="5"/>
        <v>0101A26S1560</v>
      </c>
    </row>
    <row r="329" spans="3:7">
      <c r="C329" t="s">
        <v>1818</v>
      </c>
      <c r="D329" t="s">
        <v>1506</v>
      </c>
      <c r="E329" t="s">
        <v>2906</v>
      </c>
      <c r="F329">
        <v>1561</v>
      </c>
      <c r="G329" t="str">
        <f t="shared" si="5"/>
        <v>0101N26G1561</v>
      </c>
    </row>
    <row r="330" spans="3:7">
      <c r="C330" t="s">
        <v>336</v>
      </c>
      <c r="D330" t="s">
        <v>1500</v>
      </c>
      <c r="E330" t="s">
        <v>1497</v>
      </c>
      <c r="F330">
        <v>1562</v>
      </c>
      <c r="G330" t="str">
        <f t="shared" si="5"/>
        <v>0101S26A1562</v>
      </c>
    </row>
    <row r="331" spans="3:7">
      <c r="C331" t="s">
        <v>1819</v>
      </c>
      <c r="D331" t="s">
        <v>1500</v>
      </c>
      <c r="E331" t="s">
        <v>1497</v>
      </c>
      <c r="F331">
        <v>1563</v>
      </c>
      <c r="G331" t="str">
        <f t="shared" si="5"/>
        <v>0101S26A1563</v>
      </c>
    </row>
    <row r="332" spans="3:7">
      <c r="C332" t="s">
        <v>1820</v>
      </c>
      <c r="D332" t="s">
        <v>1509</v>
      </c>
      <c r="E332" t="s">
        <v>1508</v>
      </c>
      <c r="F332">
        <v>1564</v>
      </c>
      <c r="G332" t="str">
        <f t="shared" si="5"/>
        <v>0101H26M1564</v>
      </c>
    </row>
    <row r="333" spans="3:7">
      <c r="C333" t="s">
        <v>1821</v>
      </c>
      <c r="D333" t="s">
        <v>1500</v>
      </c>
      <c r="E333" t="s">
        <v>1509</v>
      </c>
      <c r="F333">
        <v>1565</v>
      </c>
      <c r="G333" t="str">
        <f t="shared" si="5"/>
        <v>0101S26H1565</v>
      </c>
    </row>
    <row r="334" spans="3:7">
      <c r="C334" t="s">
        <v>1822</v>
      </c>
      <c r="D334" t="s">
        <v>1497</v>
      </c>
      <c r="E334" t="s">
        <v>1498</v>
      </c>
      <c r="F334">
        <v>1566</v>
      </c>
      <c r="G334" t="str">
        <f t="shared" si="5"/>
        <v>0101A26K1566</v>
      </c>
    </row>
    <row r="335" spans="3:7">
      <c r="C335" t="s">
        <v>1823</v>
      </c>
      <c r="D335" t="s">
        <v>1500</v>
      </c>
      <c r="E335" t="s">
        <v>2901</v>
      </c>
      <c r="F335">
        <v>1567</v>
      </c>
      <c r="G335" t="str">
        <f t="shared" si="5"/>
        <v>0101S26B1567</v>
      </c>
    </row>
    <row r="336" spans="3:7">
      <c r="C336" t="s">
        <v>1824</v>
      </c>
      <c r="D336" t="s">
        <v>1508</v>
      </c>
      <c r="E336" t="s">
        <v>1502</v>
      </c>
      <c r="F336">
        <v>1568</v>
      </c>
      <c r="G336" t="str">
        <f t="shared" si="5"/>
        <v>0101M26D1568</v>
      </c>
    </row>
    <row r="337" spans="3:7">
      <c r="C337" t="s">
        <v>1825</v>
      </c>
      <c r="D337" t="s">
        <v>1500</v>
      </c>
      <c r="E337" t="s">
        <v>1502</v>
      </c>
      <c r="F337">
        <v>1569</v>
      </c>
      <c r="G337" t="str">
        <f t="shared" si="5"/>
        <v>0101S26D1569</v>
      </c>
    </row>
    <row r="338" spans="3:7">
      <c r="C338" t="s">
        <v>1826</v>
      </c>
      <c r="D338" t="s">
        <v>1497</v>
      </c>
      <c r="E338" t="s">
        <v>1501</v>
      </c>
      <c r="F338">
        <v>1570</v>
      </c>
      <c r="G338" t="str">
        <f t="shared" si="5"/>
        <v>0101A26R1570</v>
      </c>
    </row>
    <row r="339" spans="3:7">
      <c r="C339" t="s">
        <v>1827</v>
      </c>
      <c r="D339" t="s">
        <v>1502</v>
      </c>
      <c r="E339" t="s">
        <v>1498</v>
      </c>
      <c r="F339">
        <v>1571</v>
      </c>
      <c r="G339" t="str">
        <f t="shared" si="5"/>
        <v>0101D26K1571</v>
      </c>
    </row>
    <row r="340" spans="3:7">
      <c r="C340" t="s">
        <v>1828</v>
      </c>
      <c r="D340" t="s">
        <v>1497</v>
      </c>
      <c r="E340" t="s">
        <v>1499</v>
      </c>
      <c r="F340">
        <v>1572</v>
      </c>
      <c r="G340" t="str">
        <f t="shared" si="5"/>
        <v>0101A26C1572</v>
      </c>
    </row>
    <row r="341" spans="3:7">
      <c r="C341" t="s">
        <v>1829</v>
      </c>
      <c r="D341" t="s">
        <v>2905</v>
      </c>
      <c r="E341" t="s">
        <v>1500</v>
      </c>
      <c r="F341">
        <v>1573</v>
      </c>
      <c r="G341" t="str">
        <f t="shared" si="5"/>
        <v>0101O26S1573</v>
      </c>
    </row>
    <row r="342" spans="3:7">
      <c r="C342" t="s">
        <v>1830</v>
      </c>
      <c r="D342" t="s">
        <v>1502</v>
      </c>
      <c r="E342" t="s">
        <v>1509</v>
      </c>
      <c r="F342">
        <v>1574</v>
      </c>
      <c r="G342" t="str">
        <f t="shared" si="5"/>
        <v>0101D26H1574</v>
      </c>
    </row>
    <row r="343" spans="3:7">
      <c r="C343" t="s">
        <v>1831</v>
      </c>
      <c r="D343" t="s">
        <v>2901</v>
      </c>
      <c r="E343" t="s">
        <v>1502</v>
      </c>
      <c r="F343">
        <v>1575</v>
      </c>
      <c r="G343" t="str">
        <f t="shared" si="5"/>
        <v>0101B26D1575</v>
      </c>
    </row>
    <row r="344" spans="3:7">
      <c r="C344" t="s">
        <v>1832</v>
      </c>
      <c r="D344" t="s">
        <v>1497</v>
      </c>
      <c r="E344" t="s">
        <v>2906</v>
      </c>
      <c r="F344">
        <v>1576</v>
      </c>
      <c r="G344" t="str">
        <f t="shared" si="5"/>
        <v>0101A26G1576</v>
      </c>
    </row>
    <row r="345" spans="3:7">
      <c r="C345" t="s">
        <v>1833</v>
      </c>
      <c r="D345" t="s">
        <v>2906</v>
      </c>
      <c r="E345" t="s">
        <v>1497</v>
      </c>
      <c r="F345">
        <v>1577</v>
      </c>
      <c r="G345" t="str">
        <f t="shared" si="5"/>
        <v>0101G26A1577</v>
      </c>
    </row>
    <row r="346" spans="3:7">
      <c r="C346" t="s">
        <v>1834</v>
      </c>
      <c r="D346" t="s">
        <v>2907</v>
      </c>
      <c r="E346" t="s">
        <v>1504</v>
      </c>
      <c r="F346">
        <v>1578</v>
      </c>
      <c r="G346" t="str">
        <f t="shared" si="5"/>
        <v>0101Y26P1578</v>
      </c>
    </row>
    <row r="347" spans="3:7">
      <c r="C347" t="s">
        <v>1835</v>
      </c>
      <c r="D347" t="s">
        <v>1497</v>
      </c>
      <c r="E347" t="s">
        <v>1504</v>
      </c>
      <c r="F347">
        <v>1579</v>
      </c>
      <c r="G347" t="str">
        <f t="shared" si="5"/>
        <v>0101A26P1579</v>
      </c>
    </row>
    <row r="348" spans="3:7">
      <c r="C348" t="s">
        <v>1836</v>
      </c>
      <c r="D348" t="s">
        <v>1502</v>
      </c>
      <c r="E348" t="s">
        <v>1505</v>
      </c>
      <c r="F348">
        <v>1580</v>
      </c>
      <c r="G348" t="str">
        <f t="shared" si="5"/>
        <v>0101D26J1580</v>
      </c>
    </row>
    <row r="349" spans="3:7">
      <c r="C349" t="s">
        <v>1837</v>
      </c>
      <c r="D349" t="s">
        <v>1507</v>
      </c>
      <c r="E349" t="s">
        <v>1508</v>
      </c>
      <c r="F349">
        <v>1581</v>
      </c>
      <c r="G349" t="str">
        <f t="shared" si="5"/>
        <v>0101T26M1581</v>
      </c>
    </row>
    <row r="350" spans="3:7">
      <c r="C350" t="s">
        <v>1838</v>
      </c>
      <c r="D350" t="s">
        <v>2905</v>
      </c>
      <c r="E350" t="s">
        <v>1505</v>
      </c>
      <c r="F350">
        <v>1582</v>
      </c>
      <c r="G350" t="str">
        <f t="shared" si="5"/>
        <v>0101O26J1582</v>
      </c>
    </row>
    <row r="351" spans="3:7">
      <c r="C351" t="s">
        <v>1839</v>
      </c>
      <c r="D351" t="s">
        <v>1497</v>
      </c>
      <c r="E351" t="s">
        <v>1498</v>
      </c>
      <c r="F351">
        <v>1583</v>
      </c>
      <c r="G351" t="str">
        <f t="shared" si="5"/>
        <v>0101A26K1583</v>
      </c>
    </row>
    <row r="352" spans="3:7">
      <c r="C352" t="s">
        <v>1840</v>
      </c>
      <c r="D352" t="s">
        <v>1501</v>
      </c>
      <c r="E352" t="s">
        <v>1506</v>
      </c>
      <c r="F352">
        <v>1584</v>
      </c>
      <c r="G352" t="str">
        <f t="shared" si="5"/>
        <v>0101R26N1584</v>
      </c>
    </row>
    <row r="353" spans="3:7">
      <c r="C353" t="s">
        <v>1841</v>
      </c>
      <c r="D353" t="s">
        <v>1500</v>
      </c>
      <c r="E353" t="s">
        <v>1497</v>
      </c>
      <c r="F353">
        <v>1585</v>
      </c>
      <c r="G353" t="str">
        <f t="shared" si="5"/>
        <v>0101S26A1585</v>
      </c>
    </row>
    <row r="354" spans="3:7">
      <c r="C354" t="s">
        <v>1842</v>
      </c>
      <c r="D354" t="s">
        <v>1501</v>
      </c>
      <c r="E354" t="s">
        <v>1505</v>
      </c>
      <c r="F354">
        <v>1586</v>
      </c>
      <c r="G354" t="str">
        <f t="shared" si="5"/>
        <v>0101R26J1586</v>
      </c>
    </row>
    <row r="355" spans="3:7">
      <c r="C355" t="s">
        <v>1843</v>
      </c>
      <c r="D355" t="s">
        <v>1508</v>
      </c>
      <c r="E355" t="s">
        <v>1497</v>
      </c>
      <c r="F355">
        <v>1587</v>
      </c>
      <c r="G355" t="str">
        <f t="shared" si="5"/>
        <v>0101M26A1587</v>
      </c>
    </row>
    <row r="356" spans="3:7">
      <c r="C356" t="s">
        <v>1844</v>
      </c>
      <c r="D356" t="s">
        <v>1502</v>
      </c>
      <c r="E356" t="s">
        <v>2901</v>
      </c>
      <c r="F356">
        <v>1588</v>
      </c>
      <c r="G356" t="str">
        <f t="shared" si="5"/>
        <v>0101D26B1588</v>
      </c>
    </row>
    <row r="357" spans="3:7">
      <c r="C357" t="s">
        <v>1845</v>
      </c>
      <c r="D357" t="s">
        <v>1504</v>
      </c>
      <c r="E357" t="s">
        <v>2904</v>
      </c>
      <c r="F357">
        <v>1589</v>
      </c>
      <c r="G357" t="str">
        <f t="shared" si="5"/>
        <v>0101P26L1589</v>
      </c>
    </row>
    <row r="358" spans="3:7">
      <c r="C358" t="s">
        <v>1846</v>
      </c>
      <c r="D358" t="s">
        <v>2907</v>
      </c>
      <c r="E358" t="s">
        <v>2901</v>
      </c>
      <c r="F358">
        <v>1590</v>
      </c>
      <c r="G358" t="str">
        <f t="shared" si="5"/>
        <v>0101Y26B1590</v>
      </c>
    </row>
    <row r="359" spans="3:7">
      <c r="C359" t="s">
        <v>365</v>
      </c>
      <c r="D359" t="s">
        <v>1500</v>
      </c>
      <c r="E359" t="s">
        <v>2901</v>
      </c>
      <c r="F359">
        <v>1591</v>
      </c>
      <c r="G359" t="str">
        <f t="shared" si="5"/>
        <v>0101S26B1591</v>
      </c>
    </row>
    <row r="360" spans="3:7">
      <c r="C360" t="s">
        <v>1847</v>
      </c>
      <c r="D360" t="s">
        <v>1501</v>
      </c>
      <c r="E360" t="s">
        <v>1509</v>
      </c>
      <c r="F360">
        <v>1592</v>
      </c>
      <c r="G360" t="str">
        <f t="shared" si="5"/>
        <v>0101R26H1592</v>
      </c>
    </row>
    <row r="361" spans="3:7">
      <c r="C361" t="s">
        <v>1848</v>
      </c>
      <c r="D361" t="s">
        <v>1509</v>
      </c>
      <c r="E361" t="s">
        <v>1500</v>
      </c>
      <c r="F361">
        <v>1593</v>
      </c>
      <c r="G361" t="str">
        <f t="shared" si="5"/>
        <v>0101H26S1593</v>
      </c>
    </row>
    <row r="362" spans="3:7">
      <c r="C362" t="s">
        <v>1849</v>
      </c>
      <c r="D362" t="s">
        <v>1508</v>
      </c>
      <c r="E362" t="s">
        <v>1497</v>
      </c>
      <c r="F362">
        <v>1594</v>
      </c>
      <c r="G362" t="str">
        <f t="shared" si="5"/>
        <v>0101M26A1594</v>
      </c>
    </row>
    <row r="363" spans="3:7">
      <c r="C363" t="s">
        <v>1850</v>
      </c>
      <c r="D363" t="s">
        <v>1500</v>
      </c>
      <c r="E363" t="s">
        <v>2906</v>
      </c>
      <c r="F363">
        <v>1595</v>
      </c>
      <c r="G363" t="str">
        <f t="shared" si="5"/>
        <v>0101S26G1595</v>
      </c>
    </row>
    <row r="364" spans="3:7">
      <c r="C364" t="s">
        <v>1851</v>
      </c>
      <c r="D364" t="s">
        <v>1497</v>
      </c>
      <c r="E364" t="s">
        <v>1505</v>
      </c>
      <c r="F364">
        <v>1596</v>
      </c>
      <c r="G364" t="str">
        <f t="shared" si="5"/>
        <v>0101A26J1596</v>
      </c>
    </row>
    <row r="365" spans="3:7">
      <c r="C365" t="s">
        <v>1852</v>
      </c>
      <c r="D365" t="s">
        <v>1500</v>
      </c>
      <c r="E365" t="s">
        <v>1500</v>
      </c>
      <c r="F365">
        <v>1597</v>
      </c>
      <c r="G365" t="str">
        <f t="shared" si="5"/>
        <v>0101S26S1597</v>
      </c>
    </row>
    <row r="366" spans="3:7">
      <c r="C366" t="s">
        <v>1853</v>
      </c>
      <c r="D366" t="s">
        <v>1509</v>
      </c>
      <c r="E366" t="s">
        <v>1509</v>
      </c>
      <c r="F366">
        <v>1598</v>
      </c>
      <c r="G366" t="str">
        <f t="shared" si="5"/>
        <v>0101H26H1598</v>
      </c>
    </row>
    <row r="367" spans="3:7">
      <c r="C367" t="s">
        <v>1854</v>
      </c>
      <c r="D367" t="s">
        <v>1508</v>
      </c>
      <c r="E367" t="s">
        <v>1509</v>
      </c>
      <c r="F367">
        <v>1599</v>
      </c>
      <c r="G367" t="str">
        <f t="shared" si="5"/>
        <v>0101M26H1599</v>
      </c>
    </row>
    <row r="368" spans="3:7">
      <c r="C368" t="s">
        <v>1855</v>
      </c>
      <c r="D368" t="s">
        <v>1506</v>
      </c>
      <c r="E368" t="s">
        <v>2906</v>
      </c>
      <c r="F368">
        <v>1600</v>
      </c>
      <c r="G368" t="str">
        <f t="shared" si="5"/>
        <v>0101N26G1600</v>
      </c>
    </row>
    <row r="369" spans="3:7">
      <c r="C369" t="s">
        <v>1856</v>
      </c>
      <c r="D369" t="s">
        <v>1500</v>
      </c>
      <c r="E369" t="s">
        <v>1498</v>
      </c>
      <c r="F369">
        <v>1601</v>
      </c>
      <c r="G369" t="str">
        <f t="shared" si="5"/>
        <v>0101S26K1601</v>
      </c>
    </row>
    <row r="370" spans="3:7">
      <c r="C370" t="s">
        <v>1857</v>
      </c>
      <c r="D370" t="s">
        <v>1503</v>
      </c>
      <c r="E370" t="s">
        <v>2907</v>
      </c>
      <c r="F370">
        <v>1602</v>
      </c>
      <c r="G370" t="str">
        <f t="shared" si="5"/>
        <v>0101I26Y1602</v>
      </c>
    </row>
    <row r="371" spans="3:7">
      <c r="C371" t="s">
        <v>1858</v>
      </c>
      <c r="D371" t="s">
        <v>1507</v>
      </c>
      <c r="E371" t="s">
        <v>1508</v>
      </c>
      <c r="F371">
        <v>1603</v>
      </c>
      <c r="G371" t="str">
        <f t="shared" si="5"/>
        <v>0101T26M1603</v>
      </c>
    </row>
    <row r="372" spans="3:7">
      <c r="C372" t="s">
        <v>1859</v>
      </c>
      <c r="D372" t="s">
        <v>1509</v>
      </c>
      <c r="E372" t="s">
        <v>1508</v>
      </c>
      <c r="F372">
        <v>1604</v>
      </c>
      <c r="G372" t="str">
        <f t="shared" si="5"/>
        <v>0101H26M1604</v>
      </c>
    </row>
    <row r="373" spans="3:7">
      <c r="C373" t="s">
        <v>1860</v>
      </c>
      <c r="D373" t="s">
        <v>1500</v>
      </c>
      <c r="E373" t="s">
        <v>1507</v>
      </c>
      <c r="F373">
        <v>1605</v>
      </c>
      <c r="G373" t="str">
        <f t="shared" si="5"/>
        <v>0101S26T1605</v>
      </c>
    </row>
    <row r="374" spans="3:7">
      <c r="C374" t="s">
        <v>1861</v>
      </c>
      <c r="D374" t="s">
        <v>1504</v>
      </c>
      <c r="E374" t="s">
        <v>1497</v>
      </c>
      <c r="F374">
        <v>1606</v>
      </c>
      <c r="G374" t="str">
        <f t="shared" si="5"/>
        <v>0101P26A1606</v>
      </c>
    </row>
    <row r="375" spans="3:7">
      <c r="C375" t="s">
        <v>1862</v>
      </c>
      <c r="D375" t="s">
        <v>1502</v>
      </c>
      <c r="E375" t="s">
        <v>1500</v>
      </c>
      <c r="F375">
        <v>1607</v>
      </c>
      <c r="G375" t="str">
        <f t="shared" si="5"/>
        <v>0101D26S1607</v>
      </c>
    </row>
    <row r="376" spans="3:7">
      <c r="C376" t="s">
        <v>1863</v>
      </c>
      <c r="D376" t="s">
        <v>1499</v>
      </c>
      <c r="E376" t="s">
        <v>1497</v>
      </c>
      <c r="F376">
        <v>1608</v>
      </c>
      <c r="G376" t="str">
        <f t="shared" si="5"/>
        <v>0101C26A1608</v>
      </c>
    </row>
    <row r="377" spans="3:7">
      <c r="C377" t="s">
        <v>383</v>
      </c>
      <c r="D377" t="s">
        <v>1500</v>
      </c>
      <c r="E377" t="s">
        <v>1497</v>
      </c>
      <c r="F377">
        <v>1609</v>
      </c>
      <c r="G377" t="str">
        <f t="shared" si="5"/>
        <v>0101S26A1609</v>
      </c>
    </row>
    <row r="378" spans="3:7">
      <c r="C378" t="s">
        <v>1864</v>
      </c>
      <c r="D378" t="s">
        <v>1504</v>
      </c>
      <c r="E378" t="s">
        <v>1504</v>
      </c>
      <c r="F378">
        <v>1610</v>
      </c>
      <c r="G378" t="str">
        <f t="shared" si="5"/>
        <v>0101P26P1610</v>
      </c>
    </row>
    <row r="379" spans="3:7">
      <c r="C379" t="s">
        <v>1865</v>
      </c>
      <c r="D379" t="s">
        <v>1497</v>
      </c>
      <c r="E379" t="s">
        <v>1498</v>
      </c>
      <c r="F379">
        <v>1611</v>
      </c>
      <c r="G379" t="str">
        <f t="shared" si="5"/>
        <v>0101A26K1611</v>
      </c>
    </row>
    <row r="380" spans="3:7">
      <c r="C380" t="s">
        <v>1866</v>
      </c>
      <c r="D380" t="s">
        <v>1502</v>
      </c>
      <c r="E380" t="s">
        <v>1504</v>
      </c>
      <c r="F380">
        <v>1612</v>
      </c>
      <c r="G380" t="str">
        <f t="shared" si="5"/>
        <v>0101D26P1612</v>
      </c>
    </row>
    <row r="381" spans="3:7">
      <c r="C381" t="s">
        <v>1740</v>
      </c>
      <c r="D381" t="s">
        <v>1497</v>
      </c>
      <c r="E381" t="s">
        <v>1498</v>
      </c>
      <c r="F381">
        <v>1613</v>
      </c>
      <c r="G381" t="str">
        <f t="shared" si="5"/>
        <v>0101A26K1613</v>
      </c>
    </row>
    <row r="382" spans="3:7">
      <c r="C382" t="s">
        <v>1867</v>
      </c>
      <c r="D382" t="s">
        <v>1506</v>
      </c>
      <c r="E382" t="s">
        <v>2906</v>
      </c>
      <c r="F382">
        <v>1614</v>
      </c>
      <c r="G382" t="str">
        <f t="shared" si="5"/>
        <v>0101N26G1614</v>
      </c>
    </row>
    <row r="383" spans="3:7">
      <c r="C383" t="s">
        <v>1868</v>
      </c>
      <c r="D383" t="s">
        <v>2907</v>
      </c>
      <c r="E383" t="s">
        <v>1502</v>
      </c>
      <c r="F383">
        <v>1615</v>
      </c>
      <c r="G383" t="str">
        <f t="shared" si="5"/>
        <v>0101Y26D1615</v>
      </c>
    </row>
    <row r="384" spans="3:7">
      <c r="C384" t="s">
        <v>1869</v>
      </c>
      <c r="D384" t="s">
        <v>1504</v>
      </c>
      <c r="E384" t="s">
        <v>1500</v>
      </c>
      <c r="F384">
        <v>1616</v>
      </c>
      <c r="G384" t="str">
        <f t="shared" si="5"/>
        <v>0101P26S1616</v>
      </c>
    </row>
    <row r="385" spans="3:7">
      <c r="C385" t="s">
        <v>1870</v>
      </c>
      <c r="D385" t="s">
        <v>2899</v>
      </c>
      <c r="E385" t="s">
        <v>1498</v>
      </c>
      <c r="F385">
        <v>1617</v>
      </c>
      <c r="G385" t="str">
        <f t="shared" si="5"/>
        <v>0101V26K1617</v>
      </c>
    </row>
    <row r="386" spans="3:7">
      <c r="C386" t="s">
        <v>1871</v>
      </c>
      <c r="D386" t="s">
        <v>2907</v>
      </c>
      <c r="E386" t="s">
        <v>1506</v>
      </c>
      <c r="F386">
        <v>1618</v>
      </c>
      <c r="G386" t="str">
        <f t="shared" si="5"/>
        <v>0101Y26N1618</v>
      </c>
    </row>
    <row r="387" spans="3:7">
      <c r="C387" t="s">
        <v>1872</v>
      </c>
      <c r="D387" t="s">
        <v>2907</v>
      </c>
      <c r="E387" t="s">
        <v>1505</v>
      </c>
      <c r="F387">
        <v>1619</v>
      </c>
      <c r="G387" t="str">
        <f t="shared" ref="G387:G450" si="6">_xlfn.CONCAT("0101",D387,"26",E387,F387)</f>
        <v>0101Y26J1619</v>
      </c>
    </row>
    <row r="388" spans="3:7">
      <c r="C388" t="s">
        <v>1873</v>
      </c>
      <c r="D388" t="s">
        <v>1501</v>
      </c>
      <c r="E388" t="s">
        <v>1498</v>
      </c>
      <c r="F388">
        <v>1620</v>
      </c>
      <c r="G388" t="str">
        <f t="shared" si="6"/>
        <v>0101R26K1620</v>
      </c>
    </row>
    <row r="389" spans="3:7">
      <c r="C389" t="s">
        <v>1874</v>
      </c>
      <c r="D389" t="s">
        <v>1504</v>
      </c>
      <c r="E389" t="s">
        <v>1505</v>
      </c>
      <c r="F389">
        <v>1621</v>
      </c>
      <c r="G389" t="str">
        <f t="shared" si="6"/>
        <v>0101P26J1621</v>
      </c>
    </row>
    <row r="390" spans="3:7">
      <c r="C390" t="s">
        <v>1875</v>
      </c>
      <c r="D390" t="s">
        <v>1497</v>
      </c>
      <c r="E390" t="s">
        <v>1500</v>
      </c>
      <c r="F390">
        <v>1622</v>
      </c>
      <c r="G390" t="str">
        <f t="shared" si="6"/>
        <v>0101A26S1622</v>
      </c>
    </row>
    <row r="391" spans="3:7">
      <c r="C391" t="s">
        <v>396</v>
      </c>
      <c r="D391" t="s">
        <v>1503</v>
      </c>
      <c r="E391" t="s">
        <v>1505</v>
      </c>
      <c r="F391">
        <v>1623</v>
      </c>
      <c r="G391" t="str">
        <f t="shared" si="6"/>
        <v>0101I26J1623</v>
      </c>
    </row>
    <row r="392" spans="3:7">
      <c r="C392" t="s">
        <v>1876</v>
      </c>
      <c r="D392" t="s">
        <v>1506</v>
      </c>
      <c r="E392" t="s">
        <v>2901</v>
      </c>
      <c r="F392">
        <v>1624</v>
      </c>
      <c r="G392" t="str">
        <f t="shared" si="6"/>
        <v>0101N26B1624</v>
      </c>
    </row>
    <row r="393" spans="3:7">
      <c r="C393" t="s">
        <v>1877</v>
      </c>
      <c r="D393" t="s">
        <v>1497</v>
      </c>
      <c r="E393" t="s">
        <v>1497</v>
      </c>
      <c r="F393">
        <v>1625</v>
      </c>
      <c r="G393" t="str">
        <f t="shared" si="6"/>
        <v>0101A26A1625</v>
      </c>
    </row>
    <row r="394" spans="3:7">
      <c r="C394" t="s">
        <v>1878</v>
      </c>
      <c r="D394" t="s">
        <v>1500</v>
      </c>
      <c r="E394" t="s">
        <v>2901</v>
      </c>
      <c r="F394">
        <v>1626</v>
      </c>
      <c r="G394" t="str">
        <f t="shared" si="6"/>
        <v>0101S26B1626</v>
      </c>
    </row>
    <row r="395" spans="3:7">
      <c r="C395" t="s">
        <v>1879</v>
      </c>
      <c r="D395" t="s">
        <v>1497</v>
      </c>
      <c r="E395" t="s">
        <v>2906</v>
      </c>
      <c r="F395">
        <v>1627</v>
      </c>
      <c r="G395" t="str">
        <f t="shared" si="6"/>
        <v>0101A26G1627</v>
      </c>
    </row>
    <row r="396" spans="3:7">
      <c r="C396" t="s">
        <v>1880</v>
      </c>
      <c r="D396" t="s">
        <v>1500</v>
      </c>
      <c r="E396" t="s">
        <v>1500</v>
      </c>
      <c r="F396">
        <v>1628</v>
      </c>
      <c r="G396" t="str">
        <f t="shared" si="6"/>
        <v>0101S26S1628</v>
      </c>
    </row>
    <row r="397" spans="3:7">
      <c r="C397" t="s">
        <v>1881</v>
      </c>
      <c r="D397" t="s">
        <v>1501</v>
      </c>
      <c r="E397" t="s">
        <v>1498</v>
      </c>
      <c r="F397">
        <v>1629</v>
      </c>
      <c r="G397" t="str">
        <f t="shared" si="6"/>
        <v>0101R26K1629</v>
      </c>
    </row>
    <row r="398" spans="3:7">
      <c r="C398" t="s">
        <v>403</v>
      </c>
      <c r="D398" t="s">
        <v>1497</v>
      </c>
      <c r="E398" t="s">
        <v>2906</v>
      </c>
      <c r="F398">
        <v>1630</v>
      </c>
      <c r="G398" t="str">
        <f t="shared" si="6"/>
        <v>0101A26G1630</v>
      </c>
    </row>
    <row r="399" spans="3:7">
      <c r="C399" t="s">
        <v>404</v>
      </c>
      <c r="D399" t="s">
        <v>1508</v>
      </c>
      <c r="E399" t="s">
        <v>1497</v>
      </c>
      <c r="F399">
        <v>1631</v>
      </c>
      <c r="G399" t="str">
        <f t="shared" si="6"/>
        <v>0101M26A1631</v>
      </c>
    </row>
    <row r="400" spans="3:7">
      <c r="C400" t="s">
        <v>1882</v>
      </c>
      <c r="D400" t="s">
        <v>1506</v>
      </c>
      <c r="E400" t="s">
        <v>1500</v>
      </c>
      <c r="F400">
        <v>1632</v>
      </c>
      <c r="G400" t="str">
        <f t="shared" si="6"/>
        <v>0101N26S1632</v>
      </c>
    </row>
    <row r="401" spans="3:7">
      <c r="C401" t="s">
        <v>1883</v>
      </c>
      <c r="D401" t="s">
        <v>1509</v>
      </c>
      <c r="E401" t="s">
        <v>1508</v>
      </c>
      <c r="F401">
        <v>1633</v>
      </c>
      <c r="G401" t="str">
        <f t="shared" si="6"/>
        <v>0101H26M1633</v>
      </c>
    </row>
    <row r="402" spans="3:7">
      <c r="C402" t="s">
        <v>1884</v>
      </c>
      <c r="D402" t="s">
        <v>1508</v>
      </c>
      <c r="E402" t="s">
        <v>1507</v>
      </c>
      <c r="F402">
        <v>1634</v>
      </c>
      <c r="G402" t="str">
        <f t="shared" si="6"/>
        <v>0101M26T1634</v>
      </c>
    </row>
    <row r="403" spans="3:7">
      <c r="C403" t="s">
        <v>408</v>
      </c>
      <c r="D403" t="s">
        <v>1497</v>
      </c>
      <c r="E403" t="s">
        <v>1509</v>
      </c>
      <c r="F403">
        <v>1635</v>
      </c>
      <c r="G403" t="str">
        <f t="shared" si="6"/>
        <v>0101A26H1635</v>
      </c>
    </row>
    <row r="404" spans="3:7">
      <c r="C404" t="s">
        <v>1885</v>
      </c>
      <c r="D404" t="s">
        <v>1501</v>
      </c>
      <c r="E404" t="s">
        <v>1502</v>
      </c>
      <c r="F404">
        <v>1636</v>
      </c>
      <c r="G404" t="str">
        <f t="shared" si="6"/>
        <v>0101R26D1636</v>
      </c>
    </row>
    <row r="405" spans="3:7">
      <c r="C405" t="s">
        <v>1886</v>
      </c>
      <c r="D405" t="s">
        <v>1505</v>
      </c>
      <c r="E405" t="s">
        <v>2899</v>
      </c>
      <c r="F405">
        <v>1637</v>
      </c>
      <c r="G405" t="str">
        <f t="shared" si="6"/>
        <v>0101J26V1637</v>
      </c>
    </row>
    <row r="406" spans="3:7">
      <c r="C406" t="s">
        <v>1887</v>
      </c>
      <c r="D406" t="s">
        <v>1497</v>
      </c>
      <c r="E406" t="s">
        <v>1500</v>
      </c>
      <c r="F406">
        <v>1638</v>
      </c>
      <c r="G406" t="str">
        <f t="shared" si="6"/>
        <v>0101A26S1638</v>
      </c>
    </row>
    <row r="407" spans="3:7">
      <c r="C407" t="s">
        <v>1888</v>
      </c>
      <c r="D407" t="s">
        <v>1497</v>
      </c>
      <c r="E407" t="s">
        <v>1500</v>
      </c>
      <c r="F407">
        <v>1639</v>
      </c>
      <c r="G407" t="str">
        <f t="shared" si="6"/>
        <v>0101A26S1639</v>
      </c>
    </row>
    <row r="408" spans="3:7">
      <c r="C408" t="s">
        <v>1889</v>
      </c>
      <c r="D408" t="s">
        <v>1500</v>
      </c>
      <c r="E408" t="s">
        <v>1508</v>
      </c>
      <c r="F408">
        <v>1640</v>
      </c>
      <c r="G408" t="str">
        <f t="shared" si="6"/>
        <v>0101S26M1640</v>
      </c>
    </row>
    <row r="409" spans="3:7">
      <c r="C409" t="s">
        <v>1890</v>
      </c>
      <c r="D409" t="s">
        <v>1501</v>
      </c>
      <c r="E409" t="s">
        <v>1500</v>
      </c>
      <c r="F409">
        <v>1641</v>
      </c>
      <c r="G409" t="str">
        <f t="shared" si="6"/>
        <v>0101R26S1641</v>
      </c>
    </row>
    <row r="410" spans="3:7">
      <c r="C410" t="s">
        <v>1891</v>
      </c>
      <c r="D410" t="s">
        <v>1500</v>
      </c>
      <c r="E410" t="s">
        <v>1507</v>
      </c>
      <c r="F410">
        <v>1642</v>
      </c>
      <c r="G410" t="str">
        <f t="shared" si="6"/>
        <v>0101S26T1642</v>
      </c>
    </row>
    <row r="411" spans="3:7">
      <c r="C411" t="s">
        <v>1892</v>
      </c>
      <c r="D411" t="s">
        <v>1504</v>
      </c>
      <c r="E411" t="s">
        <v>1500</v>
      </c>
      <c r="F411">
        <v>1643</v>
      </c>
      <c r="G411" t="str">
        <f t="shared" si="6"/>
        <v>0101P26S1643</v>
      </c>
    </row>
    <row r="412" spans="3:7">
      <c r="C412" t="s">
        <v>1893</v>
      </c>
      <c r="D412" t="s">
        <v>1500</v>
      </c>
      <c r="E412" t="s">
        <v>1506</v>
      </c>
      <c r="F412">
        <v>1644</v>
      </c>
      <c r="G412" t="str">
        <f t="shared" si="6"/>
        <v>0101S26N1644</v>
      </c>
    </row>
    <row r="413" spans="3:7">
      <c r="C413" t="s">
        <v>1894</v>
      </c>
      <c r="D413" t="s">
        <v>1504</v>
      </c>
      <c r="E413" t="s">
        <v>2906</v>
      </c>
      <c r="F413">
        <v>1645</v>
      </c>
      <c r="G413" t="str">
        <f t="shared" si="6"/>
        <v>0101P26G1645</v>
      </c>
    </row>
    <row r="414" spans="3:7">
      <c r="C414" t="s">
        <v>1895</v>
      </c>
      <c r="D414" t="s">
        <v>1500</v>
      </c>
      <c r="E414" t="s">
        <v>1504</v>
      </c>
      <c r="F414">
        <v>1646</v>
      </c>
      <c r="G414" t="str">
        <f t="shared" si="6"/>
        <v>0101S26P1646</v>
      </c>
    </row>
    <row r="415" spans="3:7">
      <c r="C415" t="s">
        <v>1896</v>
      </c>
      <c r="D415" t="s">
        <v>1508</v>
      </c>
      <c r="E415" t="s">
        <v>1497</v>
      </c>
      <c r="F415">
        <v>1647</v>
      </c>
      <c r="G415" t="str">
        <f t="shared" si="6"/>
        <v>0101M26A1647</v>
      </c>
    </row>
    <row r="416" spans="3:7">
      <c r="C416" t="s">
        <v>1897</v>
      </c>
      <c r="D416" t="s">
        <v>1498</v>
      </c>
      <c r="E416" t="s">
        <v>1502</v>
      </c>
      <c r="F416">
        <v>1648</v>
      </c>
      <c r="G416" t="str">
        <f t="shared" si="6"/>
        <v>0101K26D1648</v>
      </c>
    </row>
    <row r="417" spans="3:7">
      <c r="C417" t="s">
        <v>1898</v>
      </c>
      <c r="D417" t="s">
        <v>1501</v>
      </c>
      <c r="E417" t="s">
        <v>1502</v>
      </c>
      <c r="F417">
        <v>1649</v>
      </c>
      <c r="G417" t="str">
        <f t="shared" si="6"/>
        <v>0101R26D1649</v>
      </c>
    </row>
    <row r="418" spans="3:7">
      <c r="C418" t="s">
        <v>1899</v>
      </c>
      <c r="D418" t="s">
        <v>1508</v>
      </c>
      <c r="E418" t="s">
        <v>1497</v>
      </c>
      <c r="F418">
        <v>1650</v>
      </c>
      <c r="G418" t="str">
        <f t="shared" si="6"/>
        <v>0101M26A1650</v>
      </c>
    </row>
    <row r="419" spans="3:7">
      <c r="C419" t="s">
        <v>1900</v>
      </c>
      <c r="D419" t="s">
        <v>1504</v>
      </c>
      <c r="E419" t="s">
        <v>1499</v>
      </c>
      <c r="F419">
        <v>1651</v>
      </c>
      <c r="G419" t="str">
        <f t="shared" si="6"/>
        <v>0101P26C1651</v>
      </c>
    </row>
    <row r="420" spans="3:7">
      <c r="C420" t="s">
        <v>1901</v>
      </c>
      <c r="D420" t="s">
        <v>1498</v>
      </c>
      <c r="E420" t="s">
        <v>1505</v>
      </c>
      <c r="F420">
        <v>1652</v>
      </c>
      <c r="G420" t="str">
        <f t="shared" si="6"/>
        <v>0101K26J1652</v>
      </c>
    </row>
    <row r="421" spans="3:7">
      <c r="C421" t="s">
        <v>1902</v>
      </c>
      <c r="D421" t="s">
        <v>1500</v>
      </c>
      <c r="E421" t="s">
        <v>1507</v>
      </c>
      <c r="F421">
        <v>1653</v>
      </c>
      <c r="G421" t="str">
        <f t="shared" si="6"/>
        <v>0101S26T1653</v>
      </c>
    </row>
    <row r="422" spans="3:7">
      <c r="C422" t="s">
        <v>1903</v>
      </c>
      <c r="D422" t="s">
        <v>1497</v>
      </c>
      <c r="E422" t="s">
        <v>1497</v>
      </c>
      <c r="F422">
        <v>1654</v>
      </c>
      <c r="G422" t="str">
        <f t="shared" si="6"/>
        <v>0101A26A1654</v>
      </c>
    </row>
    <row r="423" spans="3:7">
      <c r="C423" t="s">
        <v>1904</v>
      </c>
      <c r="D423" t="s">
        <v>2904</v>
      </c>
      <c r="E423" t="s">
        <v>1497</v>
      </c>
      <c r="F423">
        <v>1655</v>
      </c>
      <c r="G423" t="str">
        <f t="shared" si="6"/>
        <v>0101L26A1655</v>
      </c>
    </row>
    <row r="424" spans="3:7">
      <c r="C424" t="s">
        <v>1905</v>
      </c>
      <c r="D424" t="s">
        <v>1500</v>
      </c>
      <c r="E424" t="s">
        <v>1501</v>
      </c>
      <c r="F424">
        <v>1656</v>
      </c>
      <c r="G424" t="str">
        <f t="shared" si="6"/>
        <v>0101S26R1656</v>
      </c>
    </row>
    <row r="425" spans="3:7">
      <c r="C425" t="s">
        <v>1906</v>
      </c>
      <c r="D425" t="s">
        <v>1499</v>
      </c>
      <c r="E425" t="s">
        <v>1505</v>
      </c>
      <c r="F425">
        <v>1657</v>
      </c>
      <c r="G425" t="str">
        <f t="shared" si="6"/>
        <v>0101C26J1657</v>
      </c>
    </row>
    <row r="426" spans="3:7">
      <c r="C426" t="s">
        <v>1907</v>
      </c>
      <c r="D426" t="s">
        <v>1498</v>
      </c>
      <c r="E426" t="s">
        <v>1502</v>
      </c>
      <c r="F426">
        <v>1658</v>
      </c>
      <c r="G426" t="str">
        <f t="shared" si="6"/>
        <v>0101K26D1658</v>
      </c>
    </row>
    <row r="427" spans="3:7">
      <c r="C427" t="s">
        <v>1908</v>
      </c>
      <c r="D427" t="s">
        <v>2907</v>
      </c>
      <c r="E427" t="s">
        <v>1498</v>
      </c>
      <c r="F427">
        <v>1659</v>
      </c>
      <c r="G427" t="str">
        <f t="shared" si="6"/>
        <v>0101Y26K1659</v>
      </c>
    </row>
    <row r="428" spans="3:7">
      <c r="C428" t="s">
        <v>433</v>
      </c>
      <c r="D428" t="s">
        <v>1500</v>
      </c>
      <c r="E428" t="s">
        <v>1500</v>
      </c>
      <c r="F428">
        <v>1660</v>
      </c>
      <c r="G428" t="str">
        <f t="shared" si="6"/>
        <v>0101S26S1660</v>
      </c>
    </row>
    <row r="429" spans="3:7">
      <c r="C429" t="s">
        <v>1909</v>
      </c>
      <c r="D429" t="s">
        <v>1503</v>
      </c>
      <c r="E429" t="s">
        <v>1499</v>
      </c>
      <c r="F429">
        <v>1661</v>
      </c>
      <c r="G429" t="str">
        <f t="shared" si="6"/>
        <v>0101I26C1661</v>
      </c>
    </row>
    <row r="430" spans="3:7">
      <c r="C430" t="s">
        <v>1910</v>
      </c>
      <c r="D430" t="s">
        <v>1497</v>
      </c>
      <c r="E430" t="s">
        <v>1498</v>
      </c>
      <c r="F430">
        <v>1662</v>
      </c>
      <c r="G430" t="str">
        <f t="shared" si="6"/>
        <v>0101A26K1662</v>
      </c>
    </row>
    <row r="431" spans="3:7">
      <c r="C431" t="s">
        <v>1911</v>
      </c>
      <c r="D431" t="s">
        <v>1502</v>
      </c>
      <c r="E431" t="s">
        <v>1505</v>
      </c>
      <c r="F431">
        <v>1663</v>
      </c>
      <c r="G431" t="str">
        <f t="shared" si="6"/>
        <v>0101D26J1663</v>
      </c>
    </row>
    <row r="432" spans="3:7">
      <c r="C432" t="s">
        <v>1912</v>
      </c>
      <c r="D432" t="s">
        <v>1497</v>
      </c>
      <c r="E432" t="s">
        <v>1500</v>
      </c>
      <c r="F432">
        <v>1664</v>
      </c>
      <c r="G432" t="str">
        <f t="shared" si="6"/>
        <v>0101A26S1664</v>
      </c>
    </row>
    <row r="433" spans="3:7">
      <c r="C433" t="s">
        <v>438</v>
      </c>
      <c r="D433" t="s">
        <v>1500</v>
      </c>
      <c r="E433" t="s">
        <v>1505</v>
      </c>
      <c r="F433">
        <v>1665</v>
      </c>
      <c r="G433" t="str">
        <f t="shared" si="6"/>
        <v>0101S26J1665</v>
      </c>
    </row>
    <row r="434" spans="3:7">
      <c r="C434" t="s">
        <v>1913</v>
      </c>
      <c r="D434" t="s">
        <v>1500</v>
      </c>
      <c r="E434" t="s">
        <v>1508</v>
      </c>
      <c r="F434">
        <v>1666</v>
      </c>
      <c r="G434" t="str">
        <f t="shared" si="6"/>
        <v>0101S26M1666</v>
      </c>
    </row>
    <row r="435" spans="3:7">
      <c r="C435" t="s">
        <v>1914</v>
      </c>
      <c r="D435" t="s">
        <v>2901</v>
      </c>
      <c r="E435" t="s">
        <v>1507</v>
      </c>
      <c r="F435">
        <v>1667</v>
      </c>
      <c r="G435" t="str">
        <f t="shared" si="6"/>
        <v>0101B26T1667</v>
      </c>
    </row>
    <row r="436" spans="3:7">
      <c r="C436" t="s">
        <v>1915</v>
      </c>
      <c r="D436" t="s">
        <v>1508</v>
      </c>
      <c r="E436" t="s">
        <v>1509</v>
      </c>
      <c r="F436">
        <v>1668</v>
      </c>
      <c r="G436" t="str">
        <f t="shared" si="6"/>
        <v>0101M26H1668</v>
      </c>
    </row>
    <row r="437" spans="3:7">
      <c r="C437" t="s">
        <v>1916</v>
      </c>
      <c r="D437" t="s">
        <v>1500</v>
      </c>
      <c r="E437" t="s">
        <v>1500</v>
      </c>
      <c r="F437">
        <v>1669</v>
      </c>
      <c r="G437" t="str">
        <f t="shared" si="6"/>
        <v>0101S26S1669</v>
      </c>
    </row>
    <row r="438" spans="3:7">
      <c r="C438" t="s">
        <v>1917</v>
      </c>
      <c r="D438" t="s">
        <v>1509</v>
      </c>
      <c r="E438" t="s">
        <v>1497</v>
      </c>
      <c r="F438">
        <v>1670</v>
      </c>
      <c r="G438" t="str">
        <f t="shared" si="6"/>
        <v>0101H26A1670</v>
      </c>
    </row>
    <row r="439" spans="3:7">
      <c r="C439" t="s">
        <v>1918</v>
      </c>
      <c r="D439" t="s">
        <v>1498</v>
      </c>
      <c r="E439" t="s">
        <v>1508</v>
      </c>
      <c r="F439">
        <v>1671</v>
      </c>
      <c r="G439" t="str">
        <f t="shared" si="6"/>
        <v>0101K26M1671</v>
      </c>
    </row>
    <row r="440" spans="3:7">
      <c r="C440" t="s">
        <v>1919</v>
      </c>
      <c r="D440" t="s">
        <v>1509</v>
      </c>
      <c r="E440" t="s">
        <v>1500</v>
      </c>
      <c r="F440">
        <v>1672</v>
      </c>
      <c r="G440" t="str">
        <f t="shared" si="6"/>
        <v>0101H26S1672</v>
      </c>
    </row>
    <row r="441" spans="3:7">
      <c r="C441" t="s">
        <v>1920</v>
      </c>
      <c r="D441" t="s">
        <v>1499</v>
      </c>
      <c r="E441" t="s">
        <v>1501</v>
      </c>
      <c r="F441">
        <v>1673</v>
      </c>
      <c r="G441" t="str">
        <f t="shared" si="6"/>
        <v>0101C26R1673</v>
      </c>
    </row>
    <row r="442" spans="3:7">
      <c r="C442" t="s">
        <v>1921</v>
      </c>
      <c r="D442" t="s">
        <v>1500</v>
      </c>
      <c r="E442" t="s">
        <v>1497</v>
      </c>
      <c r="F442">
        <v>1674</v>
      </c>
      <c r="G442" t="str">
        <f t="shared" si="6"/>
        <v>0101S26A1674</v>
      </c>
    </row>
    <row r="443" spans="3:7">
      <c r="C443" t="s">
        <v>1922</v>
      </c>
      <c r="D443" t="s">
        <v>1500</v>
      </c>
      <c r="E443" t="s">
        <v>1504</v>
      </c>
      <c r="F443">
        <v>1675</v>
      </c>
      <c r="G443" t="str">
        <f t="shared" si="6"/>
        <v>0101S26P1675</v>
      </c>
    </row>
    <row r="444" spans="3:7">
      <c r="C444" t="s">
        <v>1923</v>
      </c>
      <c r="D444" t="s">
        <v>1498</v>
      </c>
      <c r="E444" t="s">
        <v>1504</v>
      </c>
      <c r="F444">
        <v>1676</v>
      </c>
      <c r="G444" t="str">
        <f t="shared" si="6"/>
        <v>0101K26P1676</v>
      </c>
    </row>
    <row r="445" spans="3:7">
      <c r="C445" t="s">
        <v>1924</v>
      </c>
      <c r="D445" t="s">
        <v>1500</v>
      </c>
      <c r="E445" t="s">
        <v>1500</v>
      </c>
      <c r="F445">
        <v>1677</v>
      </c>
      <c r="G445" t="str">
        <f t="shared" si="6"/>
        <v>0101S26S1677</v>
      </c>
    </row>
    <row r="446" spans="3:7">
      <c r="C446" t="s">
        <v>1925</v>
      </c>
      <c r="D446" t="s">
        <v>1502</v>
      </c>
      <c r="E446" t="s">
        <v>2906</v>
      </c>
      <c r="F446">
        <v>1678</v>
      </c>
      <c r="G446" t="str">
        <f t="shared" si="6"/>
        <v>0101D26G1678</v>
      </c>
    </row>
    <row r="447" spans="3:7">
      <c r="C447" t="s">
        <v>1926</v>
      </c>
      <c r="D447" t="s">
        <v>1500</v>
      </c>
      <c r="E447" t="s">
        <v>1503</v>
      </c>
      <c r="F447">
        <v>1679</v>
      </c>
      <c r="G447" t="str">
        <f t="shared" si="6"/>
        <v>0101S26I1679</v>
      </c>
    </row>
    <row r="448" spans="3:7">
      <c r="C448" t="s">
        <v>1927</v>
      </c>
      <c r="D448" t="s">
        <v>1502</v>
      </c>
      <c r="E448" t="s">
        <v>1497</v>
      </c>
      <c r="F448">
        <v>1680</v>
      </c>
      <c r="G448" t="str">
        <f t="shared" si="6"/>
        <v>0101D26A1680</v>
      </c>
    </row>
    <row r="449" spans="3:7">
      <c r="C449" t="s">
        <v>1928</v>
      </c>
      <c r="D449" t="s">
        <v>1498</v>
      </c>
      <c r="E449" t="s">
        <v>1500</v>
      </c>
      <c r="F449">
        <v>1681</v>
      </c>
      <c r="G449" t="str">
        <f t="shared" si="6"/>
        <v>0101K26S1681</v>
      </c>
    </row>
    <row r="450" spans="3:7">
      <c r="C450" t="s">
        <v>1929</v>
      </c>
      <c r="D450" t="s">
        <v>1505</v>
      </c>
      <c r="E450" t="s">
        <v>1498</v>
      </c>
      <c r="F450">
        <v>1682</v>
      </c>
      <c r="G450" t="str">
        <f t="shared" si="6"/>
        <v>0101J26K1682</v>
      </c>
    </row>
    <row r="451" spans="3:7">
      <c r="C451" t="s">
        <v>1930</v>
      </c>
      <c r="D451" t="s">
        <v>1501</v>
      </c>
      <c r="E451" t="s">
        <v>2906</v>
      </c>
      <c r="F451">
        <v>1683</v>
      </c>
      <c r="G451" t="str">
        <f t="shared" ref="G451:G514" si="7">_xlfn.CONCAT("0101",D451,"26",E451,F451)</f>
        <v>0101R26G1683</v>
      </c>
    </row>
    <row r="452" spans="3:7">
      <c r="C452" t="s">
        <v>1931</v>
      </c>
      <c r="D452" t="s">
        <v>1497</v>
      </c>
      <c r="E452" t="s">
        <v>2906</v>
      </c>
      <c r="F452">
        <v>1684</v>
      </c>
      <c r="G452" t="str">
        <f t="shared" si="7"/>
        <v>0101A26G1684</v>
      </c>
    </row>
    <row r="453" spans="3:7">
      <c r="C453" t="s">
        <v>1932</v>
      </c>
      <c r="D453" t="s">
        <v>1500</v>
      </c>
      <c r="E453" t="s">
        <v>1497</v>
      </c>
      <c r="F453">
        <v>1685</v>
      </c>
      <c r="G453" t="str">
        <f t="shared" si="7"/>
        <v>0101S26A1685</v>
      </c>
    </row>
    <row r="454" spans="3:7">
      <c r="C454" t="s">
        <v>1933</v>
      </c>
      <c r="D454" t="s">
        <v>1500</v>
      </c>
      <c r="E454" t="s">
        <v>1499</v>
      </c>
      <c r="F454">
        <v>1686</v>
      </c>
      <c r="G454" t="str">
        <f t="shared" si="7"/>
        <v>0101S26C1686</v>
      </c>
    </row>
    <row r="455" spans="3:7">
      <c r="C455" t="s">
        <v>460</v>
      </c>
      <c r="D455" t="s">
        <v>1497</v>
      </c>
      <c r="E455" t="s">
        <v>1500</v>
      </c>
      <c r="F455">
        <v>1687</v>
      </c>
      <c r="G455" t="str">
        <f t="shared" si="7"/>
        <v>0101A26S1687</v>
      </c>
    </row>
    <row r="456" spans="3:7">
      <c r="C456" t="s">
        <v>461</v>
      </c>
      <c r="D456" t="s">
        <v>1497</v>
      </c>
      <c r="E456" t="s">
        <v>2903</v>
      </c>
      <c r="F456">
        <v>1688</v>
      </c>
      <c r="G456" t="str">
        <f t="shared" si="7"/>
        <v>0101A26F1688</v>
      </c>
    </row>
    <row r="457" spans="3:7">
      <c r="C457" t="s">
        <v>1934</v>
      </c>
      <c r="D457" t="s">
        <v>2903</v>
      </c>
      <c r="E457" t="s">
        <v>2903</v>
      </c>
      <c r="F457">
        <v>1689</v>
      </c>
      <c r="G457" t="str">
        <f t="shared" si="7"/>
        <v>0101F26F1689</v>
      </c>
    </row>
    <row r="458" spans="3:7">
      <c r="C458" t="s">
        <v>1935</v>
      </c>
      <c r="D458" t="s">
        <v>1501</v>
      </c>
      <c r="E458" t="s">
        <v>1497</v>
      </c>
      <c r="F458">
        <v>1690</v>
      </c>
      <c r="G458" t="str">
        <f t="shared" si="7"/>
        <v>0101R26A1690</v>
      </c>
    </row>
    <row r="459" spans="3:7">
      <c r="C459" t="s">
        <v>464</v>
      </c>
      <c r="D459" t="s">
        <v>1502</v>
      </c>
      <c r="E459" t="s">
        <v>1498</v>
      </c>
      <c r="F459">
        <v>1691</v>
      </c>
      <c r="G459" t="str">
        <f t="shared" si="7"/>
        <v>0101D26K1691</v>
      </c>
    </row>
    <row r="460" spans="3:7">
      <c r="C460" t="s">
        <v>1936</v>
      </c>
      <c r="D460" t="s">
        <v>2905</v>
      </c>
      <c r="E460" t="s">
        <v>1498</v>
      </c>
      <c r="F460">
        <v>1692</v>
      </c>
      <c r="G460" t="str">
        <f t="shared" si="7"/>
        <v>0101O26K1692</v>
      </c>
    </row>
    <row r="461" spans="3:7">
      <c r="C461" t="s">
        <v>1937</v>
      </c>
      <c r="D461" t="s">
        <v>1498</v>
      </c>
      <c r="E461" t="s">
        <v>1497</v>
      </c>
      <c r="F461">
        <v>1693</v>
      </c>
      <c r="G461" t="str">
        <f t="shared" si="7"/>
        <v>0101K26A1693</v>
      </c>
    </row>
    <row r="462" spans="3:7">
      <c r="C462" t="s">
        <v>1938</v>
      </c>
      <c r="D462" t="s">
        <v>1500</v>
      </c>
      <c r="E462" t="s">
        <v>1502</v>
      </c>
      <c r="F462">
        <v>1694</v>
      </c>
      <c r="G462" t="str">
        <f t="shared" si="7"/>
        <v>0101S26D1694</v>
      </c>
    </row>
    <row r="463" spans="3:7">
      <c r="C463" t="s">
        <v>468</v>
      </c>
      <c r="D463" t="s">
        <v>1500</v>
      </c>
      <c r="E463" t="s">
        <v>2906</v>
      </c>
      <c r="F463">
        <v>1695</v>
      </c>
      <c r="G463" t="str">
        <f t="shared" si="7"/>
        <v>0101S26G1695</v>
      </c>
    </row>
    <row r="464" spans="3:7">
      <c r="C464" t="s">
        <v>1939</v>
      </c>
      <c r="D464" t="s">
        <v>2906</v>
      </c>
      <c r="E464" t="s">
        <v>1499</v>
      </c>
      <c r="F464">
        <v>1696</v>
      </c>
      <c r="G464" t="str">
        <f t="shared" si="7"/>
        <v>0101G26C1696</v>
      </c>
    </row>
    <row r="465" spans="3:7">
      <c r="C465" t="s">
        <v>1940</v>
      </c>
      <c r="D465" t="s">
        <v>1497</v>
      </c>
      <c r="E465" t="s">
        <v>1497</v>
      </c>
      <c r="F465">
        <v>1697</v>
      </c>
      <c r="G465" t="str">
        <f t="shared" si="7"/>
        <v>0101A26A1697</v>
      </c>
    </row>
    <row r="466" spans="3:7">
      <c r="C466" t="s">
        <v>471</v>
      </c>
      <c r="D466" t="s">
        <v>1497</v>
      </c>
      <c r="E466" t="s">
        <v>1500</v>
      </c>
      <c r="F466">
        <v>1698</v>
      </c>
      <c r="G466" t="str">
        <f t="shared" si="7"/>
        <v>0101A26S1698</v>
      </c>
    </row>
    <row r="467" spans="3:7">
      <c r="C467" t="s">
        <v>1941</v>
      </c>
      <c r="D467" t="s">
        <v>1504</v>
      </c>
      <c r="E467" t="s">
        <v>2901</v>
      </c>
      <c r="F467">
        <v>1699</v>
      </c>
      <c r="G467" t="str">
        <f t="shared" si="7"/>
        <v>0101P26B1699</v>
      </c>
    </row>
    <row r="468" spans="3:7">
      <c r="C468" t="s">
        <v>1942</v>
      </c>
      <c r="D468" t="s">
        <v>1509</v>
      </c>
      <c r="E468" t="s">
        <v>1505</v>
      </c>
      <c r="F468">
        <v>1700</v>
      </c>
      <c r="G468" t="str">
        <f t="shared" si="7"/>
        <v>0101H26J1700</v>
      </c>
    </row>
    <row r="469" spans="3:7">
      <c r="C469" t="s">
        <v>1943</v>
      </c>
      <c r="D469" t="s">
        <v>1504</v>
      </c>
      <c r="E469" t="s">
        <v>1506</v>
      </c>
      <c r="F469">
        <v>1701</v>
      </c>
      <c r="G469" t="str">
        <f t="shared" si="7"/>
        <v>0101P26N1701</v>
      </c>
    </row>
    <row r="470" spans="3:7">
      <c r="C470" t="s">
        <v>1944</v>
      </c>
      <c r="D470" t="s">
        <v>1508</v>
      </c>
      <c r="E470" t="s">
        <v>1500</v>
      </c>
      <c r="F470">
        <v>1702</v>
      </c>
      <c r="G470" t="str">
        <f t="shared" si="7"/>
        <v>0101M26S1702</v>
      </c>
    </row>
    <row r="471" spans="3:7">
      <c r="C471" t="s">
        <v>1945</v>
      </c>
      <c r="D471" t="s">
        <v>1497</v>
      </c>
      <c r="E471" t="s">
        <v>1504</v>
      </c>
      <c r="F471">
        <v>1703</v>
      </c>
      <c r="G471" t="str">
        <f t="shared" si="7"/>
        <v>0101A26P1703</v>
      </c>
    </row>
    <row r="472" spans="3:7">
      <c r="C472" t="s">
        <v>1946</v>
      </c>
      <c r="D472" t="s">
        <v>1502</v>
      </c>
      <c r="E472" t="s">
        <v>1497</v>
      </c>
      <c r="F472">
        <v>1704</v>
      </c>
      <c r="G472" t="str">
        <f t="shared" si="7"/>
        <v>0101D26A1704</v>
      </c>
    </row>
    <row r="473" spans="3:7">
      <c r="C473" t="s">
        <v>1947</v>
      </c>
      <c r="D473" t="s">
        <v>1508</v>
      </c>
      <c r="E473" t="s">
        <v>2903</v>
      </c>
      <c r="F473">
        <v>1705</v>
      </c>
      <c r="G473" t="str">
        <f t="shared" si="7"/>
        <v>0101M26F1705</v>
      </c>
    </row>
    <row r="474" spans="3:7">
      <c r="C474" t="s">
        <v>1948</v>
      </c>
      <c r="D474" t="s">
        <v>1509</v>
      </c>
      <c r="E474" t="s">
        <v>1497</v>
      </c>
      <c r="F474">
        <v>1706</v>
      </c>
      <c r="G474" t="str">
        <f t="shared" si="7"/>
        <v>0101H26A1706</v>
      </c>
    </row>
    <row r="475" spans="3:7">
      <c r="C475" t="s">
        <v>1949</v>
      </c>
      <c r="D475" t="s">
        <v>1504</v>
      </c>
      <c r="E475" t="s">
        <v>1500</v>
      </c>
      <c r="F475">
        <v>1707</v>
      </c>
      <c r="G475" t="str">
        <f t="shared" si="7"/>
        <v>0101P26S1707</v>
      </c>
    </row>
    <row r="476" spans="3:7">
      <c r="C476" t="s">
        <v>1950</v>
      </c>
      <c r="D476" t="s">
        <v>1500</v>
      </c>
      <c r="E476" t="s">
        <v>1501</v>
      </c>
      <c r="F476">
        <v>1708</v>
      </c>
      <c r="G476" t="str">
        <f t="shared" si="7"/>
        <v>0101S26R1708</v>
      </c>
    </row>
    <row r="477" spans="3:7">
      <c r="C477" t="s">
        <v>1951</v>
      </c>
      <c r="D477" t="s">
        <v>1498</v>
      </c>
      <c r="E477" t="s">
        <v>1501</v>
      </c>
      <c r="F477">
        <v>1709</v>
      </c>
      <c r="G477" t="str">
        <f t="shared" si="7"/>
        <v>0101K26R1709</v>
      </c>
    </row>
    <row r="478" spans="3:7">
      <c r="C478" t="s">
        <v>483</v>
      </c>
      <c r="D478" t="s">
        <v>1508</v>
      </c>
      <c r="E478" t="s">
        <v>1508</v>
      </c>
      <c r="F478">
        <v>1710</v>
      </c>
      <c r="G478" t="str">
        <f t="shared" si="7"/>
        <v>0101M26M1710</v>
      </c>
    </row>
    <row r="479" spans="3:7">
      <c r="C479" t="s">
        <v>1952</v>
      </c>
      <c r="D479" t="s">
        <v>1500</v>
      </c>
      <c r="E479" t="s">
        <v>1506</v>
      </c>
      <c r="F479">
        <v>1711</v>
      </c>
      <c r="G479" t="str">
        <f t="shared" si="7"/>
        <v>0101S26N1711</v>
      </c>
    </row>
    <row r="480" spans="3:7">
      <c r="C480" t="s">
        <v>1953</v>
      </c>
      <c r="D480" t="s">
        <v>2905</v>
      </c>
      <c r="E480" t="s">
        <v>1497</v>
      </c>
      <c r="F480">
        <v>1712</v>
      </c>
      <c r="G480" t="str">
        <f t="shared" si="7"/>
        <v>0101O26A1712</v>
      </c>
    </row>
    <row r="481" spans="3:7">
      <c r="C481" t="s">
        <v>1954</v>
      </c>
      <c r="D481" t="s">
        <v>1507</v>
      </c>
      <c r="E481" t="s">
        <v>1505</v>
      </c>
      <c r="F481">
        <v>1713</v>
      </c>
      <c r="G481" t="str">
        <f t="shared" si="7"/>
        <v>0101T26J1713</v>
      </c>
    </row>
    <row r="482" spans="3:7">
      <c r="C482" t="s">
        <v>1955</v>
      </c>
      <c r="D482" t="s">
        <v>1500</v>
      </c>
      <c r="E482" t="s">
        <v>1498</v>
      </c>
      <c r="F482">
        <v>1714</v>
      </c>
      <c r="G482" t="str">
        <f t="shared" si="7"/>
        <v>0101S26K1714</v>
      </c>
    </row>
    <row r="483" spans="3:7">
      <c r="C483" t="s">
        <v>1956</v>
      </c>
      <c r="D483" t="s">
        <v>1500</v>
      </c>
      <c r="E483" t="s">
        <v>2901</v>
      </c>
      <c r="F483">
        <v>1715</v>
      </c>
      <c r="G483" t="str">
        <f t="shared" si="7"/>
        <v>0101S26B1715</v>
      </c>
    </row>
    <row r="484" spans="3:7">
      <c r="C484" t="s">
        <v>1957</v>
      </c>
      <c r="D484" t="s">
        <v>1508</v>
      </c>
      <c r="E484" t="s">
        <v>1506</v>
      </c>
      <c r="F484">
        <v>1716</v>
      </c>
      <c r="G484" t="str">
        <f t="shared" si="7"/>
        <v>0101M26N1716</v>
      </c>
    </row>
    <row r="485" spans="3:7">
      <c r="C485" t="s">
        <v>1958</v>
      </c>
      <c r="D485" t="s">
        <v>1507</v>
      </c>
      <c r="E485" t="s">
        <v>1504</v>
      </c>
      <c r="F485">
        <v>1717</v>
      </c>
      <c r="G485" t="str">
        <f t="shared" si="7"/>
        <v>0101T26P1717</v>
      </c>
    </row>
    <row r="486" spans="3:7">
      <c r="C486" t="s">
        <v>1959</v>
      </c>
      <c r="D486" t="s">
        <v>1497</v>
      </c>
      <c r="E486" t="s">
        <v>1501</v>
      </c>
      <c r="F486">
        <v>1718</v>
      </c>
      <c r="G486" t="str">
        <f t="shared" si="7"/>
        <v>0101A26R1718</v>
      </c>
    </row>
    <row r="487" spans="3:7">
      <c r="C487" t="s">
        <v>1960</v>
      </c>
      <c r="D487" t="s">
        <v>1506</v>
      </c>
      <c r="E487" t="s">
        <v>1498</v>
      </c>
      <c r="F487">
        <v>1719</v>
      </c>
      <c r="G487" t="str">
        <f t="shared" si="7"/>
        <v>0101N26K1719</v>
      </c>
    </row>
    <row r="488" spans="3:7">
      <c r="C488" t="s">
        <v>493</v>
      </c>
      <c r="D488" t="s">
        <v>1500</v>
      </c>
      <c r="E488" t="s">
        <v>1501</v>
      </c>
      <c r="F488">
        <v>1720</v>
      </c>
      <c r="G488" t="str">
        <f t="shared" si="7"/>
        <v>0101S26R1720</v>
      </c>
    </row>
    <row r="489" spans="3:7">
      <c r="C489" t="s">
        <v>1961</v>
      </c>
      <c r="D489" t="s">
        <v>1500</v>
      </c>
      <c r="E489" t="s">
        <v>1498</v>
      </c>
      <c r="F489">
        <v>1721</v>
      </c>
      <c r="G489" t="str">
        <f t="shared" si="7"/>
        <v>0101S26K1721</v>
      </c>
    </row>
    <row r="490" spans="3:7">
      <c r="C490" t="s">
        <v>1962</v>
      </c>
      <c r="D490" t="s">
        <v>1497</v>
      </c>
      <c r="E490" t="s">
        <v>1498</v>
      </c>
      <c r="F490">
        <v>1722</v>
      </c>
      <c r="G490" t="str">
        <f t="shared" si="7"/>
        <v>0101A26K1722</v>
      </c>
    </row>
    <row r="491" spans="3:7">
      <c r="C491" t="s">
        <v>1963</v>
      </c>
      <c r="D491" t="s">
        <v>1501</v>
      </c>
      <c r="E491" t="s">
        <v>2906</v>
      </c>
      <c r="F491">
        <v>1723</v>
      </c>
      <c r="G491" t="str">
        <f t="shared" si="7"/>
        <v>0101R26G1723</v>
      </c>
    </row>
    <row r="492" spans="3:7">
      <c r="C492" t="s">
        <v>1964</v>
      </c>
      <c r="D492" t="s">
        <v>1501</v>
      </c>
      <c r="E492" t="s">
        <v>1508</v>
      </c>
      <c r="F492">
        <v>1724</v>
      </c>
      <c r="G492" t="str">
        <f t="shared" si="7"/>
        <v>0101R26M1724</v>
      </c>
    </row>
    <row r="493" spans="3:7">
      <c r="C493" t="s">
        <v>1965</v>
      </c>
      <c r="D493" t="s">
        <v>1500</v>
      </c>
      <c r="E493" t="s">
        <v>1497</v>
      </c>
      <c r="F493">
        <v>1725</v>
      </c>
      <c r="G493" t="str">
        <f t="shared" si="7"/>
        <v>0101S26A1725</v>
      </c>
    </row>
    <row r="494" spans="3:7">
      <c r="C494" t="s">
        <v>1966</v>
      </c>
      <c r="D494" t="s">
        <v>1497</v>
      </c>
      <c r="E494" t="s">
        <v>2903</v>
      </c>
      <c r="F494">
        <v>1726</v>
      </c>
      <c r="G494" t="str">
        <f t="shared" si="7"/>
        <v>0101A26F1726</v>
      </c>
    </row>
    <row r="495" spans="3:7">
      <c r="C495" t="s">
        <v>1967</v>
      </c>
      <c r="D495" t="s">
        <v>1497</v>
      </c>
      <c r="E495" t="s">
        <v>2901</v>
      </c>
      <c r="F495">
        <v>1727</v>
      </c>
      <c r="G495" t="str">
        <f t="shared" si="7"/>
        <v>0101A26B1727</v>
      </c>
    </row>
    <row r="496" spans="3:7">
      <c r="C496" t="s">
        <v>1968</v>
      </c>
      <c r="D496" t="s">
        <v>1497</v>
      </c>
      <c r="E496" t="s">
        <v>1502</v>
      </c>
      <c r="F496">
        <v>1728</v>
      </c>
      <c r="G496" t="str">
        <f t="shared" si="7"/>
        <v>0101A26D1728</v>
      </c>
    </row>
    <row r="497" spans="3:7">
      <c r="C497" t="s">
        <v>1969</v>
      </c>
      <c r="D497" t="s">
        <v>1500</v>
      </c>
      <c r="E497" t="s">
        <v>1508</v>
      </c>
      <c r="F497">
        <v>1729</v>
      </c>
      <c r="G497" t="str">
        <f t="shared" si="7"/>
        <v>0101S26M1729</v>
      </c>
    </row>
    <row r="498" spans="3:7">
      <c r="C498" t="s">
        <v>1970</v>
      </c>
      <c r="D498" t="s">
        <v>2899</v>
      </c>
      <c r="E498" t="s">
        <v>1502</v>
      </c>
      <c r="F498">
        <v>1730</v>
      </c>
      <c r="G498" t="str">
        <f t="shared" si="7"/>
        <v>0101V26D1730</v>
      </c>
    </row>
    <row r="499" spans="3:7">
      <c r="C499" t="s">
        <v>1971</v>
      </c>
      <c r="D499" t="s">
        <v>1497</v>
      </c>
      <c r="E499" t="s">
        <v>1500</v>
      </c>
      <c r="F499">
        <v>1731</v>
      </c>
      <c r="G499" t="str">
        <f t="shared" si="7"/>
        <v>0101A26S1731</v>
      </c>
    </row>
    <row r="500" spans="3:7">
      <c r="C500" t="s">
        <v>505</v>
      </c>
      <c r="D500" t="s">
        <v>2899</v>
      </c>
      <c r="E500" t="s">
        <v>1500</v>
      </c>
      <c r="F500">
        <v>1732</v>
      </c>
      <c r="G500" t="str">
        <f t="shared" si="7"/>
        <v>0101V26S1732</v>
      </c>
    </row>
    <row r="501" spans="3:7">
      <c r="C501" t="s">
        <v>1972</v>
      </c>
      <c r="D501" t="s">
        <v>1500</v>
      </c>
      <c r="E501" t="s">
        <v>2899</v>
      </c>
      <c r="F501">
        <v>1733</v>
      </c>
      <c r="G501" t="str">
        <f t="shared" si="7"/>
        <v>0101S26V1733</v>
      </c>
    </row>
    <row r="502" spans="3:7">
      <c r="C502" t="s">
        <v>1973</v>
      </c>
      <c r="D502" t="s">
        <v>2903</v>
      </c>
      <c r="E502" t="s">
        <v>1506</v>
      </c>
      <c r="F502">
        <v>1734</v>
      </c>
      <c r="G502" t="str">
        <f t="shared" si="7"/>
        <v>0101F26N1734</v>
      </c>
    </row>
    <row r="503" spans="3:7">
      <c r="C503" t="s">
        <v>1974</v>
      </c>
      <c r="D503" t="s">
        <v>1500</v>
      </c>
      <c r="E503" t="s">
        <v>1499</v>
      </c>
      <c r="F503">
        <v>1735</v>
      </c>
      <c r="G503" t="str">
        <f t="shared" si="7"/>
        <v>0101S26C1735</v>
      </c>
    </row>
    <row r="504" spans="3:7">
      <c r="C504" t="s">
        <v>1975</v>
      </c>
      <c r="D504" t="s">
        <v>1500</v>
      </c>
      <c r="E504" t="s">
        <v>1498</v>
      </c>
      <c r="F504">
        <v>1736</v>
      </c>
      <c r="G504" t="str">
        <f t="shared" si="7"/>
        <v>0101S26K1736</v>
      </c>
    </row>
    <row r="505" spans="3:7">
      <c r="C505" t="s">
        <v>1976</v>
      </c>
      <c r="D505" t="s">
        <v>1498</v>
      </c>
      <c r="E505" t="s">
        <v>1500</v>
      </c>
      <c r="F505">
        <v>1737</v>
      </c>
      <c r="G505" t="str">
        <f t="shared" si="7"/>
        <v>0101K26S1737</v>
      </c>
    </row>
    <row r="506" spans="3:7">
      <c r="C506" t="s">
        <v>1977</v>
      </c>
      <c r="D506" t="s">
        <v>1508</v>
      </c>
      <c r="E506" t="s">
        <v>1501</v>
      </c>
      <c r="F506">
        <v>1738</v>
      </c>
      <c r="G506" t="str">
        <f t="shared" si="7"/>
        <v>0101M26R1738</v>
      </c>
    </row>
    <row r="507" spans="3:7">
      <c r="C507" t="s">
        <v>1978</v>
      </c>
      <c r="D507" t="s">
        <v>1502</v>
      </c>
      <c r="E507" t="s">
        <v>1498</v>
      </c>
      <c r="F507">
        <v>1739</v>
      </c>
      <c r="G507" t="str">
        <f t="shared" si="7"/>
        <v>0101D26K1739</v>
      </c>
    </row>
    <row r="508" spans="3:7">
      <c r="C508" t="s">
        <v>1979</v>
      </c>
      <c r="D508" t="s">
        <v>1497</v>
      </c>
      <c r="E508" t="s">
        <v>1501</v>
      </c>
      <c r="F508">
        <v>1740</v>
      </c>
      <c r="G508" t="str">
        <f t="shared" si="7"/>
        <v>0101A26R1740</v>
      </c>
    </row>
    <row r="509" spans="3:7">
      <c r="C509" t="s">
        <v>1980</v>
      </c>
      <c r="D509" t="s">
        <v>1498</v>
      </c>
      <c r="E509" t="s">
        <v>1499</v>
      </c>
      <c r="F509">
        <v>1741</v>
      </c>
      <c r="G509" t="str">
        <f t="shared" si="7"/>
        <v>0101K26C1741</v>
      </c>
    </row>
    <row r="510" spans="3:7">
      <c r="C510" t="s">
        <v>1981</v>
      </c>
      <c r="D510" t="s">
        <v>1502</v>
      </c>
      <c r="E510" t="s">
        <v>1500</v>
      </c>
      <c r="F510">
        <v>1742</v>
      </c>
      <c r="G510" t="str">
        <f t="shared" si="7"/>
        <v>0101D26S1742</v>
      </c>
    </row>
    <row r="511" spans="3:7">
      <c r="C511" t="s">
        <v>1982</v>
      </c>
      <c r="D511" t="s">
        <v>1497</v>
      </c>
      <c r="E511" t="s">
        <v>1497</v>
      </c>
      <c r="F511">
        <v>1743</v>
      </c>
      <c r="G511" t="str">
        <f t="shared" si="7"/>
        <v>0101A26A1743</v>
      </c>
    </row>
    <row r="512" spans="3:7">
      <c r="C512" t="s">
        <v>1983</v>
      </c>
      <c r="D512" t="s">
        <v>1508</v>
      </c>
      <c r="E512" t="s">
        <v>1503</v>
      </c>
      <c r="F512">
        <v>1744</v>
      </c>
      <c r="G512" t="str">
        <f t="shared" si="7"/>
        <v>0101M26I1744</v>
      </c>
    </row>
    <row r="513" spans="3:7">
      <c r="C513" t="s">
        <v>518</v>
      </c>
      <c r="D513" t="s">
        <v>1508</v>
      </c>
      <c r="E513" t="s">
        <v>1504</v>
      </c>
      <c r="F513">
        <v>1745</v>
      </c>
      <c r="G513" t="str">
        <f t="shared" si="7"/>
        <v>0101M26P1745</v>
      </c>
    </row>
    <row r="514" spans="3:7">
      <c r="C514" t="s">
        <v>1984</v>
      </c>
      <c r="D514" t="s">
        <v>1502</v>
      </c>
      <c r="E514" t="s">
        <v>1500</v>
      </c>
      <c r="F514">
        <v>1746</v>
      </c>
      <c r="G514" t="str">
        <f t="shared" si="7"/>
        <v>0101D26S1746</v>
      </c>
    </row>
    <row r="515" spans="3:7">
      <c r="C515" t="s">
        <v>1985</v>
      </c>
      <c r="D515" t="s">
        <v>1501</v>
      </c>
      <c r="E515" t="s">
        <v>1498</v>
      </c>
      <c r="F515">
        <v>1747</v>
      </c>
      <c r="G515" t="str">
        <f t="shared" ref="G515:G578" si="8">_xlfn.CONCAT("0101",D515,"26",E515,F515)</f>
        <v>0101R26K1747</v>
      </c>
    </row>
    <row r="516" spans="3:7">
      <c r="C516" t="s">
        <v>1986</v>
      </c>
      <c r="D516" t="s">
        <v>1497</v>
      </c>
      <c r="E516" t="s">
        <v>2906</v>
      </c>
      <c r="F516">
        <v>1748</v>
      </c>
      <c r="G516" t="str">
        <f t="shared" si="8"/>
        <v>0101A26G1748</v>
      </c>
    </row>
    <row r="517" spans="3:7">
      <c r="C517" t="s">
        <v>1987</v>
      </c>
      <c r="D517" t="s">
        <v>1505</v>
      </c>
      <c r="E517" t="s">
        <v>1502</v>
      </c>
      <c r="F517">
        <v>1749</v>
      </c>
      <c r="G517" t="str">
        <f t="shared" si="8"/>
        <v>0101J26D1749</v>
      </c>
    </row>
    <row r="518" spans="3:7">
      <c r="C518" t="s">
        <v>1988</v>
      </c>
      <c r="D518" t="s">
        <v>1506</v>
      </c>
      <c r="E518" t="s">
        <v>1498</v>
      </c>
      <c r="F518">
        <v>1750</v>
      </c>
      <c r="G518" t="str">
        <f t="shared" si="8"/>
        <v>0101N26K1750</v>
      </c>
    </row>
    <row r="519" spans="3:7">
      <c r="C519" t="s">
        <v>1989</v>
      </c>
      <c r="D519" t="s">
        <v>1507</v>
      </c>
      <c r="E519" t="s">
        <v>1498</v>
      </c>
      <c r="F519">
        <v>1751</v>
      </c>
      <c r="G519" t="str">
        <f t="shared" si="8"/>
        <v>0101T26K1751</v>
      </c>
    </row>
    <row r="520" spans="3:7">
      <c r="C520" t="s">
        <v>1990</v>
      </c>
      <c r="D520" t="s">
        <v>1497</v>
      </c>
      <c r="E520" t="s">
        <v>1497</v>
      </c>
      <c r="F520">
        <v>1752</v>
      </c>
      <c r="G520" t="str">
        <f t="shared" si="8"/>
        <v>0101A26A1752</v>
      </c>
    </row>
    <row r="521" spans="3:7">
      <c r="C521" t="s">
        <v>1991</v>
      </c>
      <c r="D521" t="s">
        <v>1497</v>
      </c>
      <c r="E521" t="s">
        <v>1501</v>
      </c>
      <c r="F521">
        <v>1753</v>
      </c>
      <c r="G521" t="str">
        <f t="shared" si="8"/>
        <v>0101A26R1753</v>
      </c>
    </row>
    <row r="522" spans="3:7">
      <c r="C522" t="s">
        <v>1992</v>
      </c>
      <c r="D522" t="s">
        <v>1508</v>
      </c>
      <c r="E522" t="s">
        <v>1500</v>
      </c>
      <c r="F522">
        <v>1754</v>
      </c>
      <c r="G522" t="str">
        <f t="shared" si="8"/>
        <v>0101M26S1754</v>
      </c>
    </row>
    <row r="523" spans="3:7">
      <c r="C523" t="s">
        <v>1993</v>
      </c>
      <c r="D523" t="s">
        <v>1507</v>
      </c>
      <c r="E523" t="s">
        <v>2901</v>
      </c>
      <c r="F523">
        <v>1755</v>
      </c>
      <c r="G523" t="str">
        <f t="shared" si="8"/>
        <v>0101T26B1755</v>
      </c>
    </row>
    <row r="524" spans="3:7">
      <c r="C524" t="s">
        <v>1994</v>
      </c>
      <c r="D524" t="s">
        <v>2899</v>
      </c>
      <c r="E524" t="s">
        <v>1508</v>
      </c>
      <c r="F524">
        <v>1756</v>
      </c>
      <c r="G524" t="str">
        <f t="shared" si="8"/>
        <v>0101V26M1756</v>
      </c>
    </row>
    <row r="525" spans="3:7">
      <c r="C525" t="s">
        <v>1995</v>
      </c>
      <c r="D525" t="s">
        <v>1500</v>
      </c>
      <c r="E525" t="s">
        <v>2899</v>
      </c>
      <c r="F525">
        <v>1757</v>
      </c>
      <c r="G525" t="str">
        <f t="shared" si="8"/>
        <v>0101S26V1757</v>
      </c>
    </row>
    <row r="526" spans="3:7">
      <c r="C526" t="s">
        <v>1996</v>
      </c>
      <c r="D526" t="s">
        <v>1500</v>
      </c>
      <c r="E526" t="s">
        <v>1500</v>
      </c>
      <c r="F526">
        <v>1758</v>
      </c>
      <c r="G526" t="str">
        <f t="shared" si="8"/>
        <v>0101S26S1758</v>
      </c>
    </row>
    <row r="527" spans="3:7">
      <c r="C527" t="s">
        <v>1997</v>
      </c>
      <c r="D527" t="s">
        <v>1509</v>
      </c>
      <c r="E527" t="s">
        <v>1500</v>
      </c>
      <c r="F527">
        <v>1759</v>
      </c>
      <c r="G527" t="str">
        <f t="shared" si="8"/>
        <v>0101H26S1759</v>
      </c>
    </row>
    <row r="528" spans="3:7">
      <c r="C528" t="s">
        <v>1998</v>
      </c>
      <c r="D528" t="s">
        <v>2906</v>
      </c>
      <c r="E528" t="s">
        <v>1501</v>
      </c>
      <c r="F528">
        <v>1760</v>
      </c>
      <c r="G528" t="str">
        <f t="shared" si="8"/>
        <v>0101G26R1760</v>
      </c>
    </row>
    <row r="529" spans="3:7">
      <c r="C529" t="s">
        <v>1999</v>
      </c>
      <c r="D529" t="s">
        <v>2899</v>
      </c>
      <c r="E529" t="s">
        <v>1498</v>
      </c>
      <c r="F529">
        <v>1761</v>
      </c>
      <c r="G529" t="str">
        <f t="shared" si="8"/>
        <v>0101V26K1761</v>
      </c>
    </row>
    <row r="530" spans="3:7">
      <c r="C530" t="s">
        <v>2000</v>
      </c>
      <c r="D530" t="s">
        <v>1508</v>
      </c>
      <c r="E530" t="s">
        <v>1500</v>
      </c>
      <c r="F530">
        <v>1762</v>
      </c>
      <c r="G530" t="str">
        <f t="shared" si="8"/>
        <v>0101M26S1762</v>
      </c>
    </row>
    <row r="531" spans="3:7">
      <c r="C531" t="s">
        <v>2001</v>
      </c>
      <c r="D531" t="s">
        <v>1500</v>
      </c>
      <c r="E531" t="s">
        <v>1498</v>
      </c>
      <c r="F531">
        <v>1763</v>
      </c>
      <c r="G531" t="str">
        <f t="shared" si="8"/>
        <v>0101S26K1763</v>
      </c>
    </row>
    <row r="532" spans="3:7">
      <c r="C532" t="s">
        <v>2002</v>
      </c>
      <c r="D532" t="s">
        <v>1497</v>
      </c>
      <c r="E532" t="s">
        <v>1498</v>
      </c>
      <c r="F532">
        <v>1764</v>
      </c>
      <c r="G532" t="str">
        <f t="shared" si="8"/>
        <v>0101A26K1764</v>
      </c>
    </row>
    <row r="533" spans="3:7">
      <c r="C533" t="s">
        <v>2003</v>
      </c>
      <c r="D533" t="s">
        <v>1503</v>
      </c>
      <c r="E533" t="s">
        <v>1504</v>
      </c>
      <c r="F533">
        <v>1765</v>
      </c>
      <c r="G533" t="str">
        <f t="shared" si="8"/>
        <v>0101I26P1765</v>
      </c>
    </row>
    <row r="534" spans="3:7">
      <c r="C534" t="s">
        <v>2004</v>
      </c>
      <c r="D534" t="s">
        <v>1498</v>
      </c>
      <c r="E534" t="s">
        <v>1507</v>
      </c>
      <c r="F534">
        <v>1766</v>
      </c>
      <c r="G534" t="str">
        <f t="shared" si="8"/>
        <v>0101K26T1766</v>
      </c>
    </row>
    <row r="535" spans="3:7">
      <c r="C535" t="s">
        <v>2005</v>
      </c>
      <c r="D535" t="s">
        <v>1498</v>
      </c>
      <c r="E535" t="s">
        <v>1498</v>
      </c>
      <c r="F535">
        <v>1767</v>
      </c>
      <c r="G535" t="str">
        <f t="shared" si="8"/>
        <v>0101K26K1767</v>
      </c>
    </row>
    <row r="536" spans="3:7">
      <c r="C536" t="s">
        <v>2006</v>
      </c>
      <c r="D536" t="s">
        <v>1498</v>
      </c>
      <c r="E536" t="s">
        <v>2901</v>
      </c>
      <c r="F536">
        <v>1768</v>
      </c>
      <c r="G536" t="str">
        <f t="shared" si="8"/>
        <v>0101K26B1768</v>
      </c>
    </row>
    <row r="537" spans="3:7">
      <c r="C537" t="s">
        <v>2007</v>
      </c>
      <c r="D537" t="s">
        <v>1497</v>
      </c>
      <c r="E537" t="s">
        <v>2906</v>
      </c>
      <c r="F537">
        <v>1769</v>
      </c>
      <c r="G537" t="str">
        <f t="shared" si="8"/>
        <v>0101A26G1769</v>
      </c>
    </row>
    <row r="538" spans="3:7">
      <c r="C538" t="s">
        <v>2008</v>
      </c>
      <c r="D538" t="s">
        <v>2900</v>
      </c>
      <c r="E538" t="s">
        <v>1497</v>
      </c>
      <c r="F538">
        <v>1770</v>
      </c>
      <c r="G538" t="str">
        <f t="shared" si="8"/>
        <v>0101Z26A1770</v>
      </c>
    </row>
    <row r="539" spans="3:7">
      <c r="C539" t="s">
        <v>2009</v>
      </c>
      <c r="D539" t="s">
        <v>1508</v>
      </c>
      <c r="E539" t="s">
        <v>1498</v>
      </c>
      <c r="F539">
        <v>1771</v>
      </c>
      <c r="G539" t="str">
        <f t="shared" si="8"/>
        <v>0101M26K1771</v>
      </c>
    </row>
    <row r="540" spans="3:7">
      <c r="C540" t="s">
        <v>2010</v>
      </c>
      <c r="D540" t="s">
        <v>1497</v>
      </c>
      <c r="E540" t="s">
        <v>1502</v>
      </c>
      <c r="F540">
        <v>1772</v>
      </c>
      <c r="G540" t="str">
        <f t="shared" si="8"/>
        <v>0101A26D1772</v>
      </c>
    </row>
    <row r="541" spans="3:7">
      <c r="C541" t="s">
        <v>2011</v>
      </c>
      <c r="D541" t="s">
        <v>1507</v>
      </c>
      <c r="E541" t="s">
        <v>2906</v>
      </c>
      <c r="F541">
        <v>1773</v>
      </c>
      <c r="G541" t="str">
        <f t="shared" si="8"/>
        <v>0101T26G1773</v>
      </c>
    </row>
    <row r="542" spans="3:7">
      <c r="C542" t="s">
        <v>2012</v>
      </c>
      <c r="D542" t="s">
        <v>1497</v>
      </c>
      <c r="E542" t="s">
        <v>1500</v>
      </c>
      <c r="F542">
        <v>1774</v>
      </c>
      <c r="G542" t="str">
        <f t="shared" si="8"/>
        <v>0101A26S1774</v>
      </c>
    </row>
    <row r="543" spans="3:7">
      <c r="C543" t="s">
        <v>2013</v>
      </c>
      <c r="D543" t="s">
        <v>1500</v>
      </c>
      <c r="E543" t="s">
        <v>1500</v>
      </c>
      <c r="F543">
        <v>1775</v>
      </c>
      <c r="G543" t="str">
        <f t="shared" si="8"/>
        <v>0101S26S1775</v>
      </c>
    </row>
    <row r="544" spans="3:7">
      <c r="C544" t="s">
        <v>2014</v>
      </c>
      <c r="D544" t="s">
        <v>1500</v>
      </c>
      <c r="E544" t="s">
        <v>2900</v>
      </c>
      <c r="F544">
        <v>1776</v>
      </c>
      <c r="G544" t="str">
        <f t="shared" si="8"/>
        <v>0101S26Z1776</v>
      </c>
    </row>
    <row r="545" spans="3:7">
      <c r="C545" t="s">
        <v>2015</v>
      </c>
      <c r="D545" t="s">
        <v>1500</v>
      </c>
      <c r="E545" t="s">
        <v>1497</v>
      </c>
      <c r="F545">
        <v>1777</v>
      </c>
      <c r="G545" t="str">
        <f t="shared" si="8"/>
        <v>0101S26A1777</v>
      </c>
    </row>
    <row r="546" spans="3:7">
      <c r="C546" t="s">
        <v>2016</v>
      </c>
      <c r="D546" t="s">
        <v>1500</v>
      </c>
      <c r="E546" t="s">
        <v>1504</v>
      </c>
      <c r="F546">
        <v>1778</v>
      </c>
      <c r="G546" t="str">
        <f t="shared" si="8"/>
        <v>0101S26P1778</v>
      </c>
    </row>
    <row r="547" spans="3:7">
      <c r="C547" t="s">
        <v>2017</v>
      </c>
      <c r="D547" t="s">
        <v>1502</v>
      </c>
      <c r="E547" t="s">
        <v>2906</v>
      </c>
      <c r="F547">
        <v>1779</v>
      </c>
      <c r="G547" t="str">
        <f t="shared" si="8"/>
        <v>0101D26G1779</v>
      </c>
    </row>
    <row r="548" spans="3:7">
      <c r="C548" t="s">
        <v>2018</v>
      </c>
      <c r="D548" t="s">
        <v>1501</v>
      </c>
      <c r="E548" t="s">
        <v>1500</v>
      </c>
      <c r="F548">
        <v>1780</v>
      </c>
      <c r="G548" t="str">
        <f t="shared" si="8"/>
        <v>0101R26S1780</v>
      </c>
    </row>
    <row r="549" spans="3:7">
      <c r="C549" t="s">
        <v>2019</v>
      </c>
      <c r="D549" t="s">
        <v>1497</v>
      </c>
      <c r="E549" t="s">
        <v>1502</v>
      </c>
      <c r="F549">
        <v>1781</v>
      </c>
      <c r="G549" t="str">
        <f t="shared" si="8"/>
        <v>0101A26D1781</v>
      </c>
    </row>
    <row r="550" spans="3:7">
      <c r="C550" t="s">
        <v>2020</v>
      </c>
      <c r="D550" t="s">
        <v>2899</v>
      </c>
      <c r="E550" t="s">
        <v>2906</v>
      </c>
      <c r="F550">
        <v>1782</v>
      </c>
      <c r="G550" t="str">
        <f t="shared" si="8"/>
        <v>0101V26G1782</v>
      </c>
    </row>
    <row r="551" spans="3:7">
      <c r="C551" t="s">
        <v>2021</v>
      </c>
      <c r="D551" t="s">
        <v>1497</v>
      </c>
      <c r="E551" t="s">
        <v>2907</v>
      </c>
      <c r="F551">
        <v>1783</v>
      </c>
      <c r="G551" t="str">
        <f t="shared" si="8"/>
        <v>0101A26Y1783</v>
      </c>
    </row>
    <row r="552" spans="3:7">
      <c r="C552" t="s">
        <v>2022</v>
      </c>
      <c r="D552" t="s">
        <v>1498</v>
      </c>
      <c r="E552" t="s">
        <v>1502</v>
      </c>
      <c r="F552">
        <v>1784</v>
      </c>
      <c r="G552" t="str">
        <f t="shared" si="8"/>
        <v>0101K26D1784</v>
      </c>
    </row>
    <row r="553" spans="3:7">
      <c r="C553" t="s">
        <v>2023</v>
      </c>
      <c r="D553" t="s">
        <v>1509</v>
      </c>
      <c r="E553" t="s">
        <v>1505</v>
      </c>
      <c r="F553">
        <v>1785</v>
      </c>
      <c r="G553" t="str">
        <f t="shared" si="8"/>
        <v>0101H26J1785</v>
      </c>
    </row>
    <row r="554" spans="3:7">
      <c r="C554" t="s">
        <v>559</v>
      </c>
      <c r="D554" t="s">
        <v>1508</v>
      </c>
      <c r="E554" t="s">
        <v>2901</v>
      </c>
      <c r="F554">
        <v>1786</v>
      </c>
      <c r="G554" t="str">
        <f t="shared" si="8"/>
        <v>0101M26B1786</v>
      </c>
    </row>
    <row r="555" spans="3:7">
      <c r="C555" t="s">
        <v>2024</v>
      </c>
      <c r="D555" t="s">
        <v>1498</v>
      </c>
      <c r="E555" t="s">
        <v>2906</v>
      </c>
      <c r="F555">
        <v>1787</v>
      </c>
      <c r="G555" t="str">
        <f t="shared" si="8"/>
        <v>0101K26G1787</v>
      </c>
    </row>
    <row r="556" spans="3:7">
      <c r="C556" t="s">
        <v>2025</v>
      </c>
      <c r="D556" t="s">
        <v>1497</v>
      </c>
      <c r="E556" t="s">
        <v>1502</v>
      </c>
      <c r="F556">
        <v>1788</v>
      </c>
      <c r="G556" t="str">
        <f t="shared" si="8"/>
        <v>0101A26D1788</v>
      </c>
    </row>
    <row r="557" spans="3:7">
      <c r="C557" t="s">
        <v>2026</v>
      </c>
      <c r="D557" t="s">
        <v>1505</v>
      </c>
      <c r="E557" t="s">
        <v>1497</v>
      </c>
      <c r="F557">
        <v>1789</v>
      </c>
      <c r="G557" t="str">
        <f t="shared" si="8"/>
        <v>0101J26A1789</v>
      </c>
    </row>
    <row r="558" spans="3:7">
      <c r="C558" t="s">
        <v>2027</v>
      </c>
      <c r="D558" t="s">
        <v>1499</v>
      </c>
      <c r="E558" t="s">
        <v>1500</v>
      </c>
      <c r="F558">
        <v>1790</v>
      </c>
      <c r="G558" t="str">
        <f t="shared" si="8"/>
        <v>0101C26S1790</v>
      </c>
    </row>
    <row r="559" spans="3:7">
      <c r="C559" t="s">
        <v>2028</v>
      </c>
      <c r="D559" t="s">
        <v>1501</v>
      </c>
      <c r="E559" t="s">
        <v>1505</v>
      </c>
      <c r="F559">
        <v>1791</v>
      </c>
      <c r="G559" t="str">
        <f t="shared" si="8"/>
        <v>0101R26J1791</v>
      </c>
    </row>
    <row r="560" spans="3:7">
      <c r="C560" t="s">
        <v>2029</v>
      </c>
      <c r="D560" t="s">
        <v>2899</v>
      </c>
      <c r="E560" t="s">
        <v>1500</v>
      </c>
      <c r="F560">
        <v>1792</v>
      </c>
      <c r="G560" t="str">
        <f t="shared" si="8"/>
        <v>0101V26S1792</v>
      </c>
    </row>
    <row r="561" spans="3:7">
      <c r="C561" t="s">
        <v>2030</v>
      </c>
      <c r="D561" t="s">
        <v>1498</v>
      </c>
      <c r="E561" t="s">
        <v>1502</v>
      </c>
      <c r="F561">
        <v>1793</v>
      </c>
      <c r="G561" t="str">
        <f t="shared" si="8"/>
        <v>0101K26D1793</v>
      </c>
    </row>
    <row r="562" spans="3:7">
      <c r="C562" t="s">
        <v>2031</v>
      </c>
      <c r="D562" t="s">
        <v>1497</v>
      </c>
      <c r="E562" t="s">
        <v>1507</v>
      </c>
      <c r="F562">
        <v>1794</v>
      </c>
      <c r="G562" t="str">
        <f t="shared" si="8"/>
        <v>0101A26T1794</v>
      </c>
    </row>
    <row r="563" spans="3:7">
      <c r="C563" t="s">
        <v>2032</v>
      </c>
      <c r="D563" t="s">
        <v>1497</v>
      </c>
      <c r="E563" t="s">
        <v>1499</v>
      </c>
      <c r="F563">
        <v>1795</v>
      </c>
      <c r="G563" t="str">
        <f t="shared" si="8"/>
        <v>0101A26C1795</v>
      </c>
    </row>
    <row r="564" spans="3:7">
      <c r="C564" t="s">
        <v>2033</v>
      </c>
      <c r="D564" t="s">
        <v>1500</v>
      </c>
      <c r="E564" t="s">
        <v>1508</v>
      </c>
      <c r="F564">
        <v>1796</v>
      </c>
      <c r="G564" t="str">
        <f t="shared" si="8"/>
        <v>0101S26M1796</v>
      </c>
    </row>
    <row r="565" spans="3:7">
      <c r="C565" t="s">
        <v>2034</v>
      </c>
      <c r="D565" t="s">
        <v>1509</v>
      </c>
      <c r="E565" t="s">
        <v>1504</v>
      </c>
      <c r="F565">
        <v>1797</v>
      </c>
      <c r="G565" t="str">
        <f t="shared" si="8"/>
        <v>0101H26P1797</v>
      </c>
    </row>
    <row r="566" spans="3:7">
      <c r="C566" t="s">
        <v>2035</v>
      </c>
      <c r="D566" t="s">
        <v>1504</v>
      </c>
      <c r="E566" t="s">
        <v>1499</v>
      </c>
      <c r="F566">
        <v>1798</v>
      </c>
      <c r="G566" t="str">
        <f t="shared" si="8"/>
        <v>0101P26C1798</v>
      </c>
    </row>
    <row r="567" spans="3:7">
      <c r="C567" t="s">
        <v>2036</v>
      </c>
      <c r="D567" t="s">
        <v>1504</v>
      </c>
      <c r="E567" t="s">
        <v>2899</v>
      </c>
      <c r="F567">
        <v>1799</v>
      </c>
      <c r="G567" t="str">
        <f t="shared" si="8"/>
        <v>0101P26V1799</v>
      </c>
    </row>
    <row r="568" spans="3:7">
      <c r="C568" t="s">
        <v>2037</v>
      </c>
      <c r="D568" t="s">
        <v>1497</v>
      </c>
      <c r="E568" t="s">
        <v>1497</v>
      </c>
      <c r="F568">
        <v>1800</v>
      </c>
      <c r="G568" t="str">
        <f t="shared" si="8"/>
        <v>0101A26A1800</v>
      </c>
    </row>
    <row r="569" spans="3:7">
      <c r="C569" t="s">
        <v>2038</v>
      </c>
      <c r="D569" t="s">
        <v>1508</v>
      </c>
      <c r="E569" t="s">
        <v>1507</v>
      </c>
      <c r="F569">
        <v>1801</v>
      </c>
      <c r="G569" t="str">
        <f t="shared" si="8"/>
        <v>0101M26T1801</v>
      </c>
    </row>
    <row r="570" spans="3:7">
      <c r="C570" t="s">
        <v>2039</v>
      </c>
      <c r="D570" t="s">
        <v>1506</v>
      </c>
      <c r="E570" t="s">
        <v>1508</v>
      </c>
      <c r="F570">
        <v>1802</v>
      </c>
      <c r="G570" t="str">
        <f t="shared" si="8"/>
        <v>0101N26M1802</v>
      </c>
    </row>
    <row r="571" spans="3:7">
      <c r="C571" t="s">
        <v>2040</v>
      </c>
      <c r="D571" t="s">
        <v>2905</v>
      </c>
      <c r="E571" t="s">
        <v>1497</v>
      </c>
      <c r="F571">
        <v>1803</v>
      </c>
      <c r="G571" t="str">
        <f t="shared" si="8"/>
        <v>0101O26A1803</v>
      </c>
    </row>
    <row r="572" spans="3:7">
      <c r="C572" t="s">
        <v>577</v>
      </c>
      <c r="D572" t="s">
        <v>1500</v>
      </c>
      <c r="E572" t="s">
        <v>1500</v>
      </c>
      <c r="F572">
        <v>1804</v>
      </c>
      <c r="G572" t="str">
        <f t="shared" si="8"/>
        <v>0101S26S1804</v>
      </c>
    </row>
    <row r="573" spans="3:7">
      <c r="C573" t="s">
        <v>2041</v>
      </c>
      <c r="D573" t="s">
        <v>1500</v>
      </c>
      <c r="E573" t="s">
        <v>1501</v>
      </c>
      <c r="F573">
        <v>1805</v>
      </c>
      <c r="G573" t="str">
        <f t="shared" si="8"/>
        <v>0101S26R1805</v>
      </c>
    </row>
    <row r="574" spans="3:7">
      <c r="C574" t="s">
        <v>2042</v>
      </c>
      <c r="D574" t="s">
        <v>1499</v>
      </c>
      <c r="E574" t="s">
        <v>1497</v>
      </c>
      <c r="F574">
        <v>1806</v>
      </c>
      <c r="G574" t="str">
        <f t="shared" si="8"/>
        <v>0101C26A1806</v>
      </c>
    </row>
    <row r="575" spans="3:7">
      <c r="C575" t="s">
        <v>2043</v>
      </c>
      <c r="D575" t="s">
        <v>1508</v>
      </c>
      <c r="E575" t="s">
        <v>1505</v>
      </c>
      <c r="F575">
        <v>1807</v>
      </c>
      <c r="G575" t="str">
        <f t="shared" si="8"/>
        <v>0101M26J1807</v>
      </c>
    </row>
    <row r="576" spans="3:7">
      <c r="C576" t="s">
        <v>2044</v>
      </c>
      <c r="D576" t="s">
        <v>1500</v>
      </c>
      <c r="E576" t="s">
        <v>2906</v>
      </c>
      <c r="F576">
        <v>1808</v>
      </c>
      <c r="G576" t="str">
        <f t="shared" si="8"/>
        <v>0101S26G1808</v>
      </c>
    </row>
    <row r="577" spans="3:7">
      <c r="C577" t="s">
        <v>2045</v>
      </c>
      <c r="D577" t="s">
        <v>2900</v>
      </c>
      <c r="E577" t="s">
        <v>1497</v>
      </c>
      <c r="F577">
        <v>1809</v>
      </c>
      <c r="G577" t="str">
        <f t="shared" si="8"/>
        <v>0101Z26A1809</v>
      </c>
    </row>
    <row r="578" spans="3:7">
      <c r="C578" t="s">
        <v>2046</v>
      </c>
      <c r="D578" t="s">
        <v>1508</v>
      </c>
      <c r="E578" t="s">
        <v>1497</v>
      </c>
      <c r="F578">
        <v>1810</v>
      </c>
      <c r="G578" t="str">
        <f t="shared" si="8"/>
        <v>0101M26A1810</v>
      </c>
    </row>
    <row r="579" spans="3:7">
      <c r="C579" t="s">
        <v>2005</v>
      </c>
      <c r="D579" t="s">
        <v>1498</v>
      </c>
      <c r="E579" t="s">
        <v>1498</v>
      </c>
      <c r="F579">
        <v>1811</v>
      </c>
      <c r="G579" t="str">
        <f t="shared" ref="G579:G642" si="9">_xlfn.CONCAT("0101",D579,"26",E579,F579)</f>
        <v>0101K26K1811</v>
      </c>
    </row>
    <row r="580" spans="3:7">
      <c r="C580" t="s">
        <v>2047</v>
      </c>
      <c r="D580" t="s">
        <v>1509</v>
      </c>
      <c r="E580" t="s">
        <v>1500</v>
      </c>
      <c r="F580">
        <v>1812</v>
      </c>
      <c r="G580" t="str">
        <f t="shared" si="9"/>
        <v>0101H26S1812</v>
      </c>
    </row>
    <row r="581" spans="3:7">
      <c r="C581" t="s">
        <v>2048</v>
      </c>
      <c r="D581" t="s">
        <v>1500</v>
      </c>
      <c r="E581" t="s">
        <v>1497</v>
      </c>
      <c r="F581">
        <v>1813</v>
      </c>
      <c r="G581" t="str">
        <f t="shared" si="9"/>
        <v>0101S26A1813</v>
      </c>
    </row>
    <row r="582" spans="3:7">
      <c r="C582" t="s">
        <v>2049</v>
      </c>
      <c r="D582" t="s">
        <v>1500</v>
      </c>
      <c r="E582" t="s">
        <v>1500</v>
      </c>
      <c r="F582">
        <v>1814</v>
      </c>
      <c r="G582" t="str">
        <f t="shared" si="9"/>
        <v>0101S26S1814</v>
      </c>
    </row>
    <row r="583" spans="3:7">
      <c r="C583" t="s">
        <v>2050</v>
      </c>
      <c r="D583" t="s">
        <v>1501</v>
      </c>
      <c r="E583" t="s">
        <v>2904</v>
      </c>
      <c r="F583">
        <v>1815</v>
      </c>
      <c r="G583" t="str">
        <f t="shared" si="9"/>
        <v>0101R26L1815</v>
      </c>
    </row>
    <row r="584" spans="3:7">
      <c r="C584" t="s">
        <v>2051</v>
      </c>
      <c r="D584" t="s">
        <v>1504</v>
      </c>
      <c r="E584" t="s">
        <v>1499</v>
      </c>
      <c r="F584">
        <v>1816</v>
      </c>
      <c r="G584" t="str">
        <f t="shared" si="9"/>
        <v>0101P26C1816</v>
      </c>
    </row>
    <row r="585" spans="3:7">
      <c r="C585" t="s">
        <v>2052</v>
      </c>
      <c r="D585" t="s">
        <v>1500</v>
      </c>
      <c r="E585" t="s">
        <v>1505</v>
      </c>
      <c r="F585">
        <v>1817</v>
      </c>
      <c r="G585" t="str">
        <f t="shared" si="9"/>
        <v>0101S26J1817</v>
      </c>
    </row>
    <row r="586" spans="3:7">
      <c r="C586" t="s">
        <v>2053</v>
      </c>
      <c r="D586" t="s">
        <v>1500</v>
      </c>
      <c r="E586" t="s">
        <v>1506</v>
      </c>
      <c r="F586">
        <v>1818</v>
      </c>
      <c r="G586" t="str">
        <f t="shared" si="9"/>
        <v>0101S26N1818</v>
      </c>
    </row>
    <row r="587" spans="3:7">
      <c r="C587" t="s">
        <v>2054</v>
      </c>
      <c r="D587" t="s">
        <v>1498</v>
      </c>
      <c r="E587" t="s">
        <v>1497</v>
      </c>
      <c r="F587">
        <v>1819</v>
      </c>
      <c r="G587" t="str">
        <f t="shared" si="9"/>
        <v>0101K26A1819</v>
      </c>
    </row>
    <row r="588" spans="3:7">
      <c r="C588" t="s">
        <v>2055</v>
      </c>
      <c r="D588" t="s">
        <v>2906</v>
      </c>
      <c r="E588" t="s">
        <v>1498</v>
      </c>
      <c r="F588">
        <v>1820</v>
      </c>
      <c r="G588" t="str">
        <f t="shared" si="9"/>
        <v>0101G26K1820</v>
      </c>
    </row>
    <row r="589" spans="3:7">
      <c r="C589" t="s">
        <v>2056</v>
      </c>
      <c r="D589" t="s">
        <v>1498</v>
      </c>
      <c r="E589" t="s">
        <v>1500</v>
      </c>
      <c r="F589">
        <v>1821</v>
      </c>
      <c r="G589" t="str">
        <f t="shared" si="9"/>
        <v>0101K26S1821</v>
      </c>
    </row>
    <row r="590" spans="3:7">
      <c r="C590" t="s">
        <v>2057</v>
      </c>
      <c r="D590" t="s">
        <v>1498</v>
      </c>
      <c r="E590" t="s">
        <v>1500</v>
      </c>
      <c r="F590">
        <v>1822</v>
      </c>
      <c r="G590" t="str">
        <f t="shared" si="9"/>
        <v>0101K26S1822</v>
      </c>
    </row>
    <row r="591" spans="3:7">
      <c r="C591" t="s">
        <v>2058</v>
      </c>
      <c r="D591" t="s">
        <v>1500</v>
      </c>
      <c r="E591" t="s">
        <v>2901</v>
      </c>
      <c r="F591">
        <v>1823</v>
      </c>
      <c r="G591" t="str">
        <f t="shared" si="9"/>
        <v>0101S26B1823</v>
      </c>
    </row>
    <row r="592" spans="3:7">
      <c r="C592" t="s">
        <v>2059</v>
      </c>
      <c r="D592" t="s">
        <v>1497</v>
      </c>
      <c r="E592" t="s">
        <v>1500</v>
      </c>
      <c r="F592">
        <v>1824</v>
      </c>
      <c r="G592" t="str">
        <f t="shared" si="9"/>
        <v>0101A26S1824</v>
      </c>
    </row>
    <row r="593" spans="3:7">
      <c r="C593" t="s">
        <v>2060</v>
      </c>
      <c r="D593" t="s">
        <v>2906</v>
      </c>
      <c r="E593" t="s">
        <v>1500</v>
      </c>
      <c r="F593">
        <v>1825</v>
      </c>
      <c r="G593" t="str">
        <f t="shared" si="9"/>
        <v>0101G26S1825</v>
      </c>
    </row>
    <row r="594" spans="3:7">
      <c r="C594" t="s">
        <v>2061</v>
      </c>
      <c r="D594" t="s">
        <v>1497</v>
      </c>
      <c r="E594" t="s">
        <v>1497</v>
      </c>
      <c r="F594">
        <v>1826</v>
      </c>
      <c r="G594" t="str">
        <f t="shared" si="9"/>
        <v>0101A26A1826</v>
      </c>
    </row>
    <row r="595" spans="3:7">
      <c r="C595" t="s">
        <v>2062</v>
      </c>
      <c r="D595" t="s">
        <v>1508</v>
      </c>
      <c r="E595" t="s">
        <v>1505</v>
      </c>
      <c r="F595">
        <v>1827</v>
      </c>
      <c r="G595" t="str">
        <f t="shared" si="9"/>
        <v>0101M26J1827</v>
      </c>
    </row>
    <row r="596" spans="3:7">
      <c r="C596" t="s">
        <v>2063</v>
      </c>
      <c r="D596" t="s">
        <v>1504</v>
      </c>
      <c r="E596" t="s">
        <v>1498</v>
      </c>
      <c r="F596">
        <v>1828</v>
      </c>
      <c r="G596" t="str">
        <f t="shared" si="9"/>
        <v>0101P26K1828</v>
      </c>
    </row>
    <row r="597" spans="3:7">
      <c r="C597" t="s">
        <v>2064</v>
      </c>
      <c r="D597" t="s">
        <v>2899</v>
      </c>
      <c r="E597" t="s">
        <v>1500</v>
      </c>
      <c r="F597">
        <v>1829</v>
      </c>
      <c r="G597" t="str">
        <f t="shared" si="9"/>
        <v>0101V26S1829</v>
      </c>
    </row>
    <row r="598" spans="3:7">
      <c r="C598" t="s">
        <v>2065</v>
      </c>
      <c r="D598" t="s">
        <v>1497</v>
      </c>
      <c r="E598" t="s">
        <v>1501</v>
      </c>
      <c r="F598">
        <v>1830</v>
      </c>
      <c r="G598" t="str">
        <f t="shared" si="9"/>
        <v>0101A26R1830</v>
      </c>
    </row>
    <row r="599" spans="3:7">
      <c r="C599" t="s">
        <v>2066</v>
      </c>
      <c r="D599" t="s">
        <v>2907</v>
      </c>
      <c r="E599" t="s">
        <v>1500</v>
      </c>
      <c r="F599">
        <v>1831</v>
      </c>
      <c r="G599" t="str">
        <f t="shared" si="9"/>
        <v>0101Y26S1831</v>
      </c>
    </row>
    <row r="600" spans="3:7">
      <c r="C600" t="s">
        <v>2067</v>
      </c>
      <c r="D600" t="s">
        <v>1501</v>
      </c>
      <c r="E600" t="s">
        <v>1500</v>
      </c>
      <c r="F600">
        <v>1832</v>
      </c>
      <c r="G600" t="str">
        <f t="shared" si="9"/>
        <v>0101R26S1832</v>
      </c>
    </row>
    <row r="601" spans="3:7">
      <c r="C601" t="s">
        <v>2068</v>
      </c>
      <c r="D601" t="s">
        <v>1506</v>
      </c>
      <c r="E601" t="s">
        <v>1501</v>
      </c>
      <c r="F601">
        <v>1833</v>
      </c>
      <c r="G601" t="str">
        <f t="shared" si="9"/>
        <v>0101N26R1833</v>
      </c>
    </row>
    <row r="602" spans="3:7">
      <c r="C602" t="s">
        <v>2069</v>
      </c>
      <c r="D602" t="s">
        <v>1500</v>
      </c>
      <c r="E602" t="s">
        <v>1504</v>
      </c>
      <c r="F602">
        <v>1834</v>
      </c>
      <c r="G602" t="str">
        <f t="shared" si="9"/>
        <v>0101S26P1834</v>
      </c>
    </row>
    <row r="603" spans="3:7">
      <c r="C603" t="s">
        <v>2070</v>
      </c>
      <c r="D603" t="s">
        <v>2899</v>
      </c>
      <c r="E603" t="s">
        <v>2901</v>
      </c>
      <c r="F603">
        <v>1835</v>
      </c>
      <c r="G603" t="str">
        <f t="shared" si="9"/>
        <v>0101V26B1835</v>
      </c>
    </row>
    <row r="604" spans="3:7">
      <c r="C604" t="s">
        <v>608</v>
      </c>
      <c r="D604" t="s">
        <v>1507</v>
      </c>
      <c r="E604" t="s">
        <v>1505</v>
      </c>
      <c r="F604">
        <v>1836</v>
      </c>
      <c r="G604" t="str">
        <f t="shared" si="9"/>
        <v>0101T26J1836</v>
      </c>
    </row>
    <row r="605" spans="3:7">
      <c r="C605" t="s">
        <v>2071</v>
      </c>
      <c r="D605" t="s">
        <v>1498</v>
      </c>
      <c r="E605" t="s">
        <v>1497</v>
      </c>
      <c r="F605">
        <v>1837</v>
      </c>
      <c r="G605" t="str">
        <f t="shared" si="9"/>
        <v>0101K26A1837</v>
      </c>
    </row>
    <row r="606" spans="3:7">
      <c r="C606" t="s">
        <v>2072</v>
      </c>
      <c r="D606" t="s">
        <v>1497</v>
      </c>
      <c r="E606" t="s">
        <v>1508</v>
      </c>
      <c r="F606">
        <v>1838</v>
      </c>
      <c r="G606" t="str">
        <f t="shared" si="9"/>
        <v>0101A26M1838</v>
      </c>
    </row>
    <row r="607" spans="3:7">
      <c r="C607" t="s">
        <v>2073</v>
      </c>
      <c r="D607" t="s">
        <v>2899</v>
      </c>
      <c r="E607" t="s">
        <v>1508</v>
      </c>
      <c r="F607">
        <v>1839</v>
      </c>
      <c r="G607" t="str">
        <f t="shared" si="9"/>
        <v>0101V26M1839</v>
      </c>
    </row>
    <row r="608" spans="3:7">
      <c r="C608" t="s">
        <v>2074</v>
      </c>
      <c r="D608" t="s">
        <v>1504</v>
      </c>
      <c r="E608" t="s">
        <v>1500</v>
      </c>
      <c r="F608">
        <v>1840</v>
      </c>
      <c r="G608" t="str">
        <f t="shared" si="9"/>
        <v>0101P26S1840</v>
      </c>
    </row>
    <row r="609" spans="3:7">
      <c r="C609" t="s">
        <v>613</v>
      </c>
      <c r="D609" t="s">
        <v>2909</v>
      </c>
      <c r="E609" t="s">
        <v>1500</v>
      </c>
      <c r="F609">
        <v>1841</v>
      </c>
      <c r="G609" t="str">
        <f t="shared" si="9"/>
        <v>0101Q26S1841</v>
      </c>
    </row>
    <row r="610" spans="3:7">
      <c r="C610" t="s">
        <v>614</v>
      </c>
      <c r="D610" t="s">
        <v>1500</v>
      </c>
      <c r="E610" t="s">
        <v>1508</v>
      </c>
      <c r="F610">
        <v>1842</v>
      </c>
      <c r="G610" t="str">
        <f t="shared" si="9"/>
        <v>0101S26M1842</v>
      </c>
    </row>
    <row r="611" spans="3:7">
      <c r="C611" t="s">
        <v>2075</v>
      </c>
      <c r="D611" t="s">
        <v>1509</v>
      </c>
      <c r="E611" t="s">
        <v>1498</v>
      </c>
      <c r="F611">
        <v>1843</v>
      </c>
      <c r="G611" t="str">
        <f t="shared" si="9"/>
        <v>0101H26K1843</v>
      </c>
    </row>
    <row r="612" spans="3:7">
      <c r="C612" t="s">
        <v>2076</v>
      </c>
      <c r="D612" t="s">
        <v>1498</v>
      </c>
      <c r="E612" t="s">
        <v>1498</v>
      </c>
      <c r="F612">
        <v>1844</v>
      </c>
      <c r="G612" t="str">
        <f t="shared" si="9"/>
        <v>0101K26K1844</v>
      </c>
    </row>
    <row r="613" spans="3:7">
      <c r="C613" t="s">
        <v>2077</v>
      </c>
      <c r="D613" t="s">
        <v>1500</v>
      </c>
      <c r="E613" t="s">
        <v>1500</v>
      </c>
      <c r="F613">
        <v>1845</v>
      </c>
      <c r="G613" t="str">
        <f t="shared" si="9"/>
        <v>0101S26S1845</v>
      </c>
    </row>
    <row r="614" spans="3:7">
      <c r="C614" t="s">
        <v>2078</v>
      </c>
      <c r="D614" t="s">
        <v>1500</v>
      </c>
      <c r="E614" t="s">
        <v>1500</v>
      </c>
      <c r="F614">
        <v>1846</v>
      </c>
      <c r="G614" t="str">
        <f t="shared" si="9"/>
        <v>0101S26S1846</v>
      </c>
    </row>
    <row r="615" spans="3:7">
      <c r="C615" t="s">
        <v>2079</v>
      </c>
      <c r="D615" t="s">
        <v>1497</v>
      </c>
      <c r="E615" t="s">
        <v>1497</v>
      </c>
      <c r="F615">
        <v>1847</v>
      </c>
      <c r="G615" t="str">
        <f t="shared" si="9"/>
        <v>0101A26A1847</v>
      </c>
    </row>
    <row r="616" spans="3:7">
      <c r="C616" t="s">
        <v>2080</v>
      </c>
      <c r="D616" t="s">
        <v>1497</v>
      </c>
      <c r="E616" t="s">
        <v>1498</v>
      </c>
      <c r="F616">
        <v>1848</v>
      </c>
      <c r="G616" t="str">
        <f t="shared" si="9"/>
        <v>0101A26K1848</v>
      </c>
    </row>
    <row r="617" spans="3:7">
      <c r="C617" t="s">
        <v>2081</v>
      </c>
      <c r="D617" t="s">
        <v>1500</v>
      </c>
      <c r="E617" t="s">
        <v>1504</v>
      </c>
      <c r="F617">
        <v>1849</v>
      </c>
      <c r="G617" t="str">
        <f t="shared" si="9"/>
        <v>0101S26P1849</v>
      </c>
    </row>
    <row r="618" spans="3:7">
      <c r="C618" t="s">
        <v>2082</v>
      </c>
      <c r="D618" t="s">
        <v>1508</v>
      </c>
      <c r="E618" t="s">
        <v>1508</v>
      </c>
      <c r="F618">
        <v>1850</v>
      </c>
      <c r="G618" t="str">
        <f t="shared" si="9"/>
        <v>0101M26M1850</v>
      </c>
    </row>
    <row r="619" spans="3:7">
      <c r="C619" t="s">
        <v>2083</v>
      </c>
      <c r="D619" t="s">
        <v>1500</v>
      </c>
      <c r="E619" t="s">
        <v>2906</v>
      </c>
      <c r="F619">
        <v>1851</v>
      </c>
      <c r="G619" t="str">
        <f t="shared" si="9"/>
        <v>0101S26G1851</v>
      </c>
    </row>
    <row r="620" spans="3:7">
      <c r="C620" t="s">
        <v>2084</v>
      </c>
      <c r="D620" t="s">
        <v>1498</v>
      </c>
      <c r="E620" t="s">
        <v>1499</v>
      </c>
      <c r="F620">
        <v>1852</v>
      </c>
      <c r="G620" t="str">
        <f t="shared" si="9"/>
        <v>0101K26C1852</v>
      </c>
    </row>
    <row r="621" spans="3:7">
      <c r="C621" t="s">
        <v>2085</v>
      </c>
      <c r="D621" t="s">
        <v>1497</v>
      </c>
      <c r="E621" t="s">
        <v>1497</v>
      </c>
      <c r="F621">
        <v>1853</v>
      </c>
      <c r="G621" t="str">
        <f t="shared" si="9"/>
        <v>0101A26A1853</v>
      </c>
    </row>
    <row r="622" spans="3:7">
      <c r="C622" t="s">
        <v>2086</v>
      </c>
      <c r="D622" t="s">
        <v>1508</v>
      </c>
      <c r="E622" t="s">
        <v>1502</v>
      </c>
      <c r="F622">
        <v>1854</v>
      </c>
      <c r="G622" t="str">
        <f t="shared" si="9"/>
        <v>0101M26D1854</v>
      </c>
    </row>
    <row r="623" spans="3:7">
      <c r="C623" t="s">
        <v>2087</v>
      </c>
      <c r="D623" t="s">
        <v>1508</v>
      </c>
      <c r="E623" t="s">
        <v>2901</v>
      </c>
      <c r="F623">
        <v>1855</v>
      </c>
      <c r="G623" t="str">
        <f t="shared" si="9"/>
        <v>0101M26B1855</v>
      </c>
    </row>
    <row r="624" spans="3:7">
      <c r="C624" t="s">
        <v>2088</v>
      </c>
      <c r="D624" t="s">
        <v>1500</v>
      </c>
      <c r="E624" t="s">
        <v>1500</v>
      </c>
      <c r="F624">
        <v>1856</v>
      </c>
      <c r="G624" t="str">
        <f t="shared" si="9"/>
        <v>0101S26S1856</v>
      </c>
    </row>
    <row r="625" spans="3:7">
      <c r="C625" t="s">
        <v>2089</v>
      </c>
      <c r="D625" t="s">
        <v>1506</v>
      </c>
      <c r="E625" t="s">
        <v>2899</v>
      </c>
      <c r="F625">
        <v>1857</v>
      </c>
      <c r="G625" t="str">
        <f t="shared" si="9"/>
        <v>0101N26V1857</v>
      </c>
    </row>
    <row r="626" spans="3:7">
      <c r="C626" t="s">
        <v>2090</v>
      </c>
      <c r="D626" t="s">
        <v>1509</v>
      </c>
      <c r="E626" t="s">
        <v>1505</v>
      </c>
      <c r="F626">
        <v>1858</v>
      </c>
      <c r="G626" t="str">
        <f t="shared" si="9"/>
        <v>0101H26J1858</v>
      </c>
    </row>
    <row r="627" spans="3:7">
      <c r="C627" t="s">
        <v>1691</v>
      </c>
      <c r="D627" t="s">
        <v>1501</v>
      </c>
      <c r="E627" t="s">
        <v>1497</v>
      </c>
      <c r="F627">
        <v>1859</v>
      </c>
      <c r="G627" t="str">
        <f t="shared" si="9"/>
        <v>0101R26A1859</v>
      </c>
    </row>
    <row r="628" spans="3:7">
      <c r="C628" t="s">
        <v>2091</v>
      </c>
      <c r="D628" t="s">
        <v>2898</v>
      </c>
      <c r="E628" t="s">
        <v>1502</v>
      </c>
      <c r="F628">
        <v>1860</v>
      </c>
      <c r="G628" t="str">
        <f t="shared" si="9"/>
        <v>0101U26D1860</v>
      </c>
    </row>
    <row r="629" spans="3:7">
      <c r="C629" t="s">
        <v>2092</v>
      </c>
      <c r="D629" t="s">
        <v>1497</v>
      </c>
      <c r="E629" t="s">
        <v>1497</v>
      </c>
      <c r="F629">
        <v>1861</v>
      </c>
      <c r="G629" t="str">
        <f t="shared" si="9"/>
        <v>0101A26A1861</v>
      </c>
    </row>
    <row r="630" spans="3:7">
      <c r="C630" t="s">
        <v>2093</v>
      </c>
      <c r="D630" t="s">
        <v>1505</v>
      </c>
      <c r="E630" t="s">
        <v>1504</v>
      </c>
      <c r="F630">
        <v>1862</v>
      </c>
      <c r="G630" t="str">
        <f t="shared" si="9"/>
        <v>0101J26P1862</v>
      </c>
    </row>
    <row r="631" spans="3:7">
      <c r="C631" t="s">
        <v>2094</v>
      </c>
      <c r="D631" t="s">
        <v>1502</v>
      </c>
      <c r="E631" t="s">
        <v>1504</v>
      </c>
      <c r="F631">
        <v>1863</v>
      </c>
      <c r="G631" t="str">
        <f t="shared" si="9"/>
        <v>0101D26P1863</v>
      </c>
    </row>
    <row r="632" spans="3:7">
      <c r="C632" t="s">
        <v>2095</v>
      </c>
      <c r="D632" t="s">
        <v>1504</v>
      </c>
      <c r="E632" t="s">
        <v>1502</v>
      </c>
      <c r="F632">
        <v>1864</v>
      </c>
      <c r="G632" t="str">
        <f t="shared" si="9"/>
        <v>0101P26D1864</v>
      </c>
    </row>
    <row r="633" spans="3:7">
      <c r="C633" t="s">
        <v>2096</v>
      </c>
      <c r="D633" t="s">
        <v>1500</v>
      </c>
      <c r="E633" t="s">
        <v>1508</v>
      </c>
      <c r="F633">
        <v>1865</v>
      </c>
      <c r="G633" t="str">
        <f t="shared" si="9"/>
        <v>0101S26M1865</v>
      </c>
    </row>
    <row r="634" spans="3:7">
      <c r="C634" t="s">
        <v>2097</v>
      </c>
      <c r="D634" t="s">
        <v>1501</v>
      </c>
      <c r="E634" t="s">
        <v>1498</v>
      </c>
      <c r="F634">
        <v>1866</v>
      </c>
      <c r="G634" t="str">
        <f t="shared" si="9"/>
        <v>0101R26K1866</v>
      </c>
    </row>
    <row r="635" spans="3:7">
      <c r="C635" t="s">
        <v>2098</v>
      </c>
      <c r="D635" t="s">
        <v>1501</v>
      </c>
      <c r="E635" t="s">
        <v>1498</v>
      </c>
      <c r="F635">
        <v>1867</v>
      </c>
      <c r="G635" t="str">
        <f t="shared" si="9"/>
        <v>0101R26K1867</v>
      </c>
    </row>
    <row r="636" spans="3:7">
      <c r="C636" t="s">
        <v>2099</v>
      </c>
      <c r="D636" t="s">
        <v>2907</v>
      </c>
      <c r="E636" t="s">
        <v>1500</v>
      </c>
      <c r="F636">
        <v>1868</v>
      </c>
      <c r="G636" t="str">
        <f t="shared" si="9"/>
        <v>0101Y26S1868</v>
      </c>
    </row>
    <row r="637" spans="3:7">
      <c r="C637" t="s">
        <v>2100</v>
      </c>
      <c r="D637" t="s">
        <v>1500</v>
      </c>
      <c r="E637" t="s">
        <v>1498</v>
      </c>
      <c r="F637">
        <v>1869</v>
      </c>
      <c r="G637" t="str">
        <f t="shared" si="9"/>
        <v>0101S26K1869</v>
      </c>
    </row>
    <row r="638" spans="3:7">
      <c r="C638" t="s">
        <v>2101</v>
      </c>
      <c r="D638" t="s">
        <v>1497</v>
      </c>
      <c r="E638" t="s">
        <v>1505</v>
      </c>
      <c r="F638">
        <v>1870</v>
      </c>
      <c r="G638" t="str">
        <f t="shared" si="9"/>
        <v>0101A26J1870</v>
      </c>
    </row>
    <row r="639" spans="3:7">
      <c r="C639" t="s">
        <v>2102</v>
      </c>
      <c r="D639" t="s">
        <v>1497</v>
      </c>
      <c r="E639" t="s">
        <v>1497</v>
      </c>
      <c r="F639">
        <v>1871</v>
      </c>
      <c r="G639" t="str">
        <f t="shared" si="9"/>
        <v>0101A26A1871</v>
      </c>
    </row>
    <row r="640" spans="3:7">
      <c r="C640" t="s">
        <v>2103</v>
      </c>
      <c r="D640" t="s">
        <v>1497</v>
      </c>
      <c r="E640" t="s">
        <v>1497</v>
      </c>
      <c r="F640">
        <v>1872</v>
      </c>
      <c r="G640" t="str">
        <f t="shared" si="9"/>
        <v>0101A26A1872</v>
      </c>
    </row>
    <row r="641" spans="3:7">
      <c r="C641" t="s">
        <v>644</v>
      </c>
      <c r="D641" t="s">
        <v>1501</v>
      </c>
      <c r="E641" t="s">
        <v>1500</v>
      </c>
      <c r="F641">
        <v>1873</v>
      </c>
      <c r="G641" t="str">
        <f t="shared" si="9"/>
        <v>0101R26S1873</v>
      </c>
    </row>
    <row r="642" spans="3:7">
      <c r="C642" t="s">
        <v>2104</v>
      </c>
      <c r="D642" t="s">
        <v>1503</v>
      </c>
      <c r="E642" t="s">
        <v>1501</v>
      </c>
      <c r="F642">
        <v>1874</v>
      </c>
      <c r="G642" t="str">
        <f t="shared" si="9"/>
        <v>0101I26R1874</v>
      </c>
    </row>
    <row r="643" spans="3:7">
      <c r="C643" t="s">
        <v>2105</v>
      </c>
      <c r="D643" t="s">
        <v>2898</v>
      </c>
      <c r="E643" t="s">
        <v>1501</v>
      </c>
      <c r="F643">
        <v>1875</v>
      </c>
      <c r="G643" t="str">
        <f t="shared" ref="G643:G706" si="10">_xlfn.CONCAT("0101",D643,"26",E643,F643)</f>
        <v>0101U26R1875</v>
      </c>
    </row>
    <row r="644" spans="3:7">
      <c r="C644" t="s">
        <v>2106</v>
      </c>
      <c r="D644" t="s">
        <v>1497</v>
      </c>
      <c r="E644" t="s">
        <v>1505</v>
      </c>
      <c r="F644">
        <v>1876</v>
      </c>
      <c r="G644" t="str">
        <f t="shared" si="10"/>
        <v>0101A26J1876</v>
      </c>
    </row>
    <row r="645" spans="3:7">
      <c r="C645" t="s">
        <v>2107</v>
      </c>
      <c r="D645" t="s">
        <v>2899</v>
      </c>
      <c r="E645" t="s">
        <v>1502</v>
      </c>
      <c r="F645">
        <v>1877</v>
      </c>
      <c r="G645" t="str">
        <f t="shared" si="10"/>
        <v>0101V26D1877</v>
      </c>
    </row>
    <row r="646" spans="3:7">
      <c r="C646" t="s">
        <v>2108</v>
      </c>
      <c r="D646" t="s">
        <v>1497</v>
      </c>
      <c r="E646" t="s">
        <v>1497</v>
      </c>
      <c r="F646">
        <v>1878</v>
      </c>
      <c r="G646" t="str">
        <f t="shared" si="10"/>
        <v>0101A26A1878</v>
      </c>
    </row>
    <row r="647" spans="3:7">
      <c r="C647" t="s">
        <v>2109</v>
      </c>
      <c r="D647" t="s">
        <v>1508</v>
      </c>
      <c r="E647" t="s">
        <v>1500</v>
      </c>
      <c r="F647">
        <v>1879</v>
      </c>
      <c r="G647" t="str">
        <f t="shared" si="10"/>
        <v>0101M26S1879</v>
      </c>
    </row>
    <row r="648" spans="3:7">
      <c r="C648" t="s">
        <v>2110</v>
      </c>
      <c r="D648" t="s">
        <v>1500</v>
      </c>
      <c r="E648" t="s">
        <v>1500</v>
      </c>
      <c r="F648">
        <v>1880</v>
      </c>
      <c r="G648" t="str">
        <f t="shared" si="10"/>
        <v>0101S26S1880</v>
      </c>
    </row>
    <row r="649" spans="3:7">
      <c r="C649" t="s">
        <v>2111</v>
      </c>
      <c r="D649" t="s">
        <v>1501</v>
      </c>
      <c r="E649" t="s">
        <v>2901</v>
      </c>
      <c r="F649">
        <v>1881</v>
      </c>
      <c r="G649" t="str">
        <f t="shared" si="10"/>
        <v>0101R26B1881</v>
      </c>
    </row>
    <row r="650" spans="3:7">
      <c r="C650" t="s">
        <v>2112</v>
      </c>
      <c r="D650" t="s">
        <v>1502</v>
      </c>
      <c r="E650" t="s">
        <v>1505</v>
      </c>
      <c r="F650">
        <v>1882</v>
      </c>
      <c r="G650" t="str">
        <f t="shared" si="10"/>
        <v>0101D26J1882</v>
      </c>
    </row>
    <row r="651" spans="3:7">
      <c r="C651" t="s">
        <v>2113</v>
      </c>
      <c r="D651" t="s">
        <v>1498</v>
      </c>
      <c r="E651" t="s">
        <v>1508</v>
      </c>
      <c r="F651">
        <v>1883</v>
      </c>
      <c r="G651" t="str">
        <f t="shared" si="10"/>
        <v>0101K26M1883</v>
      </c>
    </row>
    <row r="652" spans="3:7">
      <c r="C652" t="s">
        <v>2114</v>
      </c>
      <c r="D652" t="s">
        <v>2899</v>
      </c>
      <c r="E652" t="s">
        <v>1500</v>
      </c>
      <c r="F652">
        <v>1884</v>
      </c>
      <c r="G652" t="str">
        <f t="shared" si="10"/>
        <v>0101V26S1884</v>
      </c>
    </row>
    <row r="653" spans="3:7">
      <c r="C653" t="s">
        <v>2115</v>
      </c>
      <c r="D653" t="s">
        <v>1502</v>
      </c>
      <c r="E653" t="s">
        <v>1497</v>
      </c>
      <c r="F653">
        <v>1885</v>
      </c>
      <c r="G653" t="str">
        <f t="shared" si="10"/>
        <v>0101D26A1885</v>
      </c>
    </row>
    <row r="654" spans="3:7">
      <c r="C654" t="s">
        <v>2116</v>
      </c>
      <c r="D654" t="s">
        <v>1508</v>
      </c>
      <c r="E654" t="s">
        <v>1508</v>
      </c>
      <c r="F654">
        <v>1886</v>
      </c>
      <c r="G654" t="str">
        <f t="shared" si="10"/>
        <v>0101M26M1886</v>
      </c>
    </row>
    <row r="655" spans="3:7">
      <c r="C655" t="s">
        <v>2117</v>
      </c>
      <c r="D655" t="s">
        <v>1504</v>
      </c>
      <c r="E655" t="s">
        <v>1498</v>
      </c>
      <c r="F655">
        <v>1887</v>
      </c>
      <c r="G655" t="str">
        <f t="shared" si="10"/>
        <v>0101P26K1887</v>
      </c>
    </row>
    <row r="656" spans="3:7">
      <c r="C656" t="s">
        <v>659</v>
      </c>
      <c r="D656" t="s">
        <v>1500</v>
      </c>
      <c r="E656" t="s">
        <v>1500</v>
      </c>
      <c r="F656">
        <v>1888</v>
      </c>
      <c r="G656" t="str">
        <f t="shared" si="10"/>
        <v>0101S26S1888</v>
      </c>
    </row>
    <row r="657" spans="3:7">
      <c r="C657" t="s">
        <v>2118</v>
      </c>
      <c r="D657" t="s">
        <v>1502</v>
      </c>
      <c r="E657" t="s">
        <v>1500</v>
      </c>
      <c r="F657">
        <v>1889</v>
      </c>
      <c r="G657" t="str">
        <f t="shared" si="10"/>
        <v>0101D26S1889</v>
      </c>
    </row>
    <row r="658" spans="3:7">
      <c r="C658" t="s">
        <v>2119</v>
      </c>
      <c r="D658" t="s">
        <v>1500</v>
      </c>
      <c r="E658" t="s">
        <v>1504</v>
      </c>
      <c r="F658">
        <v>1890</v>
      </c>
      <c r="G658" t="str">
        <f t="shared" si="10"/>
        <v>0101S26P1890</v>
      </c>
    </row>
    <row r="659" spans="3:7">
      <c r="C659" t="s">
        <v>2120</v>
      </c>
      <c r="D659" t="s">
        <v>1501</v>
      </c>
      <c r="E659" t="s">
        <v>1502</v>
      </c>
      <c r="F659">
        <v>1891</v>
      </c>
      <c r="G659" t="str">
        <f t="shared" si="10"/>
        <v>0101R26D1891</v>
      </c>
    </row>
    <row r="660" spans="3:7">
      <c r="C660" t="s">
        <v>2121</v>
      </c>
      <c r="D660" t="s">
        <v>1500</v>
      </c>
      <c r="E660" t="s">
        <v>2906</v>
      </c>
      <c r="F660">
        <v>1892</v>
      </c>
      <c r="G660" t="str">
        <f t="shared" si="10"/>
        <v>0101S26G1892</v>
      </c>
    </row>
    <row r="661" spans="3:7">
      <c r="C661" t="s">
        <v>2122</v>
      </c>
      <c r="D661" t="s">
        <v>1501</v>
      </c>
      <c r="E661" t="s">
        <v>1504</v>
      </c>
      <c r="F661">
        <v>1893</v>
      </c>
      <c r="G661" t="str">
        <f t="shared" si="10"/>
        <v>0101R26P1893</v>
      </c>
    </row>
    <row r="662" spans="3:7">
      <c r="C662" t="s">
        <v>2123</v>
      </c>
      <c r="D662" t="s">
        <v>1498</v>
      </c>
      <c r="E662" t="s">
        <v>1505</v>
      </c>
      <c r="F662">
        <v>1894</v>
      </c>
      <c r="G662" t="str">
        <f t="shared" si="10"/>
        <v>0101K26J1894</v>
      </c>
    </row>
    <row r="663" spans="3:7">
      <c r="C663" t="s">
        <v>2124</v>
      </c>
      <c r="D663" t="s">
        <v>1498</v>
      </c>
      <c r="E663" t="s">
        <v>1505</v>
      </c>
      <c r="F663">
        <v>1895</v>
      </c>
      <c r="G663" t="str">
        <f t="shared" si="10"/>
        <v>0101K26J1895</v>
      </c>
    </row>
    <row r="664" spans="3:7">
      <c r="C664" t="s">
        <v>2125</v>
      </c>
      <c r="D664" t="s">
        <v>1501</v>
      </c>
      <c r="E664" t="s">
        <v>2906</v>
      </c>
      <c r="F664">
        <v>1896</v>
      </c>
      <c r="G664" t="str">
        <f t="shared" si="10"/>
        <v>0101R26G1896</v>
      </c>
    </row>
    <row r="665" spans="3:7">
      <c r="C665" t="s">
        <v>2126</v>
      </c>
      <c r="D665" t="s">
        <v>1497</v>
      </c>
      <c r="E665" t="s">
        <v>1508</v>
      </c>
      <c r="F665">
        <v>1897</v>
      </c>
      <c r="G665" t="str">
        <f t="shared" si="10"/>
        <v>0101A26M1897</v>
      </c>
    </row>
    <row r="666" spans="3:7">
      <c r="C666" t="s">
        <v>2127</v>
      </c>
      <c r="D666" t="s">
        <v>1497</v>
      </c>
      <c r="E666" t="s">
        <v>2899</v>
      </c>
      <c r="F666">
        <v>1898</v>
      </c>
      <c r="G666" t="str">
        <f t="shared" si="10"/>
        <v>0101A26V1898</v>
      </c>
    </row>
    <row r="667" spans="3:7">
      <c r="C667" t="s">
        <v>2128</v>
      </c>
      <c r="D667" t="s">
        <v>2901</v>
      </c>
      <c r="E667" t="s">
        <v>1498</v>
      </c>
      <c r="F667">
        <v>1899</v>
      </c>
      <c r="G667" t="str">
        <f t="shared" si="10"/>
        <v>0101B26K1899</v>
      </c>
    </row>
    <row r="668" spans="3:7">
      <c r="C668" t="s">
        <v>2129</v>
      </c>
      <c r="D668" t="s">
        <v>1501</v>
      </c>
      <c r="E668" t="s">
        <v>1501</v>
      </c>
      <c r="F668">
        <v>1900</v>
      </c>
      <c r="G668" t="str">
        <f t="shared" si="10"/>
        <v>0101R26R1900</v>
      </c>
    </row>
    <row r="669" spans="3:7">
      <c r="C669" t="s">
        <v>2130</v>
      </c>
      <c r="D669" t="s">
        <v>1503</v>
      </c>
      <c r="E669" t="s">
        <v>2906</v>
      </c>
      <c r="F669">
        <v>1901</v>
      </c>
      <c r="G669" t="str">
        <f t="shared" si="10"/>
        <v>0101I26G1901</v>
      </c>
    </row>
    <row r="670" spans="3:7">
      <c r="C670" t="s">
        <v>2131</v>
      </c>
      <c r="D670" t="s">
        <v>2901</v>
      </c>
      <c r="E670" t="s">
        <v>1502</v>
      </c>
      <c r="F670">
        <v>1902</v>
      </c>
      <c r="G670" t="str">
        <f t="shared" si="10"/>
        <v>0101B26D1902</v>
      </c>
    </row>
    <row r="671" spans="3:7">
      <c r="C671" t="s">
        <v>2132</v>
      </c>
      <c r="D671" t="s">
        <v>1498</v>
      </c>
      <c r="E671" t="s">
        <v>1500</v>
      </c>
      <c r="F671">
        <v>1903</v>
      </c>
      <c r="G671" t="str">
        <f t="shared" si="10"/>
        <v>0101K26S1903</v>
      </c>
    </row>
    <row r="672" spans="3:7">
      <c r="C672" t="s">
        <v>2133</v>
      </c>
      <c r="D672" t="s">
        <v>1497</v>
      </c>
      <c r="E672" t="s">
        <v>1500</v>
      </c>
      <c r="F672">
        <v>1904</v>
      </c>
      <c r="G672" t="str">
        <f t="shared" si="10"/>
        <v>0101A26S1904</v>
      </c>
    </row>
    <row r="673" spans="3:7">
      <c r="C673" t="s">
        <v>676</v>
      </c>
      <c r="D673" t="s">
        <v>1504</v>
      </c>
      <c r="E673" t="s">
        <v>2906</v>
      </c>
      <c r="F673">
        <v>1905</v>
      </c>
      <c r="G673" t="str">
        <f t="shared" si="10"/>
        <v>0101P26G1905</v>
      </c>
    </row>
    <row r="674" spans="3:7">
      <c r="C674" t="s">
        <v>677</v>
      </c>
      <c r="D674" t="s">
        <v>1504</v>
      </c>
      <c r="E674" t="s">
        <v>1497</v>
      </c>
      <c r="F674">
        <v>1906</v>
      </c>
      <c r="G674" t="str">
        <f t="shared" si="10"/>
        <v>0101P26A1906</v>
      </c>
    </row>
    <row r="675" spans="3:7">
      <c r="C675" t="s">
        <v>2134</v>
      </c>
      <c r="D675" t="s">
        <v>1500</v>
      </c>
      <c r="E675" t="s">
        <v>1505</v>
      </c>
      <c r="F675">
        <v>1907</v>
      </c>
      <c r="G675" t="str">
        <f t="shared" si="10"/>
        <v>0101S26J1907</v>
      </c>
    </row>
    <row r="676" spans="3:7">
      <c r="C676" t="s">
        <v>2135</v>
      </c>
      <c r="D676" t="s">
        <v>1497</v>
      </c>
      <c r="E676" t="s">
        <v>2901</v>
      </c>
      <c r="F676">
        <v>1908</v>
      </c>
      <c r="G676" t="str">
        <f t="shared" si="10"/>
        <v>0101A26B1908</v>
      </c>
    </row>
    <row r="677" spans="3:7">
      <c r="C677" t="s">
        <v>2136</v>
      </c>
      <c r="D677" t="s">
        <v>1497</v>
      </c>
      <c r="E677" t="s">
        <v>1500</v>
      </c>
      <c r="F677">
        <v>1909</v>
      </c>
      <c r="G677" t="str">
        <f t="shared" si="10"/>
        <v>0101A26S1909</v>
      </c>
    </row>
    <row r="678" spans="3:7">
      <c r="C678" t="s">
        <v>2137</v>
      </c>
      <c r="D678" t="s">
        <v>1497</v>
      </c>
      <c r="E678" t="s">
        <v>1500</v>
      </c>
      <c r="F678">
        <v>1910</v>
      </c>
      <c r="G678" t="str">
        <f t="shared" si="10"/>
        <v>0101A26S1910</v>
      </c>
    </row>
    <row r="679" spans="3:7">
      <c r="C679" t="s">
        <v>2138</v>
      </c>
      <c r="D679" t="s">
        <v>1501</v>
      </c>
      <c r="E679" t="s">
        <v>1500</v>
      </c>
      <c r="F679">
        <v>1911</v>
      </c>
      <c r="G679" t="str">
        <f t="shared" si="10"/>
        <v>0101R26S1911</v>
      </c>
    </row>
    <row r="680" spans="3:7">
      <c r="C680" t="s">
        <v>2139</v>
      </c>
      <c r="D680" t="s">
        <v>1498</v>
      </c>
      <c r="E680" t="s">
        <v>1499</v>
      </c>
      <c r="F680">
        <v>1912</v>
      </c>
      <c r="G680" t="str">
        <f t="shared" si="10"/>
        <v>0101K26C1912</v>
      </c>
    </row>
    <row r="681" spans="3:7">
      <c r="C681" t="s">
        <v>2140</v>
      </c>
      <c r="D681" t="s">
        <v>1501</v>
      </c>
      <c r="E681" t="s">
        <v>1501</v>
      </c>
      <c r="F681">
        <v>1913</v>
      </c>
      <c r="G681" t="str">
        <f t="shared" si="10"/>
        <v>0101R26R1913</v>
      </c>
    </row>
    <row r="682" spans="3:7">
      <c r="C682" t="s">
        <v>2141</v>
      </c>
      <c r="D682" t="s">
        <v>1497</v>
      </c>
      <c r="E682" t="s">
        <v>1502</v>
      </c>
      <c r="F682">
        <v>1914</v>
      </c>
      <c r="G682" t="str">
        <f t="shared" si="10"/>
        <v>0101A26D1914</v>
      </c>
    </row>
    <row r="683" spans="3:7">
      <c r="C683" t="s">
        <v>2142</v>
      </c>
      <c r="D683" t="s">
        <v>1509</v>
      </c>
      <c r="E683" t="s">
        <v>1509</v>
      </c>
      <c r="F683">
        <v>1915</v>
      </c>
      <c r="G683" t="str">
        <f t="shared" si="10"/>
        <v>0101H26H1915</v>
      </c>
    </row>
    <row r="684" spans="3:7">
      <c r="C684" t="s">
        <v>2143</v>
      </c>
      <c r="D684" t="s">
        <v>2901</v>
      </c>
      <c r="E684" t="s">
        <v>1500</v>
      </c>
      <c r="F684">
        <v>1916</v>
      </c>
      <c r="G684" t="str">
        <f t="shared" si="10"/>
        <v>0101B26S1916</v>
      </c>
    </row>
    <row r="685" spans="3:7">
      <c r="C685" t="s">
        <v>688</v>
      </c>
      <c r="D685" t="s">
        <v>2899</v>
      </c>
      <c r="E685" t="s">
        <v>2901</v>
      </c>
      <c r="F685">
        <v>1917</v>
      </c>
      <c r="G685" t="str">
        <f t="shared" si="10"/>
        <v>0101V26B1917</v>
      </c>
    </row>
    <row r="686" spans="3:7">
      <c r="C686" t="s">
        <v>2144</v>
      </c>
      <c r="D686" t="s">
        <v>1500</v>
      </c>
      <c r="E686" t="s">
        <v>1499</v>
      </c>
      <c r="F686">
        <v>1918</v>
      </c>
      <c r="G686" t="str">
        <f t="shared" si="10"/>
        <v>0101S26C1918</v>
      </c>
    </row>
    <row r="687" spans="3:7">
      <c r="C687" t="s">
        <v>2145</v>
      </c>
      <c r="D687" t="s">
        <v>1503</v>
      </c>
      <c r="E687" t="s">
        <v>1505</v>
      </c>
      <c r="F687">
        <v>1919</v>
      </c>
      <c r="G687" t="str">
        <f t="shared" si="10"/>
        <v>0101I26J1919</v>
      </c>
    </row>
    <row r="688" spans="3:7">
      <c r="C688" t="s">
        <v>2146</v>
      </c>
      <c r="D688" t="s">
        <v>1497</v>
      </c>
      <c r="E688" t="s">
        <v>1508</v>
      </c>
      <c r="F688">
        <v>1920</v>
      </c>
      <c r="G688" t="str">
        <f t="shared" si="10"/>
        <v>0101A26M1920</v>
      </c>
    </row>
    <row r="689" spans="3:7">
      <c r="C689" t="s">
        <v>2147</v>
      </c>
      <c r="D689" t="s">
        <v>1501</v>
      </c>
      <c r="E689" t="s">
        <v>1507</v>
      </c>
      <c r="F689">
        <v>1921</v>
      </c>
      <c r="G689" t="str">
        <f t="shared" si="10"/>
        <v>0101R26T1921</v>
      </c>
    </row>
    <row r="690" spans="3:7">
      <c r="C690" t="s">
        <v>2148</v>
      </c>
      <c r="D690" t="s">
        <v>2901</v>
      </c>
      <c r="E690" t="s">
        <v>2899</v>
      </c>
      <c r="F690">
        <v>1922</v>
      </c>
      <c r="G690" t="str">
        <f t="shared" si="10"/>
        <v>0101B26V1922</v>
      </c>
    </row>
    <row r="691" spans="3:7">
      <c r="C691" t="s">
        <v>2149</v>
      </c>
      <c r="D691" t="s">
        <v>1497</v>
      </c>
      <c r="E691" t="s">
        <v>2906</v>
      </c>
      <c r="F691">
        <v>1923</v>
      </c>
      <c r="G691" t="str">
        <f t="shared" si="10"/>
        <v>0101A26G1923</v>
      </c>
    </row>
    <row r="692" spans="3:7">
      <c r="C692" t="s">
        <v>2150</v>
      </c>
      <c r="D692" t="s">
        <v>1507</v>
      </c>
      <c r="E692" t="s">
        <v>1500</v>
      </c>
      <c r="F692">
        <v>1924</v>
      </c>
      <c r="G692" t="str">
        <f t="shared" si="10"/>
        <v>0101T26S1924</v>
      </c>
    </row>
    <row r="693" spans="3:7">
      <c r="C693" t="s">
        <v>2151</v>
      </c>
      <c r="D693" t="s">
        <v>1502</v>
      </c>
      <c r="E693" t="s">
        <v>1502</v>
      </c>
      <c r="F693">
        <v>1925</v>
      </c>
      <c r="G693" t="str">
        <f t="shared" si="10"/>
        <v>0101D26D1925</v>
      </c>
    </row>
    <row r="694" spans="3:7">
      <c r="C694" t="s">
        <v>2152</v>
      </c>
      <c r="D694" t="s">
        <v>1504</v>
      </c>
      <c r="E694" t="s">
        <v>1500</v>
      </c>
      <c r="F694">
        <v>1926</v>
      </c>
      <c r="G694" t="str">
        <f t="shared" si="10"/>
        <v>0101P26S1926</v>
      </c>
    </row>
    <row r="695" spans="3:7">
      <c r="C695" t="s">
        <v>2153</v>
      </c>
      <c r="D695" t="s">
        <v>1501</v>
      </c>
      <c r="E695" t="s">
        <v>1507</v>
      </c>
      <c r="F695">
        <v>1927</v>
      </c>
      <c r="G695" t="str">
        <f t="shared" si="10"/>
        <v>0101R26T1927</v>
      </c>
    </row>
    <row r="696" spans="3:7">
      <c r="C696" t="s">
        <v>2154</v>
      </c>
      <c r="D696" t="s">
        <v>1503</v>
      </c>
      <c r="E696" t="s">
        <v>2906</v>
      </c>
      <c r="F696">
        <v>1928</v>
      </c>
      <c r="G696" t="str">
        <f t="shared" si="10"/>
        <v>0101I26G1928</v>
      </c>
    </row>
    <row r="697" spans="3:7">
      <c r="C697" t="s">
        <v>2155</v>
      </c>
      <c r="D697" t="s">
        <v>1500</v>
      </c>
      <c r="E697" t="s">
        <v>1505</v>
      </c>
      <c r="F697">
        <v>1929</v>
      </c>
      <c r="G697" t="str">
        <f t="shared" si="10"/>
        <v>0101S26J1929</v>
      </c>
    </row>
    <row r="698" spans="3:7">
      <c r="C698" t="s">
        <v>2156</v>
      </c>
      <c r="D698" t="s">
        <v>1504</v>
      </c>
      <c r="E698" t="s">
        <v>1501</v>
      </c>
      <c r="F698">
        <v>1930</v>
      </c>
      <c r="G698" t="str">
        <f t="shared" si="10"/>
        <v>0101P26R1930</v>
      </c>
    </row>
    <row r="699" spans="3:7">
      <c r="C699" t="s">
        <v>2157</v>
      </c>
      <c r="D699" t="s">
        <v>1504</v>
      </c>
      <c r="E699" t="s">
        <v>1500</v>
      </c>
      <c r="F699">
        <v>1931</v>
      </c>
      <c r="G699" t="str">
        <f t="shared" si="10"/>
        <v>0101P26S1931</v>
      </c>
    </row>
    <row r="700" spans="3:7">
      <c r="C700" t="s">
        <v>2158</v>
      </c>
      <c r="D700" t="s">
        <v>1500</v>
      </c>
      <c r="E700" t="s">
        <v>1507</v>
      </c>
      <c r="F700">
        <v>1932</v>
      </c>
      <c r="G700" t="str">
        <f t="shared" si="10"/>
        <v>0101S26T1932</v>
      </c>
    </row>
    <row r="701" spans="3:7">
      <c r="C701" t="s">
        <v>2159</v>
      </c>
      <c r="D701" t="s">
        <v>1497</v>
      </c>
      <c r="E701" t="s">
        <v>2906</v>
      </c>
      <c r="F701">
        <v>1933</v>
      </c>
      <c r="G701" t="str">
        <f t="shared" si="10"/>
        <v>0101A26G1933</v>
      </c>
    </row>
    <row r="702" spans="3:7">
      <c r="C702" t="s">
        <v>2160</v>
      </c>
      <c r="D702" t="s">
        <v>2907</v>
      </c>
      <c r="E702" t="s">
        <v>1502</v>
      </c>
      <c r="F702">
        <v>1934</v>
      </c>
      <c r="G702" t="str">
        <f t="shared" si="10"/>
        <v>0101Y26D1934</v>
      </c>
    </row>
    <row r="703" spans="3:7">
      <c r="C703" t="s">
        <v>2161</v>
      </c>
      <c r="D703" t="s">
        <v>2899</v>
      </c>
      <c r="E703" t="s">
        <v>2901</v>
      </c>
      <c r="F703">
        <v>1935</v>
      </c>
      <c r="G703" t="str">
        <f t="shared" si="10"/>
        <v>0101V26B1935</v>
      </c>
    </row>
    <row r="704" spans="3:7">
      <c r="C704" t="s">
        <v>2162</v>
      </c>
      <c r="D704" t="s">
        <v>1504</v>
      </c>
      <c r="E704" t="s">
        <v>1499</v>
      </c>
      <c r="F704">
        <v>1936</v>
      </c>
      <c r="G704" t="str">
        <f t="shared" si="10"/>
        <v>0101P26C1936</v>
      </c>
    </row>
    <row r="705" spans="3:7">
      <c r="C705" t="s">
        <v>2163</v>
      </c>
      <c r="D705" t="s">
        <v>1501</v>
      </c>
      <c r="E705" t="s">
        <v>1502</v>
      </c>
      <c r="F705">
        <v>1937</v>
      </c>
      <c r="G705" t="str">
        <f t="shared" si="10"/>
        <v>0101R26D1937</v>
      </c>
    </row>
    <row r="706" spans="3:7">
      <c r="C706" t="s">
        <v>709</v>
      </c>
      <c r="D706" t="s">
        <v>1500</v>
      </c>
      <c r="E706" t="s">
        <v>1502</v>
      </c>
      <c r="F706">
        <v>1938</v>
      </c>
      <c r="G706" t="str">
        <f t="shared" si="10"/>
        <v>0101S26D1938</v>
      </c>
    </row>
    <row r="707" spans="3:7">
      <c r="C707" t="s">
        <v>2164</v>
      </c>
      <c r="D707" t="s">
        <v>1508</v>
      </c>
      <c r="E707" t="s">
        <v>1501</v>
      </c>
      <c r="F707">
        <v>1939</v>
      </c>
      <c r="G707" t="str">
        <f t="shared" ref="G707:G770" si="11">_xlfn.CONCAT("0101",D707,"26",E707,F707)</f>
        <v>0101M26R1939</v>
      </c>
    </row>
    <row r="708" spans="3:7">
      <c r="C708" t="s">
        <v>2165</v>
      </c>
      <c r="D708" t="s">
        <v>1497</v>
      </c>
      <c r="E708" t="s">
        <v>2901</v>
      </c>
      <c r="F708">
        <v>1940</v>
      </c>
      <c r="G708" t="str">
        <f t="shared" si="11"/>
        <v>0101A26B1940</v>
      </c>
    </row>
    <row r="709" spans="3:7">
      <c r="C709" t="s">
        <v>2166</v>
      </c>
      <c r="D709" t="s">
        <v>1501</v>
      </c>
      <c r="E709" t="s">
        <v>1497</v>
      </c>
      <c r="F709">
        <v>1941</v>
      </c>
      <c r="G709" t="str">
        <f t="shared" si="11"/>
        <v>0101R26A1941</v>
      </c>
    </row>
    <row r="710" spans="3:7">
      <c r="C710" t="s">
        <v>713</v>
      </c>
      <c r="D710" t="s">
        <v>1500</v>
      </c>
      <c r="E710" t="s">
        <v>1499</v>
      </c>
      <c r="F710">
        <v>1942</v>
      </c>
      <c r="G710" t="str">
        <f t="shared" si="11"/>
        <v>0101S26C1942</v>
      </c>
    </row>
    <row r="711" spans="3:7">
      <c r="C711" t="s">
        <v>2167</v>
      </c>
      <c r="D711" t="s">
        <v>2907</v>
      </c>
      <c r="E711" t="s">
        <v>2906</v>
      </c>
      <c r="F711">
        <v>1943</v>
      </c>
      <c r="G711" t="str">
        <f t="shared" si="11"/>
        <v>0101Y26G1943</v>
      </c>
    </row>
    <row r="712" spans="3:7">
      <c r="C712" t="s">
        <v>2168</v>
      </c>
      <c r="D712" t="s">
        <v>1497</v>
      </c>
      <c r="E712" t="s">
        <v>2906</v>
      </c>
      <c r="F712">
        <v>1944</v>
      </c>
      <c r="G712" t="str">
        <f t="shared" si="11"/>
        <v>0101A26G1944</v>
      </c>
    </row>
    <row r="713" spans="3:7">
      <c r="C713" t="s">
        <v>2169</v>
      </c>
      <c r="D713" t="s">
        <v>1500</v>
      </c>
      <c r="E713" t="s">
        <v>1497</v>
      </c>
      <c r="F713">
        <v>1945</v>
      </c>
      <c r="G713" t="str">
        <f t="shared" si="11"/>
        <v>0101S26A1945</v>
      </c>
    </row>
    <row r="714" spans="3:7">
      <c r="C714" t="s">
        <v>2170</v>
      </c>
      <c r="D714" t="s">
        <v>1500</v>
      </c>
      <c r="E714" t="s">
        <v>2906</v>
      </c>
      <c r="F714">
        <v>1946</v>
      </c>
      <c r="G714" t="str">
        <f t="shared" si="11"/>
        <v>0101S26G1946</v>
      </c>
    </row>
    <row r="715" spans="3:7">
      <c r="C715" t="s">
        <v>2171</v>
      </c>
      <c r="D715" t="s">
        <v>1501</v>
      </c>
      <c r="E715" t="s">
        <v>1500</v>
      </c>
      <c r="F715">
        <v>1947</v>
      </c>
      <c r="G715" t="str">
        <f t="shared" si="11"/>
        <v>0101R26S1947</v>
      </c>
    </row>
    <row r="716" spans="3:7">
      <c r="C716" t="s">
        <v>2172</v>
      </c>
      <c r="D716" t="s">
        <v>1497</v>
      </c>
      <c r="E716" t="s">
        <v>1498</v>
      </c>
      <c r="F716">
        <v>1948</v>
      </c>
      <c r="G716" t="str">
        <f t="shared" si="11"/>
        <v>0101A26K1948</v>
      </c>
    </row>
    <row r="717" spans="3:7">
      <c r="C717" t="s">
        <v>2173</v>
      </c>
      <c r="D717" t="s">
        <v>1506</v>
      </c>
      <c r="E717" t="s">
        <v>1497</v>
      </c>
      <c r="F717">
        <v>1949</v>
      </c>
      <c r="G717" t="str">
        <f t="shared" si="11"/>
        <v>0101N26A1949</v>
      </c>
    </row>
    <row r="718" spans="3:7">
      <c r="C718" t="s">
        <v>2174</v>
      </c>
      <c r="D718" t="s">
        <v>1504</v>
      </c>
      <c r="E718" t="s">
        <v>1507</v>
      </c>
      <c r="F718">
        <v>1950</v>
      </c>
      <c r="G718" t="str">
        <f t="shared" si="11"/>
        <v>0101P26T1950</v>
      </c>
    </row>
    <row r="719" spans="3:7">
      <c r="C719" t="s">
        <v>2175</v>
      </c>
      <c r="D719" t="s">
        <v>2898</v>
      </c>
      <c r="E719" t="s">
        <v>1509</v>
      </c>
      <c r="F719">
        <v>1951</v>
      </c>
      <c r="G719" t="str">
        <f t="shared" si="11"/>
        <v>0101U26H1951</v>
      </c>
    </row>
    <row r="720" spans="3:7">
      <c r="C720" t="s">
        <v>2176</v>
      </c>
      <c r="D720" t="s">
        <v>1501</v>
      </c>
      <c r="E720" t="s">
        <v>1498</v>
      </c>
      <c r="F720">
        <v>1952</v>
      </c>
      <c r="G720" t="str">
        <f t="shared" si="11"/>
        <v>0101R26K1952</v>
      </c>
    </row>
    <row r="721" spans="3:7">
      <c r="C721" t="s">
        <v>2177</v>
      </c>
      <c r="D721" t="s">
        <v>1505</v>
      </c>
      <c r="E721" t="s">
        <v>1504</v>
      </c>
      <c r="F721">
        <v>1953</v>
      </c>
      <c r="G721" t="str">
        <f t="shared" si="11"/>
        <v>0101J26P1953</v>
      </c>
    </row>
    <row r="722" spans="3:7">
      <c r="C722" t="s">
        <v>2178</v>
      </c>
      <c r="D722" t="s">
        <v>1504</v>
      </c>
      <c r="E722" t="s">
        <v>1507</v>
      </c>
      <c r="F722">
        <v>1954</v>
      </c>
      <c r="G722" t="str">
        <f t="shared" si="11"/>
        <v>0101P26T1954</v>
      </c>
    </row>
    <row r="723" spans="3:7">
      <c r="C723" t="s">
        <v>2179</v>
      </c>
      <c r="D723" t="s">
        <v>1498</v>
      </c>
      <c r="E723" t="s">
        <v>1500</v>
      </c>
      <c r="F723">
        <v>1955</v>
      </c>
      <c r="G723" t="str">
        <f t="shared" si="11"/>
        <v>0101K26S1955</v>
      </c>
    </row>
    <row r="724" spans="3:7">
      <c r="C724" t="s">
        <v>2180</v>
      </c>
      <c r="D724" t="s">
        <v>1500</v>
      </c>
      <c r="E724" t="s">
        <v>1498</v>
      </c>
      <c r="F724">
        <v>1956</v>
      </c>
      <c r="G724" t="str">
        <f t="shared" si="11"/>
        <v>0101S26K1956</v>
      </c>
    </row>
    <row r="725" spans="3:7">
      <c r="C725" t="s">
        <v>2181</v>
      </c>
      <c r="D725" t="s">
        <v>1500</v>
      </c>
      <c r="E725" t="s">
        <v>1508</v>
      </c>
      <c r="F725">
        <v>1957</v>
      </c>
      <c r="G725" t="str">
        <f t="shared" si="11"/>
        <v>0101S26M1957</v>
      </c>
    </row>
    <row r="726" spans="3:7">
      <c r="C726" t="s">
        <v>2182</v>
      </c>
      <c r="D726" t="s">
        <v>1497</v>
      </c>
      <c r="E726" t="s">
        <v>2899</v>
      </c>
      <c r="F726">
        <v>1958</v>
      </c>
      <c r="G726" t="str">
        <f t="shared" si="11"/>
        <v>0101A26V1958</v>
      </c>
    </row>
    <row r="727" spans="3:7">
      <c r="C727" t="s">
        <v>2183</v>
      </c>
      <c r="D727" t="s">
        <v>1506</v>
      </c>
      <c r="E727" t="s">
        <v>1505</v>
      </c>
      <c r="F727">
        <v>1959</v>
      </c>
      <c r="G727" t="str">
        <f t="shared" si="11"/>
        <v>0101N26J1959</v>
      </c>
    </row>
    <row r="728" spans="3:7">
      <c r="C728" t="s">
        <v>731</v>
      </c>
      <c r="D728" t="s">
        <v>1498</v>
      </c>
      <c r="E728" t="s">
        <v>1507</v>
      </c>
      <c r="F728">
        <v>1960</v>
      </c>
      <c r="G728" t="str">
        <f t="shared" si="11"/>
        <v>0101K26T1960</v>
      </c>
    </row>
    <row r="729" spans="3:7">
      <c r="C729" t="s">
        <v>2184</v>
      </c>
      <c r="D729" t="s">
        <v>1498</v>
      </c>
      <c r="E729" t="s">
        <v>1497</v>
      </c>
      <c r="F729">
        <v>1961</v>
      </c>
      <c r="G729" t="str">
        <f t="shared" si="11"/>
        <v>0101K26A1961</v>
      </c>
    </row>
    <row r="730" spans="3:7">
      <c r="C730" t="s">
        <v>677</v>
      </c>
      <c r="D730" t="s">
        <v>1504</v>
      </c>
      <c r="E730" t="s">
        <v>1497</v>
      </c>
      <c r="F730">
        <v>1962</v>
      </c>
      <c r="G730" t="str">
        <f t="shared" si="11"/>
        <v>0101P26A1962</v>
      </c>
    </row>
    <row r="731" spans="3:7">
      <c r="C731" t="s">
        <v>734</v>
      </c>
      <c r="D731" t="s">
        <v>1503</v>
      </c>
      <c r="E731" t="s">
        <v>1498</v>
      </c>
      <c r="F731">
        <v>1963</v>
      </c>
      <c r="G731" t="str">
        <f t="shared" si="11"/>
        <v>0101I26K1963</v>
      </c>
    </row>
    <row r="732" spans="3:7">
      <c r="C732" t="s">
        <v>2185</v>
      </c>
      <c r="D732" t="s">
        <v>1498</v>
      </c>
      <c r="E732" t="s">
        <v>2901</v>
      </c>
      <c r="F732">
        <v>1964</v>
      </c>
      <c r="G732" t="str">
        <f t="shared" si="11"/>
        <v>0101K26B1964</v>
      </c>
    </row>
    <row r="733" spans="3:7">
      <c r="C733" t="s">
        <v>2186</v>
      </c>
      <c r="D733" t="s">
        <v>1497</v>
      </c>
      <c r="E733" t="s">
        <v>1498</v>
      </c>
      <c r="F733">
        <v>1965</v>
      </c>
      <c r="G733" t="str">
        <f t="shared" si="11"/>
        <v>0101A26K1965</v>
      </c>
    </row>
    <row r="734" spans="3:7">
      <c r="C734" t="s">
        <v>737</v>
      </c>
      <c r="D734" t="s">
        <v>1500</v>
      </c>
      <c r="E734" t="s">
        <v>1505</v>
      </c>
      <c r="F734">
        <v>1966</v>
      </c>
      <c r="G734" t="str">
        <f t="shared" si="11"/>
        <v>0101S26J1966</v>
      </c>
    </row>
    <row r="735" spans="3:7">
      <c r="C735" t="s">
        <v>2187</v>
      </c>
      <c r="D735" t="s">
        <v>2907</v>
      </c>
      <c r="E735" t="s">
        <v>1498</v>
      </c>
      <c r="F735">
        <v>1967</v>
      </c>
      <c r="G735" t="str">
        <f t="shared" si="11"/>
        <v>0101Y26K1967</v>
      </c>
    </row>
    <row r="736" spans="3:7">
      <c r="C736" t="s">
        <v>2188</v>
      </c>
      <c r="D736" t="s">
        <v>1500</v>
      </c>
      <c r="E736" t="s">
        <v>1497</v>
      </c>
      <c r="F736">
        <v>1968</v>
      </c>
      <c r="G736" t="str">
        <f t="shared" si="11"/>
        <v>0101S26A1968</v>
      </c>
    </row>
    <row r="737" spans="3:7">
      <c r="C737" t="s">
        <v>2189</v>
      </c>
      <c r="D737" t="s">
        <v>2899</v>
      </c>
      <c r="E737" t="s">
        <v>2906</v>
      </c>
      <c r="F737">
        <v>1969</v>
      </c>
      <c r="G737" t="str">
        <f t="shared" si="11"/>
        <v>0101V26G1969</v>
      </c>
    </row>
    <row r="738" spans="3:7">
      <c r="C738" t="s">
        <v>2190</v>
      </c>
      <c r="D738" t="s">
        <v>1500</v>
      </c>
      <c r="E738" t="s">
        <v>1500</v>
      </c>
      <c r="F738">
        <v>1970</v>
      </c>
      <c r="G738" t="str">
        <f t="shared" si="11"/>
        <v>0101S26S1970</v>
      </c>
    </row>
    <row r="739" spans="3:7">
      <c r="C739" t="s">
        <v>2191</v>
      </c>
      <c r="D739" t="s">
        <v>2899</v>
      </c>
      <c r="E739" t="s">
        <v>1500</v>
      </c>
      <c r="F739">
        <v>1971</v>
      </c>
      <c r="G739" t="str">
        <f t="shared" si="11"/>
        <v>0101V26S1971</v>
      </c>
    </row>
    <row r="740" spans="3:7">
      <c r="C740" t="s">
        <v>2192</v>
      </c>
      <c r="D740" t="s">
        <v>1501</v>
      </c>
      <c r="E740" t="s">
        <v>1501</v>
      </c>
      <c r="F740">
        <v>1972</v>
      </c>
      <c r="G740" t="str">
        <f t="shared" si="11"/>
        <v>0101R26R1972</v>
      </c>
    </row>
    <row r="741" spans="3:7">
      <c r="C741" t="s">
        <v>744</v>
      </c>
      <c r="D741" t="s">
        <v>2898</v>
      </c>
      <c r="E741" t="s">
        <v>1498</v>
      </c>
      <c r="F741">
        <v>1973</v>
      </c>
      <c r="G741" t="str">
        <f t="shared" si="11"/>
        <v>0101U26K1973</v>
      </c>
    </row>
    <row r="742" spans="3:7">
      <c r="C742" t="s">
        <v>2193</v>
      </c>
      <c r="D742" t="s">
        <v>1504</v>
      </c>
      <c r="E742" t="s">
        <v>1504</v>
      </c>
      <c r="F742">
        <v>1974</v>
      </c>
      <c r="G742" t="str">
        <f t="shared" si="11"/>
        <v>0101P26P1974</v>
      </c>
    </row>
    <row r="743" spans="3:7">
      <c r="C743" t="s">
        <v>2194</v>
      </c>
      <c r="D743" t="s">
        <v>1500</v>
      </c>
      <c r="E743" t="s">
        <v>1497</v>
      </c>
      <c r="F743">
        <v>1975</v>
      </c>
      <c r="G743" t="str">
        <f t="shared" si="11"/>
        <v>0101S26A1975</v>
      </c>
    </row>
    <row r="744" spans="3:7">
      <c r="C744" t="s">
        <v>2195</v>
      </c>
      <c r="D744" t="s">
        <v>1508</v>
      </c>
      <c r="E744" t="s">
        <v>1497</v>
      </c>
      <c r="F744">
        <v>1976</v>
      </c>
      <c r="G744" t="str">
        <f t="shared" si="11"/>
        <v>0101M26A1976</v>
      </c>
    </row>
    <row r="745" spans="3:7">
      <c r="C745" t="s">
        <v>2196</v>
      </c>
      <c r="D745" t="s">
        <v>1508</v>
      </c>
      <c r="E745" t="s">
        <v>1500</v>
      </c>
      <c r="F745">
        <v>1977</v>
      </c>
      <c r="G745" t="str">
        <f t="shared" si="11"/>
        <v>0101M26S1977</v>
      </c>
    </row>
    <row r="746" spans="3:7">
      <c r="C746" t="s">
        <v>2197</v>
      </c>
      <c r="D746" t="s">
        <v>1501</v>
      </c>
      <c r="E746" t="s">
        <v>1500</v>
      </c>
      <c r="F746">
        <v>1978</v>
      </c>
      <c r="G746" t="str">
        <f t="shared" si="11"/>
        <v>0101R26S1978</v>
      </c>
    </row>
    <row r="747" spans="3:7">
      <c r="C747" t="s">
        <v>2198</v>
      </c>
      <c r="D747" t="s">
        <v>2902</v>
      </c>
      <c r="E747" t="s">
        <v>2906</v>
      </c>
      <c r="F747">
        <v>1979</v>
      </c>
      <c r="G747" t="str">
        <f t="shared" si="11"/>
        <v>0101E26G1979</v>
      </c>
    </row>
    <row r="748" spans="3:7">
      <c r="C748" t="s">
        <v>2199</v>
      </c>
      <c r="D748" t="s">
        <v>1505</v>
      </c>
      <c r="E748" t="s">
        <v>1504</v>
      </c>
      <c r="F748">
        <v>1980</v>
      </c>
      <c r="G748" t="str">
        <f t="shared" si="11"/>
        <v>0101J26P1980</v>
      </c>
    </row>
    <row r="749" spans="3:7">
      <c r="C749" t="s">
        <v>2200</v>
      </c>
      <c r="D749" t="s">
        <v>1509</v>
      </c>
      <c r="E749" t="s">
        <v>1500</v>
      </c>
      <c r="F749">
        <v>1981</v>
      </c>
      <c r="G749" t="str">
        <f t="shared" si="11"/>
        <v>0101H26S1981</v>
      </c>
    </row>
    <row r="750" spans="3:7">
      <c r="C750" t="s">
        <v>2100</v>
      </c>
      <c r="D750" t="s">
        <v>1500</v>
      </c>
      <c r="E750" t="s">
        <v>1498</v>
      </c>
      <c r="F750">
        <v>1982</v>
      </c>
      <c r="G750" t="str">
        <f t="shared" si="11"/>
        <v>0101S26K1982</v>
      </c>
    </row>
    <row r="751" spans="3:7">
      <c r="C751" t="s">
        <v>2201</v>
      </c>
      <c r="D751" t="s">
        <v>1502</v>
      </c>
      <c r="E751" t="s">
        <v>1498</v>
      </c>
      <c r="F751">
        <v>1983</v>
      </c>
      <c r="G751" t="str">
        <f t="shared" si="11"/>
        <v>0101D26K1983</v>
      </c>
    </row>
    <row r="752" spans="3:7">
      <c r="C752" t="s">
        <v>2202</v>
      </c>
      <c r="D752" t="s">
        <v>1498</v>
      </c>
      <c r="E752" t="s">
        <v>1500</v>
      </c>
      <c r="F752">
        <v>1984</v>
      </c>
      <c r="G752" t="str">
        <f t="shared" si="11"/>
        <v>0101K26S1984</v>
      </c>
    </row>
    <row r="753" spans="3:7">
      <c r="C753" t="s">
        <v>2203</v>
      </c>
      <c r="D753" t="s">
        <v>1497</v>
      </c>
      <c r="E753" t="s">
        <v>1497</v>
      </c>
      <c r="F753">
        <v>1985</v>
      </c>
      <c r="G753" t="str">
        <f t="shared" si="11"/>
        <v>0101A26A1985</v>
      </c>
    </row>
    <row r="754" spans="3:7">
      <c r="C754" t="s">
        <v>2204</v>
      </c>
      <c r="D754" t="s">
        <v>1501</v>
      </c>
      <c r="E754" t="s">
        <v>1507</v>
      </c>
      <c r="F754">
        <v>1986</v>
      </c>
      <c r="G754" t="str">
        <f t="shared" si="11"/>
        <v>0101R26T1986</v>
      </c>
    </row>
    <row r="755" spans="3:7">
      <c r="C755" t="s">
        <v>2205</v>
      </c>
      <c r="D755" t="s">
        <v>1500</v>
      </c>
      <c r="E755" t="s">
        <v>1501</v>
      </c>
      <c r="F755">
        <v>1987</v>
      </c>
      <c r="G755" t="str">
        <f t="shared" si="11"/>
        <v>0101S26R1987</v>
      </c>
    </row>
    <row r="756" spans="3:7">
      <c r="C756" t="s">
        <v>2206</v>
      </c>
      <c r="D756" t="s">
        <v>1508</v>
      </c>
      <c r="E756" t="s">
        <v>1500</v>
      </c>
      <c r="F756">
        <v>1988</v>
      </c>
      <c r="G756" t="str">
        <f t="shared" si="11"/>
        <v>0101M26S1988</v>
      </c>
    </row>
    <row r="757" spans="3:7">
      <c r="C757" t="s">
        <v>2207</v>
      </c>
      <c r="D757" t="s">
        <v>1506</v>
      </c>
      <c r="E757" t="s">
        <v>2901</v>
      </c>
      <c r="F757">
        <v>1989</v>
      </c>
      <c r="G757" t="str">
        <f t="shared" si="11"/>
        <v>0101N26B1989</v>
      </c>
    </row>
    <row r="758" spans="3:7">
      <c r="C758" t="s">
        <v>2208</v>
      </c>
      <c r="D758" t="s">
        <v>1500</v>
      </c>
      <c r="E758" t="s">
        <v>1500</v>
      </c>
      <c r="F758">
        <v>1990</v>
      </c>
      <c r="G758" t="str">
        <f t="shared" si="11"/>
        <v>0101S26S1990</v>
      </c>
    </row>
    <row r="759" spans="3:7">
      <c r="C759" t="s">
        <v>2209</v>
      </c>
      <c r="D759" t="s">
        <v>1500</v>
      </c>
      <c r="E759" t="s">
        <v>1505</v>
      </c>
      <c r="F759">
        <v>1991</v>
      </c>
      <c r="G759" t="str">
        <f t="shared" si="11"/>
        <v>0101S26J1991</v>
      </c>
    </row>
    <row r="760" spans="3:7">
      <c r="C760" t="s">
        <v>2210</v>
      </c>
      <c r="D760" t="s">
        <v>1507</v>
      </c>
      <c r="E760" t="s">
        <v>1502</v>
      </c>
      <c r="F760">
        <v>1992</v>
      </c>
      <c r="G760" t="str">
        <f t="shared" si="11"/>
        <v>0101T26D1992</v>
      </c>
    </row>
    <row r="761" spans="3:7">
      <c r="C761" t="s">
        <v>2211</v>
      </c>
      <c r="D761" t="s">
        <v>1497</v>
      </c>
      <c r="E761" t="s">
        <v>1501</v>
      </c>
      <c r="F761">
        <v>1993</v>
      </c>
      <c r="G761" t="str">
        <f t="shared" si="11"/>
        <v>0101A26R1993</v>
      </c>
    </row>
    <row r="762" spans="3:7">
      <c r="C762" t="s">
        <v>2212</v>
      </c>
      <c r="D762" t="s">
        <v>1507</v>
      </c>
      <c r="E762" t="s">
        <v>1502</v>
      </c>
      <c r="F762">
        <v>1994</v>
      </c>
      <c r="G762" t="str">
        <f t="shared" si="11"/>
        <v>0101T26D1994</v>
      </c>
    </row>
    <row r="763" spans="3:7">
      <c r="C763" t="s">
        <v>2213</v>
      </c>
      <c r="D763" t="s">
        <v>1502</v>
      </c>
      <c r="E763" t="s">
        <v>1497</v>
      </c>
      <c r="F763">
        <v>1995</v>
      </c>
      <c r="G763" t="str">
        <f t="shared" si="11"/>
        <v>0101D26A1995</v>
      </c>
    </row>
    <row r="764" spans="3:7">
      <c r="C764" t="s">
        <v>2214</v>
      </c>
      <c r="D764" t="s">
        <v>2899</v>
      </c>
      <c r="E764" t="s">
        <v>1502</v>
      </c>
      <c r="F764">
        <v>1996</v>
      </c>
      <c r="G764" t="str">
        <f t="shared" si="11"/>
        <v>0101V26D1996</v>
      </c>
    </row>
    <row r="765" spans="3:7">
      <c r="C765" t="s">
        <v>2215</v>
      </c>
      <c r="D765" t="s">
        <v>1500</v>
      </c>
      <c r="E765" t="s">
        <v>1498</v>
      </c>
      <c r="F765">
        <v>1997</v>
      </c>
      <c r="G765" t="str">
        <f t="shared" si="11"/>
        <v>0101S26K1997</v>
      </c>
    </row>
    <row r="766" spans="3:7">
      <c r="C766" t="s">
        <v>2216</v>
      </c>
      <c r="D766" t="s">
        <v>1502</v>
      </c>
      <c r="E766" t="s">
        <v>1498</v>
      </c>
      <c r="F766">
        <v>1998</v>
      </c>
      <c r="G766" t="str">
        <f t="shared" si="11"/>
        <v>0101D26K1998</v>
      </c>
    </row>
    <row r="767" spans="3:7">
      <c r="C767" t="s">
        <v>2217</v>
      </c>
      <c r="D767" t="s">
        <v>1504</v>
      </c>
      <c r="E767" t="s">
        <v>2901</v>
      </c>
      <c r="F767">
        <v>1999</v>
      </c>
      <c r="G767" t="str">
        <f t="shared" si="11"/>
        <v>0101P26B1999</v>
      </c>
    </row>
    <row r="768" spans="3:7">
      <c r="C768" t="s">
        <v>2218</v>
      </c>
      <c r="D768" t="s">
        <v>1500</v>
      </c>
      <c r="E768" t="s">
        <v>1500</v>
      </c>
      <c r="F768">
        <v>2000</v>
      </c>
      <c r="G768" t="str">
        <f t="shared" si="11"/>
        <v>0101S26S2000</v>
      </c>
    </row>
    <row r="769" spans="3:7">
      <c r="C769" t="s">
        <v>2219</v>
      </c>
      <c r="D769" t="s">
        <v>2899</v>
      </c>
      <c r="E769" t="s">
        <v>2901</v>
      </c>
      <c r="F769">
        <v>2001</v>
      </c>
      <c r="G769" t="str">
        <f t="shared" si="11"/>
        <v>0101V26B2001</v>
      </c>
    </row>
    <row r="770" spans="3:7">
      <c r="C770" t="s">
        <v>2220</v>
      </c>
      <c r="D770" t="s">
        <v>1503</v>
      </c>
      <c r="E770" t="s">
        <v>1508</v>
      </c>
      <c r="F770">
        <v>2002</v>
      </c>
      <c r="G770" t="str">
        <f t="shared" si="11"/>
        <v>0101I26M2002</v>
      </c>
    </row>
    <row r="771" spans="3:7">
      <c r="C771" t="s">
        <v>2221</v>
      </c>
      <c r="D771" t="s">
        <v>1505</v>
      </c>
      <c r="E771" t="s">
        <v>2899</v>
      </c>
      <c r="F771">
        <v>2003</v>
      </c>
      <c r="G771" t="str">
        <f t="shared" ref="G771:G834" si="12">_xlfn.CONCAT("0101",D771,"26",E771,F771)</f>
        <v>0101J26V2003</v>
      </c>
    </row>
    <row r="772" spans="3:7">
      <c r="C772" t="s">
        <v>2222</v>
      </c>
      <c r="D772" t="s">
        <v>1504</v>
      </c>
      <c r="E772" t="s">
        <v>2906</v>
      </c>
      <c r="F772">
        <v>2004</v>
      </c>
      <c r="G772" t="str">
        <f t="shared" si="12"/>
        <v>0101P26G2004</v>
      </c>
    </row>
    <row r="773" spans="3:7">
      <c r="C773" t="s">
        <v>2223</v>
      </c>
      <c r="D773" t="s">
        <v>1509</v>
      </c>
      <c r="E773" t="s">
        <v>1505</v>
      </c>
      <c r="F773">
        <v>2005</v>
      </c>
      <c r="G773" t="str">
        <f t="shared" si="12"/>
        <v>0101H26J2005</v>
      </c>
    </row>
    <row r="774" spans="3:7">
      <c r="C774" t="s">
        <v>2224</v>
      </c>
      <c r="D774" t="s">
        <v>1501</v>
      </c>
      <c r="E774" t="s">
        <v>1504</v>
      </c>
      <c r="F774">
        <v>2006</v>
      </c>
      <c r="G774" t="str">
        <f t="shared" si="12"/>
        <v>0101R26P2006</v>
      </c>
    </row>
    <row r="775" spans="3:7">
      <c r="C775" t="s">
        <v>2225</v>
      </c>
      <c r="D775" t="s">
        <v>1497</v>
      </c>
      <c r="E775" t="s">
        <v>2906</v>
      </c>
      <c r="F775">
        <v>2007</v>
      </c>
      <c r="G775" t="str">
        <f t="shared" si="12"/>
        <v>0101A26G2007</v>
      </c>
    </row>
    <row r="776" spans="3:7">
      <c r="C776" t="s">
        <v>2226</v>
      </c>
      <c r="D776" t="s">
        <v>1497</v>
      </c>
      <c r="E776" t="s">
        <v>1500</v>
      </c>
      <c r="F776">
        <v>2008</v>
      </c>
      <c r="G776" t="str">
        <f t="shared" si="12"/>
        <v>0101A26S2008</v>
      </c>
    </row>
    <row r="777" spans="3:7">
      <c r="C777" t="s">
        <v>2227</v>
      </c>
      <c r="D777" t="s">
        <v>1500</v>
      </c>
      <c r="E777" t="s">
        <v>1498</v>
      </c>
      <c r="F777">
        <v>2009</v>
      </c>
      <c r="G777" t="str">
        <f t="shared" si="12"/>
        <v>0101S26K2009</v>
      </c>
    </row>
    <row r="778" spans="3:7">
      <c r="C778" t="s">
        <v>2228</v>
      </c>
      <c r="D778" t="s">
        <v>1500</v>
      </c>
      <c r="E778" t="s">
        <v>1508</v>
      </c>
      <c r="F778">
        <v>2010</v>
      </c>
      <c r="G778" t="str">
        <f t="shared" si="12"/>
        <v>0101S26M2010</v>
      </c>
    </row>
    <row r="779" spans="3:7">
      <c r="C779" t="s">
        <v>2229</v>
      </c>
      <c r="D779" t="s">
        <v>1509</v>
      </c>
      <c r="E779" t="s">
        <v>1500</v>
      </c>
      <c r="F779">
        <v>2011</v>
      </c>
      <c r="G779" t="str">
        <f t="shared" si="12"/>
        <v>0101H26S2011</v>
      </c>
    </row>
    <row r="780" spans="3:7">
      <c r="C780" t="s">
        <v>2230</v>
      </c>
      <c r="D780" t="s">
        <v>1497</v>
      </c>
      <c r="E780" t="s">
        <v>1500</v>
      </c>
      <c r="F780">
        <v>2012</v>
      </c>
      <c r="G780" t="str">
        <f t="shared" si="12"/>
        <v>0101A26S2012</v>
      </c>
    </row>
    <row r="781" spans="3:7">
      <c r="C781" t="s">
        <v>783</v>
      </c>
      <c r="D781" t="s">
        <v>1497</v>
      </c>
      <c r="E781" t="s">
        <v>1500</v>
      </c>
      <c r="F781">
        <v>2013</v>
      </c>
      <c r="G781" t="str">
        <f t="shared" si="12"/>
        <v>0101A26S2013</v>
      </c>
    </row>
    <row r="782" spans="3:7">
      <c r="C782" t="s">
        <v>784</v>
      </c>
      <c r="D782" t="s">
        <v>1497</v>
      </c>
      <c r="E782" t="s">
        <v>2906</v>
      </c>
      <c r="F782">
        <v>2014</v>
      </c>
      <c r="G782" t="str">
        <f t="shared" si="12"/>
        <v>0101A26G2014</v>
      </c>
    </row>
    <row r="783" spans="3:7">
      <c r="C783" t="s">
        <v>2231</v>
      </c>
      <c r="D783" t="s">
        <v>1501</v>
      </c>
      <c r="E783" t="s">
        <v>1500</v>
      </c>
      <c r="F783">
        <v>2015</v>
      </c>
      <c r="G783" t="str">
        <f t="shared" si="12"/>
        <v>0101R26S2015</v>
      </c>
    </row>
    <row r="784" spans="3:7">
      <c r="C784" t="s">
        <v>2232</v>
      </c>
      <c r="D784" t="s">
        <v>1501</v>
      </c>
      <c r="E784" t="s">
        <v>1500</v>
      </c>
      <c r="F784">
        <v>2016</v>
      </c>
      <c r="G784" t="str">
        <f t="shared" si="12"/>
        <v>0101R26S2016</v>
      </c>
    </row>
    <row r="785" spans="3:7">
      <c r="C785" t="s">
        <v>2233</v>
      </c>
      <c r="D785" t="s">
        <v>1504</v>
      </c>
      <c r="E785" t="s">
        <v>1508</v>
      </c>
      <c r="F785">
        <v>2017</v>
      </c>
      <c r="G785" t="str">
        <f t="shared" si="12"/>
        <v>0101P26M2017</v>
      </c>
    </row>
    <row r="786" spans="3:7">
      <c r="C786" t="s">
        <v>2234</v>
      </c>
      <c r="D786" t="s">
        <v>1497</v>
      </c>
      <c r="E786" t="s">
        <v>1498</v>
      </c>
      <c r="F786">
        <v>2018</v>
      </c>
      <c r="G786" t="str">
        <f t="shared" si="12"/>
        <v>0101A26K2018</v>
      </c>
    </row>
    <row r="787" spans="3:7">
      <c r="C787" t="s">
        <v>2235</v>
      </c>
      <c r="D787" t="s">
        <v>1500</v>
      </c>
      <c r="E787" t="s">
        <v>1500</v>
      </c>
      <c r="F787">
        <v>2019</v>
      </c>
      <c r="G787" t="str">
        <f t="shared" si="12"/>
        <v>0101S26S2019</v>
      </c>
    </row>
    <row r="788" spans="3:7">
      <c r="C788" t="s">
        <v>2236</v>
      </c>
      <c r="D788" t="s">
        <v>1506</v>
      </c>
      <c r="E788" t="s">
        <v>2901</v>
      </c>
      <c r="F788">
        <v>2020</v>
      </c>
      <c r="G788" t="str">
        <f t="shared" si="12"/>
        <v>0101N26B2020</v>
      </c>
    </row>
    <row r="789" spans="3:7">
      <c r="C789" t="s">
        <v>2237</v>
      </c>
      <c r="D789" t="s">
        <v>2899</v>
      </c>
      <c r="E789" t="s">
        <v>1502</v>
      </c>
      <c r="F789">
        <v>2021</v>
      </c>
      <c r="G789" t="str">
        <f t="shared" si="12"/>
        <v>0101V26D2021</v>
      </c>
    </row>
    <row r="790" spans="3:7">
      <c r="C790" t="s">
        <v>2238</v>
      </c>
      <c r="D790" t="s">
        <v>1498</v>
      </c>
      <c r="E790" t="s">
        <v>1498</v>
      </c>
      <c r="F790">
        <v>2022</v>
      </c>
      <c r="G790" t="str">
        <f t="shared" si="12"/>
        <v>0101K26K2022</v>
      </c>
    </row>
    <row r="791" spans="3:7">
      <c r="C791" t="s">
        <v>2239</v>
      </c>
      <c r="D791" t="s">
        <v>1498</v>
      </c>
      <c r="E791" t="s">
        <v>1499</v>
      </c>
      <c r="F791">
        <v>2023</v>
      </c>
      <c r="G791" t="str">
        <f t="shared" si="12"/>
        <v>0101K26C2023</v>
      </c>
    </row>
    <row r="792" spans="3:7">
      <c r="C792" t="s">
        <v>2240</v>
      </c>
      <c r="D792" t="s">
        <v>1500</v>
      </c>
      <c r="E792" t="s">
        <v>1500</v>
      </c>
      <c r="F792">
        <v>2024</v>
      </c>
      <c r="G792" t="str">
        <f t="shared" si="12"/>
        <v>0101S26S2024</v>
      </c>
    </row>
    <row r="793" spans="3:7">
      <c r="C793" t="s">
        <v>2241</v>
      </c>
      <c r="D793" t="s">
        <v>1500</v>
      </c>
      <c r="E793" t="s">
        <v>1505</v>
      </c>
      <c r="F793">
        <v>2025</v>
      </c>
      <c r="G793" t="str">
        <f t="shared" si="12"/>
        <v>0101S26J2025</v>
      </c>
    </row>
    <row r="794" spans="3:7">
      <c r="C794" t="s">
        <v>2242</v>
      </c>
      <c r="D794" t="s">
        <v>1497</v>
      </c>
      <c r="E794" t="s">
        <v>2906</v>
      </c>
      <c r="F794">
        <v>2026</v>
      </c>
      <c r="G794" t="str">
        <f t="shared" si="12"/>
        <v>0101A26G2026</v>
      </c>
    </row>
    <row r="795" spans="3:7">
      <c r="C795" t="s">
        <v>2243</v>
      </c>
      <c r="D795" t="s">
        <v>1505</v>
      </c>
      <c r="E795" t="s">
        <v>2899</v>
      </c>
      <c r="F795">
        <v>2027</v>
      </c>
      <c r="G795" t="str">
        <f t="shared" si="12"/>
        <v>0101J26V2027</v>
      </c>
    </row>
    <row r="796" spans="3:7">
      <c r="C796" t="s">
        <v>2244</v>
      </c>
      <c r="D796" t="s">
        <v>1509</v>
      </c>
      <c r="E796" t="s">
        <v>1501</v>
      </c>
      <c r="F796">
        <v>2028</v>
      </c>
      <c r="G796" t="str">
        <f t="shared" si="12"/>
        <v>0101H26R2028</v>
      </c>
    </row>
    <row r="797" spans="3:7">
      <c r="C797" t="s">
        <v>2245</v>
      </c>
      <c r="D797" t="s">
        <v>1500</v>
      </c>
      <c r="E797" t="s">
        <v>2899</v>
      </c>
      <c r="F797">
        <v>2029</v>
      </c>
      <c r="G797" t="str">
        <f t="shared" si="12"/>
        <v>0101S26V2029</v>
      </c>
    </row>
    <row r="798" spans="3:7">
      <c r="C798" t="s">
        <v>2246</v>
      </c>
      <c r="D798" t="s">
        <v>1500</v>
      </c>
      <c r="E798" t="s">
        <v>1498</v>
      </c>
      <c r="F798">
        <v>2030</v>
      </c>
      <c r="G798" t="str">
        <f t="shared" si="12"/>
        <v>0101S26K2030</v>
      </c>
    </row>
    <row r="799" spans="3:7">
      <c r="C799" t="s">
        <v>2247</v>
      </c>
      <c r="D799" t="s">
        <v>1500</v>
      </c>
      <c r="E799" t="s">
        <v>1503</v>
      </c>
      <c r="F799">
        <v>2031</v>
      </c>
      <c r="G799" t="str">
        <f t="shared" si="12"/>
        <v>0101S26I2031</v>
      </c>
    </row>
    <row r="800" spans="3:7">
      <c r="C800" t="s">
        <v>2248</v>
      </c>
      <c r="D800" t="s">
        <v>1500</v>
      </c>
      <c r="E800" t="s">
        <v>1499</v>
      </c>
      <c r="F800">
        <v>2032</v>
      </c>
      <c r="G800" t="str">
        <f t="shared" si="12"/>
        <v>0101S26C2032</v>
      </c>
    </row>
    <row r="801" spans="3:7">
      <c r="C801" t="s">
        <v>2249</v>
      </c>
      <c r="D801" t="s">
        <v>1497</v>
      </c>
      <c r="E801" t="s">
        <v>1508</v>
      </c>
      <c r="F801">
        <v>2033</v>
      </c>
      <c r="G801" t="str">
        <f t="shared" si="12"/>
        <v>0101A26M2033</v>
      </c>
    </row>
    <row r="802" spans="3:7">
      <c r="C802" t="s">
        <v>2250</v>
      </c>
      <c r="D802" t="s">
        <v>1500</v>
      </c>
      <c r="E802" t="s">
        <v>1500</v>
      </c>
      <c r="F802">
        <v>2034</v>
      </c>
      <c r="G802" t="str">
        <f t="shared" si="12"/>
        <v>0101S26S2034</v>
      </c>
    </row>
    <row r="803" spans="3:7">
      <c r="C803" t="s">
        <v>805</v>
      </c>
      <c r="D803" t="s">
        <v>1508</v>
      </c>
      <c r="E803" t="s">
        <v>2901</v>
      </c>
      <c r="F803">
        <v>2035</v>
      </c>
      <c r="G803" t="str">
        <f t="shared" si="12"/>
        <v>0101M26B2035</v>
      </c>
    </row>
    <row r="804" spans="3:7">
      <c r="C804" t="s">
        <v>2251</v>
      </c>
      <c r="D804" t="s">
        <v>1505</v>
      </c>
      <c r="E804" t="s">
        <v>1497</v>
      </c>
      <c r="F804">
        <v>2036</v>
      </c>
      <c r="G804" t="str">
        <f t="shared" si="12"/>
        <v>0101J26A2036</v>
      </c>
    </row>
    <row r="805" spans="3:7">
      <c r="C805" t="s">
        <v>2252</v>
      </c>
      <c r="D805" t="s">
        <v>1501</v>
      </c>
      <c r="E805" t="s">
        <v>2904</v>
      </c>
      <c r="F805">
        <v>2037</v>
      </c>
      <c r="G805" t="str">
        <f t="shared" si="12"/>
        <v>0101R26L2037</v>
      </c>
    </row>
    <row r="806" spans="3:7">
      <c r="C806" t="s">
        <v>2253</v>
      </c>
      <c r="D806" t="s">
        <v>1508</v>
      </c>
      <c r="E806" t="s">
        <v>1500</v>
      </c>
      <c r="F806">
        <v>2038</v>
      </c>
      <c r="G806" t="str">
        <f t="shared" si="12"/>
        <v>0101M26S2038</v>
      </c>
    </row>
    <row r="807" spans="3:7">
      <c r="C807" t="s">
        <v>2254</v>
      </c>
      <c r="D807" t="s">
        <v>1500</v>
      </c>
      <c r="E807" t="s">
        <v>1508</v>
      </c>
      <c r="F807">
        <v>2039</v>
      </c>
      <c r="G807" t="str">
        <f t="shared" si="12"/>
        <v>0101S26M2039</v>
      </c>
    </row>
    <row r="808" spans="3:7">
      <c r="C808" t="s">
        <v>2255</v>
      </c>
      <c r="D808" t="s">
        <v>1508</v>
      </c>
      <c r="E808" t="s">
        <v>2906</v>
      </c>
      <c r="F808">
        <v>2040</v>
      </c>
      <c r="G808" t="str">
        <f t="shared" si="12"/>
        <v>0101M26G2040</v>
      </c>
    </row>
    <row r="809" spans="3:7">
      <c r="C809" t="s">
        <v>2256</v>
      </c>
      <c r="D809" t="s">
        <v>1509</v>
      </c>
      <c r="E809" t="s">
        <v>1501</v>
      </c>
      <c r="F809">
        <v>2041</v>
      </c>
      <c r="G809" t="str">
        <f t="shared" si="12"/>
        <v>0101H26R2041</v>
      </c>
    </row>
    <row r="810" spans="3:7">
      <c r="C810" t="s">
        <v>2257</v>
      </c>
      <c r="D810" t="s">
        <v>1509</v>
      </c>
      <c r="E810" t="s">
        <v>1498</v>
      </c>
      <c r="F810">
        <v>2042</v>
      </c>
      <c r="G810" t="str">
        <f t="shared" si="12"/>
        <v>0101H26K2042</v>
      </c>
    </row>
    <row r="811" spans="3:7">
      <c r="C811" t="s">
        <v>2258</v>
      </c>
      <c r="D811" t="s">
        <v>1501</v>
      </c>
      <c r="E811" t="s">
        <v>1500</v>
      </c>
      <c r="F811">
        <v>2043</v>
      </c>
      <c r="G811" t="str">
        <f t="shared" si="12"/>
        <v>0101R26S2043</v>
      </c>
    </row>
    <row r="812" spans="3:7">
      <c r="C812" t="s">
        <v>2259</v>
      </c>
      <c r="D812" t="s">
        <v>1497</v>
      </c>
      <c r="E812" t="s">
        <v>1500</v>
      </c>
      <c r="F812">
        <v>2044</v>
      </c>
      <c r="G812" t="str">
        <f t="shared" si="12"/>
        <v>0101A26S2044</v>
      </c>
    </row>
    <row r="813" spans="3:7">
      <c r="C813" t="s">
        <v>2260</v>
      </c>
      <c r="D813" t="s">
        <v>1497</v>
      </c>
      <c r="E813" t="s">
        <v>2901</v>
      </c>
      <c r="F813">
        <v>2045</v>
      </c>
      <c r="G813" t="str">
        <f t="shared" si="12"/>
        <v>0101A26B2045</v>
      </c>
    </row>
    <row r="814" spans="3:7">
      <c r="C814" t="s">
        <v>2261</v>
      </c>
      <c r="D814" t="s">
        <v>1507</v>
      </c>
      <c r="E814" t="s">
        <v>1498</v>
      </c>
      <c r="F814">
        <v>2046</v>
      </c>
      <c r="G814" t="str">
        <f t="shared" si="12"/>
        <v>0101T26K2046</v>
      </c>
    </row>
    <row r="815" spans="3:7">
      <c r="C815" t="s">
        <v>2262</v>
      </c>
      <c r="D815" t="s">
        <v>1502</v>
      </c>
      <c r="E815" t="s">
        <v>1502</v>
      </c>
      <c r="F815">
        <v>2047</v>
      </c>
      <c r="G815" t="str">
        <f t="shared" si="12"/>
        <v>0101D26D2047</v>
      </c>
    </row>
    <row r="816" spans="3:7">
      <c r="C816" t="s">
        <v>818</v>
      </c>
      <c r="D816" t="s">
        <v>1498</v>
      </c>
      <c r="E816" t="s">
        <v>2906</v>
      </c>
      <c r="F816">
        <v>2048</v>
      </c>
      <c r="G816" t="str">
        <f t="shared" si="12"/>
        <v>0101K26G2048</v>
      </c>
    </row>
    <row r="817" spans="3:7">
      <c r="C817" t="s">
        <v>2263</v>
      </c>
      <c r="D817" t="s">
        <v>1497</v>
      </c>
      <c r="E817" t="s">
        <v>1507</v>
      </c>
      <c r="F817">
        <v>2049</v>
      </c>
      <c r="G817" t="str">
        <f t="shared" si="12"/>
        <v>0101A26T2049</v>
      </c>
    </row>
    <row r="818" spans="3:7">
      <c r="C818" t="s">
        <v>2264</v>
      </c>
      <c r="D818" t="s">
        <v>1497</v>
      </c>
      <c r="E818" t="s">
        <v>1502</v>
      </c>
      <c r="F818">
        <v>2050</v>
      </c>
      <c r="G818" t="str">
        <f t="shared" si="12"/>
        <v>0101A26D2050</v>
      </c>
    </row>
    <row r="819" spans="3:7">
      <c r="C819" t="s">
        <v>2265</v>
      </c>
      <c r="D819" t="s">
        <v>1507</v>
      </c>
      <c r="E819" t="s">
        <v>1500</v>
      </c>
      <c r="F819">
        <v>2051</v>
      </c>
      <c r="G819" t="str">
        <f t="shared" si="12"/>
        <v>0101T26S2051</v>
      </c>
    </row>
    <row r="820" spans="3:7">
      <c r="C820" t="s">
        <v>2266</v>
      </c>
      <c r="D820" t="s">
        <v>1500</v>
      </c>
      <c r="E820" t="s">
        <v>1502</v>
      </c>
      <c r="F820">
        <v>2052</v>
      </c>
      <c r="G820" t="str">
        <f t="shared" si="12"/>
        <v>0101S26D2052</v>
      </c>
    </row>
    <row r="821" spans="3:7">
      <c r="C821" t="s">
        <v>2267</v>
      </c>
      <c r="D821" t="s">
        <v>1500</v>
      </c>
      <c r="E821" t="s">
        <v>2906</v>
      </c>
      <c r="F821">
        <v>2053</v>
      </c>
      <c r="G821" t="str">
        <f t="shared" si="12"/>
        <v>0101S26G2053</v>
      </c>
    </row>
    <row r="822" spans="3:7">
      <c r="C822" t="s">
        <v>2268</v>
      </c>
      <c r="D822" t="s">
        <v>1500</v>
      </c>
      <c r="E822" t="s">
        <v>1500</v>
      </c>
      <c r="F822">
        <v>2054</v>
      </c>
      <c r="G822" t="str">
        <f t="shared" si="12"/>
        <v>0101S26S2054</v>
      </c>
    </row>
    <row r="823" spans="3:7">
      <c r="C823" t="s">
        <v>2269</v>
      </c>
      <c r="D823" t="s">
        <v>1497</v>
      </c>
      <c r="E823" t="s">
        <v>2907</v>
      </c>
      <c r="F823">
        <v>2055</v>
      </c>
      <c r="G823" t="str">
        <f t="shared" si="12"/>
        <v>0101A26Y2055</v>
      </c>
    </row>
    <row r="824" spans="3:7">
      <c r="C824" t="s">
        <v>2270</v>
      </c>
      <c r="D824" t="s">
        <v>1502</v>
      </c>
      <c r="E824" t="s">
        <v>1504</v>
      </c>
      <c r="F824">
        <v>2056</v>
      </c>
      <c r="G824" t="str">
        <f t="shared" si="12"/>
        <v>0101D26P2056</v>
      </c>
    </row>
    <row r="825" spans="3:7">
      <c r="C825" t="s">
        <v>2271</v>
      </c>
      <c r="D825" t="s">
        <v>1497</v>
      </c>
      <c r="E825" t="s">
        <v>1504</v>
      </c>
      <c r="F825">
        <v>2057</v>
      </c>
      <c r="G825" t="str">
        <f t="shared" si="12"/>
        <v>0101A26P2057</v>
      </c>
    </row>
    <row r="826" spans="3:7">
      <c r="C826" t="s">
        <v>2272</v>
      </c>
      <c r="D826" t="s">
        <v>1497</v>
      </c>
      <c r="E826" t="s">
        <v>2906</v>
      </c>
      <c r="F826">
        <v>2058</v>
      </c>
      <c r="G826" t="str">
        <f t="shared" si="12"/>
        <v>0101A26G2058</v>
      </c>
    </row>
    <row r="827" spans="3:7">
      <c r="C827" t="s">
        <v>2273</v>
      </c>
      <c r="D827" t="s">
        <v>1501</v>
      </c>
      <c r="E827" t="s">
        <v>1507</v>
      </c>
      <c r="F827">
        <v>2059</v>
      </c>
      <c r="G827" t="str">
        <f t="shared" si="12"/>
        <v>0101R26T2059</v>
      </c>
    </row>
    <row r="828" spans="3:7">
      <c r="C828" t="s">
        <v>2274</v>
      </c>
      <c r="D828" t="s">
        <v>2906</v>
      </c>
      <c r="E828" t="s">
        <v>2901</v>
      </c>
      <c r="F828">
        <v>2060</v>
      </c>
      <c r="G828" t="str">
        <f t="shared" si="12"/>
        <v>0101G26B2060</v>
      </c>
    </row>
    <row r="829" spans="3:7">
      <c r="C829" t="s">
        <v>2275</v>
      </c>
      <c r="D829" t="s">
        <v>1497</v>
      </c>
      <c r="E829" t="s">
        <v>1498</v>
      </c>
      <c r="F829">
        <v>2061</v>
      </c>
      <c r="G829" t="str">
        <f t="shared" si="12"/>
        <v>0101A26K2061</v>
      </c>
    </row>
    <row r="830" spans="3:7">
      <c r="C830" t="s">
        <v>2276</v>
      </c>
      <c r="D830" t="s">
        <v>1500</v>
      </c>
      <c r="E830" t="s">
        <v>1500</v>
      </c>
      <c r="F830">
        <v>2062</v>
      </c>
      <c r="G830" t="str">
        <f t="shared" si="12"/>
        <v>0101S26S2062</v>
      </c>
    </row>
    <row r="831" spans="3:7">
      <c r="C831" t="s">
        <v>2277</v>
      </c>
      <c r="D831" t="s">
        <v>1500</v>
      </c>
      <c r="E831" t="s">
        <v>2906</v>
      </c>
      <c r="F831">
        <v>2063</v>
      </c>
      <c r="G831" t="str">
        <f t="shared" si="12"/>
        <v>0101S26G2063</v>
      </c>
    </row>
    <row r="832" spans="3:7">
      <c r="C832" t="s">
        <v>2278</v>
      </c>
      <c r="D832" t="s">
        <v>1501</v>
      </c>
      <c r="E832" t="s">
        <v>2906</v>
      </c>
      <c r="F832">
        <v>2064</v>
      </c>
      <c r="G832" t="str">
        <f t="shared" si="12"/>
        <v>0101R26G2064</v>
      </c>
    </row>
    <row r="833" spans="3:7">
      <c r="C833" t="s">
        <v>2279</v>
      </c>
      <c r="D833" t="s">
        <v>1500</v>
      </c>
      <c r="E833" t="s">
        <v>1497</v>
      </c>
      <c r="F833">
        <v>2065</v>
      </c>
      <c r="G833" t="str">
        <f t="shared" si="12"/>
        <v>0101S26A2065</v>
      </c>
    </row>
    <row r="834" spans="3:7">
      <c r="C834" t="s">
        <v>2280</v>
      </c>
      <c r="D834" t="s">
        <v>1497</v>
      </c>
      <c r="E834" t="s">
        <v>1500</v>
      </c>
      <c r="F834">
        <v>2066</v>
      </c>
      <c r="G834" t="str">
        <f t="shared" si="12"/>
        <v>0101A26S2066</v>
      </c>
    </row>
    <row r="835" spans="3:7">
      <c r="C835" t="s">
        <v>2281</v>
      </c>
      <c r="D835" t="s">
        <v>1497</v>
      </c>
      <c r="E835" t="s">
        <v>1508</v>
      </c>
      <c r="F835">
        <v>2067</v>
      </c>
      <c r="G835" t="str">
        <f t="shared" ref="G835:G898" si="13">_xlfn.CONCAT("0101",D835,"26",E835,F835)</f>
        <v>0101A26M2067</v>
      </c>
    </row>
    <row r="836" spans="3:7">
      <c r="C836" t="s">
        <v>2282</v>
      </c>
      <c r="D836" t="s">
        <v>1500</v>
      </c>
      <c r="E836" t="s">
        <v>2901</v>
      </c>
      <c r="F836">
        <v>2068</v>
      </c>
      <c r="G836" t="str">
        <f t="shared" si="13"/>
        <v>0101S26B2068</v>
      </c>
    </row>
    <row r="837" spans="3:7">
      <c r="C837" t="s">
        <v>2283</v>
      </c>
      <c r="D837" t="s">
        <v>1504</v>
      </c>
      <c r="E837" t="s">
        <v>1500</v>
      </c>
      <c r="F837">
        <v>2069</v>
      </c>
      <c r="G837" t="str">
        <f t="shared" si="13"/>
        <v>0101P26S2069</v>
      </c>
    </row>
    <row r="838" spans="3:7">
      <c r="C838" t="s">
        <v>2284</v>
      </c>
      <c r="D838" t="s">
        <v>1497</v>
      </c>
      <c r="E838" t="s">
        <v>1500</v>
      </c>
      <c r="F838">
        <v>2070</v>
      </c>
      <c r="G838" t="str">
        <f t="shared" si="13"/>
        <v>0101A26S2070</v>
      </c>
    </row>
    <row r="839" spans="3:7">
      <c r="C839" t="s">
        <v>2285</v>
      </c>
      <c r="D839" t="s">
        <v>1503</v>
      </c>
      <c r="E839" t="s">
        <v>2906</v>
      </c>
      <c r="F839">
        <v>2071</v>
      </c>
      <c r="G839" t="str">
        <f t="shared" si="13"/>
        <v>0101I26G2071</v>
      </c>
    </row>
    <row r="840" spans="3:7">
      <c r="C840" t="s">
        <v>2286</v>
      </c>
      <c r="D840" t="s">
        <v>1508</v>
      </c>
      <c r="E840" t="s">
        <v>1498</v>
      </c>
      <c r="F840">
        <v>2072</v>
      </c>
      <c r="G840" t="str">
        <f t="shared" si="13"/>
        <v>0101M26K2072</v>
      </c>
    </row>
    <row r="841" spans="3:7">
      <c r="C841" t="s">
        <v>2287</v>
      </c>
      <c r="D841" t="s">
        <v>1498</v>
      </c>
      <c r="E841" t="s">
        <v>1500</v>
      </c>
      <c r="F841">
        <v>2073</v>
      </c>
      <c r="G841" t="str">
        <f t="shared" si="13"/>
        <v>0101K26S2073</v>
      </c>
    </row>
    <row r="842" spans="3:7">
      <c r="C842" t="s">
        <v>2288</v>
      </c>
      <c r="D842" t="s">
        <v>1502</v>
      </c>
      <c r="E842" t="s">
        <v>2901</v>
      </c>
      <c r="F842">
        <v>2074</v>
      </c>
      <c r="G842" t="str">
        <f t="shared" si="13"/>
        <v>0101D26B2074</v>
      </c>
    </row>
    <row r="843" spans="3:7">
      <c r="C843" t="s">
        <v>2289</v>
      </c>
      <c r="D843" t="s">
        <v>1497</v>
      </c>
      <c r="E843" t="s">
        <v>1500</v>
      </c>
      <c r="F843">
        <v>2075</v>
      </c>
      <c r="G843" t="str">
        <f t="shared" si="13"/>
        <v>0101A26S2075</v>
      </c>
    </row>
    <row r="844" spans="3:7">
      <c r="C844" t="s">
        <v>2290</v>
      </c>
      <c r="D844" t="s">
        <v>1504</v>
      </c>
      <c r="E844" t="s">
        <v>1505</v>
      </c>
      <c r="F844">
        <v>2076</v>
      </c>
      <c r="G844" t="str">
        <f t="shared" si="13"/>
        <v>0101P26J2076</v>
      </c>
    </row>
    <row r="845" spans="3:7">
      <c r="C845" t="s">
        <v>2291</v>
      </c>
      <c r="D845" t="s">
        <v>2903</v>
      </c>
      <c r="E845" t="s">
        <v>1497</v>
      </c>
      <c r="F845">
        <v>2077</v>
      </c>
      <c r="G845" t="str">
        <f t="shared" si="13"/>
        <v>0101F26A2077</v>
      </c>
    </row>
    <row r="846" spans="3:7">
      <c r="C846" t="s">
        <v>2292</v>
      </c>
      <c r="D846" t="s">
        <v>1503</v>
      </c>
      <c r="E846" t="s">
        <v>1504</v>
      </c>
      <c r="F846">
        <v>2078</v>
      </c>
      <c r="G846" t="str">
        <f t="shared" si="13"/>
        <v>0101I26P2078</v>
      </c>
    </row>
    <row r="847" spans="3:7">
      <c r="C847" t="s">
        <v>2293</v>
      </c>
      <c r="D847" t="s">
        <v>1500</v>
      </c>
      <c r="E847" t="s">
        <v>1498</v>
      </c>
      <c r="F847">
        <v>2079</v>
      </c>
      <c r="G847" t="str">
        <f t="shared" si="13"/>
        <v>0101S26K2079</v>
      </c>
    </row>
    <row r="848" spans="3:7">
      <c r="C848" t="s">
        <v>2294</v>
      </c>
      <c r="D848" t="s">
        <v>1508</v>
      </c>
      <c r="E848" t="s">
        <v>1498</v>
      </c>
      <c r="F848">
        <v>2080</v>
      </c>
      <c r="G848" t="str">
        <f t="shared" si="13"/>
        <v>0101M26K2080</v>
      </c>
    </row>
    <row r="849" spans="3:7">
      <c r="C849" t="s">
        <v>2295</v>
      </c>
      <c r="D849" t="s">
        <v>1508</v>
      </c>
      <c r="E849" t="s">
        <v>1497</v>
      </c>
      <c r="F849">
        <v>2081</v>
      </c>
      <c r="G849" t="str">
        <f t="shared" si="13"/>
        <v>0101M26A2081</v>
      </c>
    </row>
    <row r="850" spans="3:7">
      <c r="C850" t="s">
        <v>2296</v>
      </c>
      <c r="D850" t="s">
        <v>1497</v>
      </c>
      <c r="E850" t="s">
        <v>1508</v>
      </c>
      <c r="F850">
        <v>2082</v>
      </c>
      <c r="G850" t="str">
        <f t="shared" si="13"/>
        <v>0101A26M2082</v>
      </c>
    </row>
    <row r="851" spans="3:7">
      <c r="C851" t="s">
        <v>2297</v>
      </c>
      <c r="D851" t="s">
        <v>1500</v>
      </c>
      <c r="E851" t="s">
        <v>1497</v>
      </c>
      <c r="F851">
        <v>2083</v>
      </c>
      <c r="G851" t="str">
        <f t="shared" si="13"/>
        <v>0101S26A2083</v>
      </c>
    </row>
    <row r="852" spans="3:7">
      <c r="C852" t="s">
        <v>2298</v>
      </c>
      <c r="D852" t="s">
        <v>1498</v>
      </c>
      <c r="E852" t="s">
        <v>2901</v>
      </c>
      <c r="F852">
        <v>2084</v>
      </c>
      <c r="G852" t="str">
        <f t="shared" si="13"/>
        <v>0101K26B2084</v>
      </c>
    </row>
    <row r="853" spans="3:7">
      <c r="C853" t="s">
        <v>2299</v>
      </c>
      <c r="D853" t="s">
        <v>2906</v>
      </c>
      <c r="E853" t="s">
        <v>1497</v>
      </c>
      <c r="F853">
        <v>2085</v>
      </c>
      <c r="G853" t="str">
        <f t="shared" si="13"/>
        <v>0101G26A2085</v>
      </c>
    </row>
    <row r="854" spans="3:7">
      <c r="C854" t="s">
        <v>2300</v>
      </c>
      <c r="D854" t="s">
        <v>1498</v>
      </c>
      <c r="E854" t="s">
        <v>2906</v>
      </c>
      <c r="F854">
        <v>2086</v>
      </c>
      <c r="G854" t="str">
        <f t="shared" si="13"/>
        <v>0101K26G2086</v>
      </c>
    </row>
    <row r="855" spans="3:7">
      <c r="C855" t="s">
        <v>2301</v>
      </c>
      <c r="D855" t="s">
        <v>1500</v>
      </c>
      <c r="E855" t="s">
        <v>1500</v>
      </c>
      <c r="F855">
        <v>2087</v>
      </c>
      <c r="G855" t="str">
        <f t="shared" si="13"/>
        <v>0101S26S2087</v>
      </c>
    </row>
    <row r="856" spans="3:7">
      <c r="C856" t="s">
        <v>2302</v>
      </c>
      <c r="D856" t="s">
        <v>1497</v>
      </c>
      <c r="E856" t="s">
        <v>1497</v>
      </c>
      <c r="F856">
        <v>2088</v>
      </c>
      <c r="G856" t="str">
        <f t="shared" si="13"/>
        <v>0101A26A2088</v>
      </c>
    </row>
    <row r="857" spans="3:7">
      <c r="C857" t="s">
        <v>2303</v>
      </c>
      <c r="D857" t="s">
        <v>1509</v>
      </c>
      <c r="E857" t="s">
        <v>1500</v>
      </c>
      <c r="F857">
        <v>2089</v>
      </c>
      <c r="G857" t="str">
        <f t="shared" si="13"/>
        <v>0101H26S2089</v>
      </c>
    </row>
    <row r="858" spans="3:7">
      <c r="C858" t="s">
        <v>2304</v>
      </c>
      <c r="D858" t="s">
        <v>1500</v>
      </c>
      <c r="E858" t="s">
        <v>1505</v>
      </c>
      <c r="F858">
        <v>2090</v>
      </c>
      <c r="G858" t="str">
        <f t="shared" si="13"/>
        <v>0101S26J2090</v>
      </c>
    </row>
    <row r="859" spans="3:7">
      <c r="C859" t="s">
        <v>2305</v>
      </c>
      <c r="D859" t="s">
        <v>1497</v>
      </c>
      <c r="E859" t="s">
        <v>1498</v>
      </c>
      <c r="F859">
        <v>2091</v>
      </c>
      <c r="G859" t="str">
        <f t="shared" si="13"/>
        <v>0101A26K2091</v>
      </c>
    </row>
    <row r="860" spans="3:7">
      <c r="C860" t="s">
        <v>2306</v>
      </c>
      <c r="D860" t="s">
        <v>1500</v>
      </c>
      <c r="E860" t="s">
        <v>1508</v>
      </c>
      <c r="F860">
        <v>2092</v>
      </c>
      <c r="G860" t="str">
        <f t="shared" si="13"/>
        <v>0101S26M2092</v>
      </c>
    </row>
    <row r="861" spans="3:7">
      <c r="C861" t="s">
        <v>2307</v>
      </c>
      <c r="D861" t="s">
        <v>1508</v>
      </c>
      <c r="E861" t="s">
        <v>1505</v>
      </c>
      <c r="F861">
        <v>2093</v>
      </c>
      <c r="G861" t="str">
        <f t="shared" si="13"/>
        <v>0101M26J2093</v>
      </c>
    </row>
    <row r="862" spans="3:7">
      <c r="C862" t="s">
        <v>1979</v>
      </c>
      <c r="D862" t="s">
        <v>1497</v>
      </c>
      <c r="E862" t="s">
        <v>1501</v>
      </c>
      <c r="F862">
        <v>2094</v>
      </c>
      <c r="G862" t="str">
        <f t="shared" si="13"/>
        <v>0101A26R2094</v>
      </c>
    </row>
    <row r="863" spans="3:7">
      <c r="C863" t="s">
        <v>2308</v>
      </c>
      <c r="D863" t="s">
        <v>2903</v>
      </c>
      <c r="E863" t="s">
        <v>1500</v>
      </c>
      <c r="F863">
        <v>2095</v>
      </c>
      <c r="G863" t="str">
        <f t="shared" si="13"/>
        <v>0101F26S2095</v>
      </c>
    </row>
    <row r="864" spans="3:7">
      <c r="C864" t="s">
        <v>2309</v>
      </c>
      <c r="D864" t="s">
        <v>1500</v>
      </c>
      <c r="E864" t="s">
        <v>2901</v>
      </c>
      <c r="F864">
        <v>2096</v>
      </c>
      <c r="G864" t="str">
        <f t="shared" si="13"/>
        <v>0101S26B2096</v>
      </c>
    </row>
    <row r="865" spans="3:7">
      <c r="C865" t="s">
        <v>2310</v>
      </c>
      <c r="D865" t="s">
        <v>1500</v>
      </c>
      <c r="E865" t="s">
        <v>1499</v>
      </c>
      <c r="F865">
        <v>2097</v>
      </c>
      <c r="G865" t="str">
        <f t="shared" si="13"/>
        <v>0101S26C2097</v>
      </c>
    </row>
    <row r="866" spans="3:7">
      <c r="C866" t="s">
        <v>2311</v>
      </c>
      <c r="D866" t="s">
        <v>2901</v>
      </c>
      <c r="E866" t="s">
        <v>1498</v>
      </c>
      <c r="F866">
        <v>2098</v>
      </c>
      <c r="G866" t="str">
        <f t="shared" si="13"/>
        <v>0101B26K2098</v>
      </c>
    </row>
    <row r="867" spans="3:7">
      <c r="C867" t="s">
        <v>2312</v>
      </c>
      <c r="D867" t="s">
        <v>1500</v>
      </c>
      <c r="E867" t="s">
        <v>1504</v>
      </c>
      <c r="F867">
        <v>2099</v>
      </c>
      <c r="G867" t="str">
        <f t="shared" si="13"/>
        <v>0101S26P2099</v>
      </c>
    </row>
    <row r="868" spans="3:7">
      <c r="C868" t="s">
        <v>2313</v>
      </c>
      <c r="D868" t="s">
        <v>1503</v>
      </c>
      <c r="E868" t="s">
        <v>1497</v>
      </c>
      <c r="F868">
        <v>2100</v>
      </c>
      <c r="G868" t="str">
        <f t="shared" si="13"/>
        <v>0101I26A2100</v>
      </c>
    </row>
    <row r="869" spans="3:7">
      <c r="C869" t="s">
        <v>2314</v>
      </c>
      <c r="D869" t="s">
        <v>1497</v>
      </c>
      <c r="E869" t="s">
        <v>1501</v>
      </c>
      <c r="F869">
        <v>2101</v>
      </c>
      <c r="G869" t="str">
        <f t="shared" si="13"/>
        <v>0101A26R2101</v>
      </c>
    </row>
    <row r="870" spans="3:7">
      <c r="C870" t="s">
        <v>2315</v>
      </c>
      <c r="D870" t="s">
        <v>1498</v>
      </c>
      <c r="E870" t="s">
        <v>1507</v>
      </c>
      <c r="F870">
        <v>2102</v>
      </c>
      <c r="G870" t="str">
        <f t="shared" si="13"/>
        <v>0101K26T2102</v>
      </c>
    </row>
    <row r="871" spans="3:7">
      <c r="C871" t="s">
        <v>2316</v>
      </c>
      <c r="D871" t="s">
        <v>1501</v>
      </c>
      <c r="E871" t="s">
        <v>1500</v>
      </c>
      <c r="F871">
        <v>2103</v>
      </c>
      <c r="G871" t="str">
        <f t="shared" si="13"/>
        <v>0101R26S2103</v>
      </c>
    </row>
    <row r="872" spans="3:7">
      <c r="C872" t="s">
        <v>2317</v>
      </c>
      <c r="D872" t="s">
        <v>1508</v>
      </c>
      <c r="E872" t="s">
        <v>1500</v>
      </c>
      <c r="F872">
        <v>2104</v>
      </c>
      <c r="G872" t="str">
        <f t="shared" si="13"/>
        <v>0101M26S2104</v>
      </c>
    </row>
    <row r="873" spans="3:7">
      <c r="C873" t="s">
        <v>2318</v>
      </c>
      <c r="D873" t="s">
        <v>1504</v>
      </c>
      <c r="E873" t="s">
        <v>1500</v>
      </c>
      <c r="F873">
        <v>2105</v>
      </c>
      <c r="G873" t="str">
        <f t="shared" si="13"/>
        <v>0101P26S2105</v>
      </c>
    </row>
    <row r="874" spans="3:7">
      <c r="C874" t="s">
        <v>2319</v>
      </c>
      <c r="D874" t="s">
        <v>1501</v>
      </c>
      <c r="E874" t="s">
        <v>1500</v>
      </c>
      <c r="F874">
        <v>2106</v>
      </c>
      <c r="G874" t="str">
        <f t="shared" si="13"/>
        <v>0101R26S2106</v>
      </c>
    </row>
    <row r="875" spans="3:7">
      <c r="C875" t="s">
        <v>2320</v>
      </c>
      <c r="D875" t="s">
        <v>1497</v>
      </c>
      <c r="E875" t="s">
        <v>1498</v>
      </c>
      <c r="F875">
        <v>2107</v>
      </c>
      <c r="G875" t="str">
        <f t="shared" si="13"/>
        <v>0101A26K2107</v>
      </c>
    </row>
    <row r="876" spans="3:7">
      <c r="C876" t="s">
        <v>2321</v>
      </c>
      <c r="D876" t="s">
        <v>1504</v>
      </c>
      <c r="E876" t="s">
        <v>2906</v>
      </c>
      <c r="F876">
        <v>2108</v>
      </c>
      <c r="G876" t="str">
        <f t="shared" si="13"/>
        <v>0101P26G2108</v>
      </c>
    </row>
    <row r="877" spans="3:7">
      <c r="C877" t="s">
        <v>2322</v>
      </c>
      <c r="D877" t="s">
        <v>1501</v>
      </c>
      <c r="E877" t="s">
        <v>1498</v>
      </c>
      <c r="F877">
        <v>2109</v>
      </c>
      <c r="G877" t="str">
        <f t="shared" si="13"/>
        <v>0101R26K2109</v>
      </c>
    </row>
    <row r="878" spans="3:7">
      <c r="C878" t="s">
        <v>2323</v>
      </c>
      <c r="D878" t="s">
        <v>1498</v>
      </c>
      <c r="E878" t="s">
        <v>1505</v>
      </c>
      <c r="F878">
        <v>2110</v>
      </c>
      <c r="G878" t="str">
        <f t="shared" si="13"/>
        <v>0101K26J2110</v>
      </c>
    </row>
    <row r="879" spans="3:7">
      <c r="C879" t="s">
        <v>2324</v>
      </c>
      <c r="D879" t="s">
        <v>1500</v>
      </c>
      <c r="E879" t="s">
        <v>1508</v>
      </c>
      <c r="F879">
        <v>2111</v>
      </c>
      <c r="G879" t="str">
        <f t="shared" si="13"/>
        <v>0101S26M2111</v>
      </c>
    </row>
    <row r="880" spans="3:7">
      <c r="C880" t="s">
        <v>2325</v>
      </c>
      <c r="D880" t="s">
        <v>1498</v>
      </c>
      <c r="E880" t="s">
        <v>1500</v>
      </c>
      <c r="F880">
        <v>2112</v>
      </c>
      <c r="G880" t="str">
        <f t="shared" si="13"/>
        <v>0101K26S2112</v>
      </c>
    </row>
    <row r="881" spans="3:7">
      <c r="C881" t="s">
        <v>2326</v>
      </c>
      <c r="D881" t="s">
        <v>1499</v>
      </c>
      <c r="E881" t="s">
        <v>1502</v>
      </c>
      <c r="F881">
        <v>2113</v>
      </c>
      <c r="G881" t="str">
        <f t="shared" si="13"/>
        <v>0101C26D2113</v>
      </c>
    </row>
    <row r="882" spans="3:7">
      <c r="C882" t="s">
        <v>2327</v>
      </c>
      <c r="D882" t="s">
        <v>2904</v>
      </c>
      <c r="E882" t="s">
        <v>1508</v>
      </c>
      <c r="F882">
        <v>2114</v>
      </c>
      <c r="G882" t="str">
        <f t="shared" si="13"/>
        <v>0101L26M2114</v>
      </c>
    </row>
    <row r="883" spans="3:7">
      <c r="C883" t="s">
        <v>2328</v>
      </c>
      <c r="D883" t="s">
        <v>2900</v>
      </c>
      <c r="E883" t="s">
        <v>1500</v>
      </c>
      <c r="F883">
        <v>2115</v>
      </c>
      <c r="G883" t="str">
        <f t="shared" si="13"/>
        <v>0101Z26S2115</v>
      </c>
    </row>
    <row r="884" spans="3:7">
      <c r="C884" t="s">
        <v>2329</v>
      </c>
      <c r="D884" t="s">
        <v>1509</v>
      </c>
      <c r="E884" t="s">
        <v>1501</v>
      </c>
      <c r="F884">
        <v>2116</v>
      </c>
      <c r="G884" t="str">
        <f t="shared" si="13"/>
        <v>0101H26R2116</v>
      </c>
    </row>
    <row r="885" spans="3:7">
      <c r="C885" t="s">
        <v>886</v>
      </c>
      <c r="D885" t="s">
        <v>1509</v>
      </c>
      <c r="E885" t="s">
        <v>1500</v>
      </c>
      <c r="F885">
        <v>2117</v>
      </c>
      <c r="G885" t="str">
        <f t="shared" si="13"/>
        <v>0101H26S2117</v>
      </c>
    </row>
    <row r="886" spans="3:7">
      <c r="C886" t="s">
        <v>2330</v>
      </c>
      <c r="D886" t="s">
        <v>1497</v>
      </c>
      <c r="E886" t="s">
        <v>1500</v>
      </c>
      <c r="F886">
        <v>2118</v>
      </c>
      <c r="G886" t="str">
        <f t="shared" si="13"/>
        <v>0101A26S2118</v>
      </c>
    </row>
    <row r="887" spans="3:7">
      <c r="C887" t="s">
        <v>2331</v>
      </c>
      <c r="D887" t="s">
        <v>1508</v>
      </c>
      <c r="E887" t="s">
        <v>1497</v>
      </c>
      <c r="F887">
        <v>2119</v>
      </c>
      <c r="G887" t="str">
        <f t="shared" si="13"/>
        <v>0101M26A2119</v>
      </c>
    </row>
    <row r="888" spans="3:7">
      <c r="C888" t="s">
        <v>2332</v>
      </c>
      <c r="D888" t="s">
        <v>1501</v>
      </c>
      <c r="E888" t="s">
        <v>1497</v>
      </c>
      <c r="F888">
        <v>2120</v>
      </c>
      <c r="G888" t="str">
        <f t="shared" si="13"/>
        <v>0101R26A2120</v>
      </c>
    </row>
    <row r="889" spans="3:7">
      <c r="C889" t="s">
        <v>2333</v>
      </c>
      <c r="D889" t="s">
        <v>1500</v>
      </c>
      <c r="E889" t="s">
        <v>1500</v>
      </c>
      <c r="F889">
        <v>2121</v>
      </c>
      <c r="G889" t="str">
        <f t="shared" si="13"/>
        <v>0101S26S2121</v>
      </c>
    </row>
    <row r="890" spans="3:7">
      <c r="C890" t="s">
        <v>2334</v>
      </c>
      <c r="D890" t="s">
        <v>1500</v>
      </c>
      <c r="E890" t="s">
        <v>1497</v>
      </c>
      <c r="F890">
        <v>2122</v>
      </c>
      <c r="G890" t="str">
        <f t="shared" si="13"/>
        <v>0101S26A2122</v>
      </c>
    </row>
    <row r="891" spans="3:7">
      <c r="C891" t="s">
        <v>2335</v>
      </c>
      <c r="D891" t="s">
        <v>1498</v>
      </c>
      <c r="E891" t="s">
        <v>1498</v>
      </c>
      <c r="F891">
        <v>2123</v>
      </c>
      <c r="G891" t="str">
        <f t="shared" si="13"/>
        <v>0101K26K2123</v>
      </c>
    </row>
    <row r="892" spans="3:7">
      <c r="C892" t="s">
        <v>2336</v>
      </c>
      <c r="D892" t="s">
        <v>1497</v>
      </c>
      <c r="E892" t="s">
        <v>2901</v>
      </c>
      <c r="F892">
        <v>2124</v>
      </c>
      <c r="G892" t="str">
        <f t="shared" si="13"/>
        <v>0101A26B2124</v>
      </c>
    </row>
    <row r="893" spans="3:7">
      <c r="C893" t="s">
        <v>2337</v>
      </c>
      <c r="D893" t="s">
        <v>1500</v>
      </c>
      <c r="E893" t="s">
        <v>1506</v>
      </c>
      <c r="F893">
        <v>2125</v>
      </c>
      <c r="G893" t="str">
        <f t="shared" si="13"/>
        <v>0101S26N2125</v>
      </c>
    </row>
    <row r="894" spans="3:7">
      <c r="C894" t="s">
        <v>2338</v>
      </c>
      <c r="D894" t="s">
        <v>1506</v>
      </c>
      <c r="E894" t="s">
        <v>1498</v>
      </c>
      <c r="F894">
        <v>2126</v>
      </c>
      <c r="G894" t="str">
        <f t="shared" si="13"/>
        <v>0101N26K2126</v>
      </c>
    </row>
    <row r="895" spans="3:7">
      <c r="C895" t="s">
        <v>2339</v>
      </c>
      <c r="D895" t="s">
        <v>2907</v>
      </c>
      <c r="E895" t="s">
        <v>1500</v>
      </c>
      <c r="F895">
        <v>2127</v>
      </c>
      <c r="G895" t="str">
        <f t="shared" si="13"/>
        <v>0101Y26S2127</v>
      </c>
    </row>
    <row r="896" spans="3:7">
      <c r="C896" t="s">
        <v>2340</v>
      </c>
      <c r="D896" t="s">
        <v>2907</v>
      </c>
      <c r="E896" t="s">
        <v>2904</v>
      </c>
      <c r="F896">
        <v>2128</v>
      </c>
      <c r="G896" t="str">
        <f t="shared" si="13"/>
        <v>0101Y26L2128</v>
      </c>
    </row>
    <row r="897" spans="3:7">
      <c r="C897" t="s">
        <v>2341</v>
      </c>
      <c r="D897" t="s">
        <v>1498</v>
      </c>
      <c r="E897" t="s">
        <v>1497</v>
      </c>
      <c r="F897">
        <v>2129</v>
      </c>
      <c r="G897" t="str">
        <f t="shared" si="13"/>
        <v>0101K26A2129</v>
      </c>
    </row>
    <row r="898" spans="3:7">
      <c r="C898" t="s">
        <v>2342</v>
      </c>
      <c r="D898" t="s">
        <v>1497</v>
      </c>
      <c r="E898" t="s">
        <v>1497</v>
      </c>
      <c r="F898">
        <v>2130</v>
      </c>
      <c r="G898" t="str">
        <f t="shared" si="13"/>
        <v>0101A26A2130</v>
      </c>
    </row>
    <row r="899" spans="3:7">
      <c r="C899" t="s">
        <v>2343</v>
      </c>
      <c r="D899" t="s">
        <v>1501</v>
      </c>
      <c r="E899" t="s">
        <v>1502</v>
      </c>
      <c r="F899">
        <v>2131</v>
      </c>
      <c r="G899" t="str">
        <f t="shared" ref="G899:G962" si="14">_xlfn.CONCAT("0101",D899,"26",E899,F899)</f>
        <v>0101R26D2131</v>
      </c>
    </row>
    <row r="900" spans="3:7">
      <c r="C900" t="s">
        <v>2344</v>
      </c>
      <c r="D900" t="s">
        <v>1497</v>
      </c>
      <c r="E900" t="s">
        <v>1507</v>
      </c>
      <c r="F900">
        <v>2132</v>
      </c>
      <c r="G900" t="str">
        <f t="shared" si="14"/>
        <v>0101A26T2132</v>
      </c>
    </row>
    <row r="901" spans="3:7">
      <c r="C901" t="s">
        <v>2345</v>
      </c>
      <c r="D901" t="s">
        <v>1501</v>
      </c>
      <c r="E901" t="s">
        <v>2906</v>
      </c>
      <c r="F901">
        <v>2133</v>
      </c>
      <c r="G901" t="str">
        <f t="shared" si="14"/>
        <v>0101R26G2133</v>
      </c>
    </row>
    <row r="902" spans="3:7">
      <c r="C902" t="s">
        <v>2346</v>
      </c>
      <c r="D902" t="s">
        <v>1508</v>
      </c>
      <c r="E902" t="s">
        <v>1506</v>
      </c>
      <c r="F902">
        <v>2134</v>
      </c>
      <c r="G902" t="str">
        <f t="shared" si="14"/>
        <v>0101M26N2134</v>
      </c>
    </row>
    <row r="903" spans="3:7">
      <c r="C903" t="s">
        <v>2347</v>
      </c>
      <c r="D903" t="s">
        <v>2899</v>
      </c>
      <c r="E903" t="s">
        <v>2901</v>
      </c>
      <c r="F903">
        <v>2135</v>
      </c>
      <c r="G903" t="str">
        <f t="shared" si="14"/>
        <v>0101V26B2135</v>
      </c>
    </row>
    <row r="904" spans="3:7">
      <c r="C904" t="s">
        <v>2348</v>
      </c>
      <c r="D904" t="s">
        <v>1508</v>
      </c>
      <c r="E904" t="s">
        <v>1506</v>
      </c>
      <c r="F904">
        <v>2136</v>
      </c>
      <c r="G904" t="str">
        <f t="shared" si="14"/>
        <v>0101M26N2136</v>
      </c>
    </row>
    <row r="905" spans="3:7">
      <c r="C905" t="s">
        <v>2349</v>
      </c>
      <c r="D905" t="s">
        <v>1497</v>
      </c>
      <c r="E905" t="s">
        <v>1509</v>
      </c>
      <c r="F905">
        <v>2137</v>
      </c>
      <c r="G905" t="str">
        <f t="shared" si="14"/>
        <v>0101A26H2137</v>
      </c>
    </row>
    <row r="906" spans="3:7">
      <c r="C906" t="s">
        <v>2350</v>
      </c>
      <c r="D906" t="s">
        <v>1507</v>
      </c>
      <c r="E906" t="s">
        <v>1500</v>
      </c>
      <c r="F906">
        <v>2138</v>
      </c>
      <c r="G906" t="str">
        <f t="shared" si="14"/>
        <v>0101T26S2138</v>
      </c>
    </row>
    <row r="907" spans="3:7">
      <c r="C907" t="s">
        <v>2351</v>
      </c>
      <c r="D907" t="s">
        <v>1500</v>
      </c>
      <c r="E907" t="s">
        <v>1500</v>
      </c>
      <c r="F907">
        <v>2139</v>
      </c>
      <c r="G907" t="str">
        <f t="shared" si="14"/>
        <v>0101S26S2139</v>
      </c>
    </row>
    <row r="908" spans="3:7">
      <c r="C908" t="s">
        <v>2352</v>
      </c>
      <c r="D908" t="s">
        <v>1500</v>
      </c>
      <c r="E908" t="s">
        <v>2901</v>
      </c>
      <c r="F908">
        <v>2140</v>
      </c>
      <c r="G908" t="str">
        <f t="shared" si="14"/>
        <v>0101S26B2140</v>
      </c>
    </row>
    <row r="909" spans="3:7">
      <c r="C909" t="s">
        <v>2353</v>
      </c>
      <c r="D909" t="s">
        <v>2898</v>
      </c>
      <c r="E909" t="s">
        <v>1508</v>
      </c>
      <c r="F909">
        <v>2141</v>
      </c>
      <c r="G909" t="str">
        <f t="shared" si="14"/>
        <v>0101U26M2141</v>
      </c>
    </row>
    <row r="910" spans="3:7">
      <c r="C910" t="s">
        <v>911</v>
      </c>
      <c r="D910" t="s">
        <v>1508</v>
      </c>
      <c r="E910" t="s">
        <v>1497</v>
      </c>
      <c r="F910">
        <v>2142</v>
      </c>
      <c r="G910" t="str">
        <f t="shared" si="14"/>
        <v>0101M26A2142</v>
      </c>
    </row>
    <row r="911" spans="3:7">
      <c r="C911" t="s">
        <v>2354</v>
      </c>
      <c r="D911" t="s">
        <v>1500</v>
      </c>
      <c r="E911" t="s">
        <v>1502</v>
      </c>
      <c r="F911">
        <v>2143</v>
      </c>
      <c r="G911" t="str">
        <f t="shared" si="14"/>
        <v>0101S26D2143</v>
      </c>
    </row>
    <row r="912" spans="3:7">
      <c r="C912" t="s">
        <v>2355</v>
      </c>
      <c r="D912" t="s">
        <v>1500</v>
      </c>
      <c r="E912" t="s">
        <v>1500</v>
      </c>
      <c r="F912">
        <v>2144</v>
      </c>
      <c r="G912" t="str">
        <f t="shared" si="14"/>
        <v>0101S26S2144</v>
      </c>
    </row>
    <row r="913" spans="3:7">
      <c r="C913" t="s">
        <v>2356</v>
      </c>
      <c r="D913" t="s">
        <v>2898</v>
      </c>
      <c r="E913" t="s">
        <v>1505</v>
      </c>
      <c r="F913">
        <v>2145</v>
      </c>
      <c r="G913" t="str">
        <f t="shared" si="14"/>
        <v>0101U26J2145</v>
      </c>
    </row>
    <row r="914" spans="3:7">
      <c r="C914" t="s">
        <v>2357</v>
      </c>
      <c r="D914" t="s">
        <v>1497</v>
      </c>
      <c r="E914" t="s">
        <v>1505</v>
      </c>
      <c r="F914">
        <v>2146</v>
      </c>
      <c r="G914" t="str">
        <f t="shared" si="14"/>
        <v>0101A26J2146</v>
      </c>
    </row>
    <row r="915" spans="3:7">
      <c r="C915" t="s">
        <v>2358</v>
      </c>
      <c r="D915" t="s">
        <v>1497</v>
      </c>
      <c r="E915" t="s">
        <v>1498</v>
      </c>
      <c r="F915">
        <v>2147</v>
      </c>
      <c r="G915" t="str">
        <f t="shared" si="14"/>
        <v>0101A26K2147</v>
      </c>
    </row>
    <row r="916" spans="3:7">
      <c r="C916" t="s">
        <v>2359</v>
      </c>
      <c r="D916" t="s">
        <v>1497</v>
      </c>
      <c r="E916" t="s">
        <v>1497</v>
      </c>
      <c r="F916">
        <v>2148</v>
      </c>
      <c r="G916" t="str">
        <f t="shared" si="14"/>
        <v>0101A26A2148</v>
      </c>
    </row>
    <row r="917" spans="3:7">
      <c r="C917" t="s">
        <v>2360</v>
      </c>
      <c r="D917" t="s">
        <v>1497</v>
      </c>
      <c r="E917" t="s">
        <v>1498</v>
      </c>
      <c r="F917">
        <v>2149</v>
      </c>
      <c r="G917" t="str">
        <f t="shared" si="14"/>
        <v>0101A26K2149</v>
      </c>
    </row>
    <row r="918" spans="3:7">
      <c r="C918" t="s">
        <v>2361</v>
      </c>
      <c r="D918" t="s">
        <v>1503</v>
      </c>
      <c r="E918" t="s">
        <v>1503</v>
      </c>
      <c r="F918">
        <v>2150</v>
      </c>
      <c r="G918" t="str">
        <f t="shared" si="14"/>
        <v>0101I26I2150</v>
      </c>
    </row>
    <row r="919" spans="3:7">
      <c r="C919" t="s">
        <v>2362</v>
      </c>
      <c r="D919" t="s">
        <v>1500</v>
      </c>
      <c r="E919" t="s">
        <v>1499</v>
      </c>
      <c r="F919">
        <v>2151</v>
      </c>
      <c r="G919" t="str">
        <f t="shared" si="14"/>
        <v>0101S26C2151</v>
      </c>
    </row>
    <row r="920" spans="3:7">
      <c r="C920" t="s">
        <v>2363</v>
      </c>
      <c r="D920" t="s">
        <v>1504</v>
      </c>
      <c r="E920" t="s">
        <v>2901</v>
      </c>
      <c r="F920">
        <v>2152</v>
      </c>
      <c r="G920" t="str">
        <f t="shared" si="14"/>
        <v>0101P26B2152</v>
      </c>
    </row>
    <row r="921" spans="3:7">
      <c r="C921" t="s">
        <v>2364</v>
      </c>
      <c r="D921" t="s">
        <v>1502</v>
      </c>
      <c r="E921" t="s">
        <v>1504</v>
      </c>
      <c r="F921">
        <v>2153</v>
      </c>
      <c r="G921" t="str">
        <f t="shared" si="14"/>
        <v>0101D26P2153</v>
      </c>
    </row>
    <row r="922" spans="3:7">
      <c r="C922" t="s">
        <v>2365</v>
      </c>
      <c r="D922" t="s">
        <v>1501</v>
      </c>
      <c r="E922" t="s">
        <v>2906</v>
      </c>
      <c r="F922">
        <v>2154</v>
      </c>
      <c r="G922" t="str">
        <f t="shared" si="14"/>
        <v>0101R26G2154</v>
      </c>
    </row>
    <row r="923" spans="3:7">
      <c r="C923" t="s">
        <v>2366</v>
      </c>
      <c r="D923" t="s">
        <v>1500</v>
      </c>
      <c r="E923" t="s">
        <v>2906</v>
      </c>
      <c r="F923">
        <v>2155</v>
      </c>
      <c r="G923" t="str">
        <f t="shared" si="14"/>
        <v>0101S26G2155</v>
      </c>
    </row>
    <row r="924" spans="3:7">
      <c r="C924" t="s">
        <v>2367</v>
      </c>
      <c r="D924" t="s">
        <v>1498</v>
      </c>
      <c r="E924" t="s">
        <v>1498</v>
      </c>
      <c r="F924">
        <v>2156</v>
      </c>
      <c r="G924" t="str">
        <f t="shared" si="14"/>
        <v>0101K26K2156</v>
      </c>
    </row>
    <row r="925" spans="3:7">
      <c r="C925" t="s">
        <v>2368</v>
      </c>
      <c r="D925" t="s">
        <v>1509</v>
      </c>
      <c r="E925" t="s">
        <v>1500</v>
      </c>
      <c r="F925">
        <v>2157</v>
      </c>
      <c r="G925" t="str">
        <f t="shared" si="14"/>
        <v>0101H26S2157</v>
      </c>
    </row>
    <row r="926" spans="3:7">
      <c r="C926" t="s">
        <v>2369</v>
      </c>
      <c r="D926" t="s">
        <v>1509</v>
      </c>
      <c r="E926" t="s">
        <v>1509</v>
      </c>
      <c r="F926">
        <v>2158</v>
      </c>
      <c r="G926" t="str">
        <f t="shared" si="14"/>
        <v>0101H26H2158</v>
      </c>
    </row>
    <row r="927" spans="3:7">
      <c r="C927" t="s">
        <v>2370</v>
      </c>
      <c r="D927" t="s">
        <v>1501</v>
      </c>
      <c r="E927" t="s">
        <v>1508</v>
      </c>
      <c r="F927">
        <v>2159</v>
      </c>
      <c r="G927" t="str">
        <f t="shared" si="14"/>
        <v>0101R26M2159</v>
      </c>
    </row>
    <row r="928" spans="3:7">
      <c r="C928" t="s">
        <v>2371</v>
      </c>
      <c r="D928" t="s">
        <v>1500</v>
      </c>
      <c r="E928" t="s">
        <v>1497</v>
      </c>
      <c r="F928">
        <v>2160</v>
      </c>
      <c r="G928" t="str">
        <f t="shared" si="14"/>
        <v>0101S26A2160</v>
      </c>
    </row>
    <row r="929" spans="3:7">
      <c r="C929" t="s">
        <v>2372</v>
      </c>
      <c r="D929" t="s">
        <v>1503</v>
      </c>
      <c r="E929" t="s">
        <v>1497</v>
      </c>
      <c r="F929">
        <v>2161</v>
      </c>
      <c r="G929" t="str">
        <f t="shared" si="14"/>
        <v>0101I26A2161</v>
      </c>
    </row>
    <row r="930" spans="3:7">
      <c r="C930" t="s">
        <v>2373</v>
      </c>
      <c r="D930" t="s">
        <v>1497</v>
      </c>
      <c r="E930" t="s">
        <v>1508</v>
      </c>
      <c r="F930">
        <v>2162</v>
      </c>
      <c r="G930" t="str">
        <f t="shared" si="14"/>
        <v>0101A26M2162</v>
      </c>
    </row>
    <row r="931" spans="3:7">
      <c r="C931" t="s">
        <v>2374</v>
      </c>
      <c r="D931" t="s">
        <v>1497</v>
      </c>
      <c r="E931" t="s">
        <v>1508</v>
      </c>
      <c r="F931">
        <v>2163</v>
      </c>
      <c r="G931" t="str">
        <f t="shared" si="14"/>
        <v>0101A26M2163</v>
      </c>
    </row>
    <row r="932" spans="3:7">
      <c r="C932" t="s">
        <v>2375</v>
      </c>
      <c r="D932" t="s">
        <v>1498</v>
      </c>
      <c r="E932" t="s">
        <v>2904</v>
      </c>
      <c r="F932">
        <v>2164</v>
      </c>
      <c r="G932" t="str">
        <f t="shared" si="14"/>
        <v>0101K26L2164</v>
      </c>
    </row>
    <row r="933" spans="3:7">
      <c r="C933" t="s">
        <v>2376</v>
      </c>
      <c r="D933" t="s">
        <v>1497</v>
      </c>
      <c r="E933" t="s">
        <v>1499</v>
      </c>
      <c r="F933">
        <v>2165</v>
      </c>
      <c r="G933" t="str">
        <f t="shared" si="14"/>
        <v>0101A26C2165</v>
      </c>
    </row>
    <row r="934" spans="3:7">
      <c r="C934" t="s">
        <v>2377</v>
      </c>
      <c r="D934" t="s">
        <v>1500</v>
      </c>
      <c r="E934" t="s">
        <v>1507</v>
      </c>
      <c r="F934">
        <v>2166</v>
      </c>
      <c r="G934" t="str">
        <f t="shared" si="14"/>
        <v>0101S26T2166</v>
      </c>
    </row>
    <row r="935" spans="3:7">
      <c r="C935" t="s">
        <v>2378</v>
      </c>
      <c r="D935" t="s">
        <v>1504</v>
      </c>
      <c r="E935" t="s">
        <v>1500</v>
      </c>
      <c r="F935">
        <v>2167</v>
      </c>
      <c r="G935" t="str">
        <f t="shared" si="14"/>
        <v>0101P26S2167</v>
      </c>
    </row>
    <row r="936" spans="3:7">
      <c r="C936" t="s">
        <v>2379</v>
      </c>
      <c r="D936" t="s">
        <v>1500</v>
      </c>
      <c r="E936" t="s">
        <v>1504</v>
      </c>
      <c r="F936">
        <v>2168</v>
      </c>
      <c r="G936" t="str">
        <f t="shared" si="14"/>
        <v>0101S26P2168</v>
      </c>
    </row>
    <row r="937" spans="3:7">
      <c r="C937" t="s">
        <v>2380</v>
      </c>
      <c r="D937" t="s">
        <v>1497</v>
      </c>
      <c r="E937" t="s">
        <v>1507</v>
      </c>
      <c r="F937">
        <v>2169</v>
      </c>
      <c r="G937" t="str">
        <f t="shared" si="14"/>
        <v>0101A26T2169</v>
      </c>
    </row>
    <row r="938" spans="3:7">
      <c r="C938" t="s">
        <v>2381</v>
      </c>
      <c r="D938" t="s">
        <v>1500</v>
      </c>
      <c r="E938" t="s">
        <v>1500</v>
      </c>
      <c r="F938">
        <v>2170</v>
      </c>
      <c r="G938" t="str">
        <f t="shared" si="14"/>
        <v>0101S26S2170</v>
      </c>
    </row>
    <row r="939" spans="3:7">
      <c r="C939" t="s">
        <v>2382</v>
      </c>
      <c r="D939" t="s">
        <v>1509</v>
      </c>
      <c r="E939" t="s">
        <v>1498</v>
      </c>
      <c r="F939">
        <v>2171</v>
      </c>
      <c r="G939" t="str">
        <f t="shared" si="14"/>
        <v>0101H26K2171</v>
      </c>
    </row>
    <row r="940" spans="3:7">
      <c r="C940" t="s">
        <v>2383</v>
      </c>
      <c r="D940" t="s">
        <v>1498</v>
      </c>
      <c r="E940" t="s">
        <v>1498</v>
      </c>
      <c r="F940">
        <v>2172</v>
      </c>
      <c r="G940" t="str">
        <f t="shared" si="14"/>
        <v>0101K26K2172</v>
      </c>
    </row>
    <row r="941" spans="3:7">
      <c r="C941" t="s">
        <v>2384</v>
      </c>
      <c r="D941" t="s">
        <v>1501</v>
      </c>
      <c r="E941" t="s">
        <v>1497</v>
      </c>
      <c r="F941">
        <v>2173</v>
      </c>
      <c r="G941" t="str">
        <f t="shared" si="14"/>
        <v>0101R26A2173</v>
      </c>
    </row>
    <row r="942" spans="3:7">
      <c r="C942" t="s">
        <v>2385</v>
      </c>
      <c r="D942" t="s">
        <v>1497</v>
      </c>
      <c r="E942" t="s">
        <v>1497</v>
      </c>
      <c r="F942">
        <v>2174</v>
      </c>
      <c r="G942" t="str">
        <f t="shared" si="14"/>
        <v>0101A26A2174</v>
      </c>
    </row>
    <row r="943" spans="3:7">
      <c r="C943" t="s">
        <v>2386</v>
      </c>
      <c r="D943" t="s">
        <v>2904</v>
      </c>
      <c r="E943" t="s">
        <v>2901</v>
      </c>
      <c r="F943">
        <v>2175</v>
      </c>
      <c r="G943" t="str">
        <f t="shared" si="14"/>
        <v>0101L26B2175</v>
      </c>
    </row>
    <row r="944" spans="3:7">
      <c r="C944" t="s">
        <v>2387</v>
      </c>
      <c r="D944" t="s">
        <v>1507</v>
      </c>
      <c r="E944" t="s">
        <v>1500</v>
      </c>
      <c r="F944">
        <v>2176</v>
      </c>
      <c r="G944" t="str">
        <f t="shared" si="14"/>
        <v>0101T26S2176</v>
      </c>
    </row>
    <row r="945" spans="3:7">
      <c r="C945" t="s">
        <v>2388</v>
      </c>
      <c r="D945" t="s">
        <v>1497</v>
      </c>
      <c r="E945" t="s">
        <v>1497</v>
      </c>
      <c r="F945">
        <v>2177</v>
      </c>
      <c r="G945" t="str">
        <f t="shared" si="14"/>
        <v>0101A26A2177</v>
      </c>
    </row>
    <row r="946" spans="3:7">
      <c r="C946" t="s">
        <v>2389</v>
      </c>
      <c r="D946" t="s">
        <v>1502</v>
      </c>
      <c r="E946" t="s">
        <v>1498</v>
      </c>
      <c r="F946">
        <v>2178</v>
      </c>
      <c r="G946" t="str">
        <f t="shared" si="14"/>
        <v>0101D26K2178</v>
      </c>
    </row>
    <row r="947" spans="3:7">
      <c r="C947" t="s">
        <v>2390</v>
      </c>
      <c r="D947" t="s">
        <v>1509</v>
      </c>
      <c r="E947" t="s">
        <v>1502</v>
      </c>
      <c r="F947">
        <v>2179</v>
      </c>
      <c r="G947" t="str">
        <f t="shared" si="14"/>
        <v>0101H26D2179</v>
      </c>
    </row>
    <row r="948" spans="3:7">
      <c r="C948" t="s">
        <v>2391</v>
      </c>
      <c r="D948" t="s">
        <v>1497</v>
      </c>
      <c r="E948" t="s">
        <v>2901</v>
      </c>
      <c r="F948">
        <v>2180</v>
      </c>
      <c r="G948" t="str">
        <f t="shared" si="14"/>
        <v>0101A26B2180</v>
      </c>
    </row>
    <row r="949" spans="3:7">
      <c r="C949" t="s">
        <v>2392</v>
      </c>
      <c r="D949" t="s">
        <v>1504</v>
      </c>
      <c r="E949" t="s">
        <v>1498</v>
      </c>
      <c r="F949">
        <v>2181</v>
      </c>
      <c r="G949" t="str">
        <f t="shared" si="14"/>
        <v>0101P26K2181</v>
      </c>
    </row>
    <row r="950" spans="3:7">
      <c r="C950" t="s">
        <v>2393</v>
      </c>
      <c r="D950" t="s">
        <v>1498</v>
      </c>
      <c r="E950" t="s">
        <v>1499</v>
      </c>
      <c r="F950">
        <v>2182</v>
      </c>
      <c r="G950" t="str">
        <f t="shared" si="14"/>
        <v>0101K26C2182</v>
      </c>
    </row>
    <row r="951" spans="3:7">
      <c r="C951" t="s">
        <v>952</v>
      </c>
      <c r="D951" t="s">
        <v>1504</v>
      </c>
      <c r="E951" t="s">
        <v>1498</v>
      </c>
      <c r="F951">
        <v>2183</v>
      </c>
      <c r="G951" t="str">
        <f t="shared" si="14"/>
        <v>0101P26K2183</v>
      </c>
    </row>
    <row r="952" spans="3:7">
      <c r="C952" t="s">
        <v>2394</v>
      </c>
      <c r="D952" t="s">
        <v>1509</v>
      </c>
      <c r="E952" t="s">
        <v>1502</v>
      </c>
      <c r="F952">
        <v>2184</v>
      </c>
      <c r="G952" t="str">
        <f t="shared" si="14"/>
        <v>0101H26D2184</v>
      </c>
    </row>
    <row r="953" spans="3:7">
      <c r="C953" t="s">
        <v>2395</v>
      </c>
      <c r="D953" t="s">
        <v>1500</v>
      </c>
      <c r="E953" t="s">
        <v>1506</v>
      </c>
      <c r="F953">
        <v>2185</v>
      </c>
      <c r="G953" t="str">
        <f t="shared" si="14"/>
        <v>0101S26N2185</v>
      </c>
    </row>
    <row r="954" spans="3:7">
      <c r="C954" t="s">
        <v>2396</v>
      </c>
      <c r="D954" t="s">
        <v>1500</v>
      </c>
      <c r="E954" t="s">
        <v>1498</v>
      </c>
      <c r="F954">
        <v>2186</v>
      </c>
      <c r="G954" t="str">
        <f t="shared" si="14"/>
        <v>0101S26K2186</v>
      </c>
    </row>
    <row r="955" spans="3:7">
      <c r="C955" t="s">
        <v>677</v>
      </c>
      <c r="D955" t="s">
        <v>1504</v>
      </c>
      <c r="E955" t="s">
        <v>1497</v>
      </c>
      <c r="F955">
        <v>2187</v>
      </c>
      <c r="G955" t="str">
        <f t="shared" si="14"/>
        <v>0101P26A2187</v>
      </c>
    </row>
    <row r="956" spans="3:7">
      <c r="C956" t="s">
        <v>2397</v>
      </c>
      <c r="D956" t="s">
        <v>1509</v>
      </c>
      <c r="E956" t="s">
        <v>2903</v>
      </c>
      <c r="F956">
        <v>2188</v>
      </c>
      <c r="G956" t="str">
        <f t="shared" si="14"/>
        <v>0101H26F2188</v>
      </c>
    </row>
    <row r="957" spans="3:7">
      <c r="C957" t="s">
        <v>2398</v>
      </c>
      <c r="D957" t="s">
        <v>1500</v>
      </c>
      <c r="E957" t="s">
        <v>1500</v>
      </c>
      <c r="F957">
        <v>2189</v>
      </c>
      <c r="G957" t="str">
        <f t="shared" si="14"/>
        <v>0101S26S2189</v>
      </c>
    </row>
    <row r="958" spans="3:7">
      <c r="C958" t="s">
        <v>2399</v>
      </c>
      <c r="D958" t="s">
        <v>1504</v>
      </c>
      <c r="E958" t="s">
        <v>1504</v>
      </c>
      <c r="F958">
        <v>2190</v>
      </c>
      <c r="G958" t="str">
        <f t="shared" si="14"/>
        <v>0101P26P2190</v>
      </c>
    </row>
    <row r="959" spans="3:7">
      <c r="C959" t="s">
        <v>2400</v>
      </c>
      <c r="D959" t="s">
        <v>1500</v>
      </c>
      <c r="E959" t="s">
        <v>1505</v>
      </c>
      <c r="F959">
        <v>2191</v>
      </c>
      <c r="G959" t="str">
        <f t="shared" si="14"/>
        <v>0101S26J2191</v>
      </c>
    </row>
    <row r="960" spans="3:7">
      <c r="C960" t="s">
        <v>2401</v>
      </c>
      <c r="D960" t="s">
        <v>1506</v>
      </c>
      <c r="E960" t="s">
        <v>1504</v>
      </c>
      <c r="F960">
        <v>2192</v>
      </c>
      <c r="G960" t="str">
        <f t="shared" si="14"/>
        <v>0101N26P2192</v>
      </c>
    </row>
    <row r="961" spans="3:7">
      <c r="C961" t="s">
        <v>961</v>
      </c>
      <c r="D961" t="s">
        <v>2907</v>
      </c>
      <c r="E961" t="s">
        <v>1505</v>
      </c>
      <c r="F961">
        <v>2193</v>
      </c>
      <c r="G961" t="str">
        <f t="shared" si="14"/>
        <v>0101Y26J2193</v>
      </c>
    </row>
    <row r="962" spans="3:7">
      <c r="C962" t="s">
        <v>2402</v>
      </c>
      <c r="D962" t="s">
        <v>2907</v>
      </c>
      <c r="E962" t="s">
        <v>1500</v>
      </c>
      <c r="F962">
        <v>2194</v>
      </c>
      <c r="G962" t="str">
        <f t="shared" si="14"/>
        <v>0101Y26S2194</v>
      </c>
    </row>
    <row r="963" spans="3:7">
      <c r="C963" t="s">
        <v>2403</v>
      </c>
      <c r="D963" t="s">
        <v>1500</v>
      </c>
      <c r="E963" t="s">
        <v>1505</v>
      </c>
      <c r="F963">
        <v>2195</v>
      </c>
      <c r="G963" t="str">
        <f t="shared" ref="G963:G1026" si="15">_xlfn.CONCAT("0101",D963,"26",E963,F963)</f>
        <v>0101S26J2195</v>
      </c>
    </row>
    <row r="964" spans="3:7">
      <c r="C964" t="s">
        <v>2404</v>
      </c>
      <c r="D964" t="s">
        <v>1497</v>
      </c>
      <c r="E964" t="s">
        <v>1502</v>
      </c>
      <c r="F964">
        <v>2196</v>
      </c>
      <c r="G964" t="str">
        <f t="shared" si="15"/>
        <v>0101A26D2196</v>
      </c>
    </row>
    <row r="965" spans="3:7">
      <c r="C965" t="s">
        <v>2405</v>
      </c>
      <c r="D965" t="s">
        <v>1507</v>
      </c>
      <c r="E965" t="s">
        <v>1498</v>
      </c>
      <c r="F965">
        <v>2197</v>
      </c>
      <c r="G965" t="str">
        <f t="shared" si="15"/>
        <v>0101T26K2197</v>
      </c>
    </row>
    <row r="966" spans="3:7">
      <c r="C966" t="s">
        <v>966</v>
      </c>
      <c r="D966" t="s">
        <v>1497</v>
      </c>
      <c r="E966" t="s">
        <v>1508</v>
      </c>
      <c r="F966">
        <v>2198</v>
      </c>
      <c r="G966" t="str">
        <f t="shared" si="15"/>
        <v>0101A26M2198</v>
      </c>
    </row>
    <row r="967" spans="3:7">
      <c r="C967" t="s">
        <v>2406</v>
      </c>
      <c r="D967" t="s">
        <v>1500</v>
      </c>
      <c r="E967" t="s">
        <v>1508</v>
      </c>
      <c r="F967">
        <v>2199</v>
      </c>
      <c r="G967" t="str">
        <f t="shared" si="15"/>
        <v>0101S26M2199</v>
      </c>
    </row>
    <row r="968" spans="3:7">
      <c r="C968" t="s">
        <v>2407</v>
      </c>
      <c r="D968" t="s">
        <v>1501</v>
      </c>
      <c r="E968" t="s">
        <v>1507</v>
      </c>
      <c r="F968">
        <v>2200</v>
      </c>
      <c r="G968" t="str">
        <f t="shared" si="15"/>
        <v>0101R26T2200</v>
      </c>
    </row>
    <row r="969" spans="3:7">
      <c r="C969" t="s">
        <v>2408</v>
      </c>
      <c r="D969" t="s">
        <v>2899</v>
      </c>
      <c r="E969" t="s">
        <v>1500</v>
      </c>
      <c r="F969">
        <v>2201</v>
      </c>
      <c r="G969" t="str">
        <f t="shared" si="15"/>
        <v>0101V26S2201</v>
      </c>
    </row>
    <row r="970" spans="3:7">
      <c r="C970" t="s">
        <v>2409</v>
      </c>
      <c r="D970" t="s">
        <v>1509</v>
      </c>
      <c r="E970" t="s">
        <v>1507</v>
      </c>
      <c r="F970">
        <v>2202</v>
      </c>
      <c r="G970" t="str">
        <f t="shared" si="15"/>
        <v>0101H26T2202</v>
      </c>
    </row>
    <row r="971" spans="3:7">
      <c r="C971" t="s">
        <v>2410</v>
      </c>
      <c r="D971" t="s">
        <v>2908</v>
      </c>
      <c r="E971" t="s">
        <v>1497</v>
      </c>
      <c r="F971">
        <v>2203</v>
      </c>
      <c r="G971" t="str">
        <f t="shared" si="15"/>
        <v>0101W26A2203</v>
      </c>
    </row>
    <row r="972" spans="3:7">
      <c r="C972" t="s">
        <v>2411</v>
      </c>
      <c r="D972" t="s">
        <v>1503</v>
      </c>
      <c r="E972" t="s">
        <v>1500</v>
      </c>
      <c r="F972">
        <v>2204</v>
      </c>
      <c r="G972" t="str">
        <f t="shared" si="15"/>
        <v>0101I26S2204</v>
      </c>
    </row>
    <row r="973" spans="3:7">
      <c r="C973" t="s">
        <v>2412</v>
      </c>
      <c r="D973" t="s">
        <v>1500</v>
      </c>
      <c r="E973" t="s">
        <v>1509</v>
      </c>
      <c r="F973">
        <v>2205</v>
      </c>
      <c r="G973" t="str">
        <f t="shared" si="15"/>
        <v>0101S26H2205</v>
      </c>
    </row>
    <row r="974" spans="3:7">
      <c r="C974" t="s">
        <v>2413</v>
      </c>
      <c r="D974" t="s">
        <v>1507</v>
      </c>
      <c r="E974" t="s">
        <v>2899</v>
      </c>
      <c r="F974">
        <v>2206</v>
      </c>
      <c r="G974" t="str">
        <f t="shared" si="15"/>
        <v>0101T26V2206</v>
      </c>
    </row>
    <row r="975" spans="3:7">
      <c r="C975" t="s">
        <v>2414</v>
      </c>
      <c r="D975" t="s">
        <v>1497</v>
      </c>
      <c r="E975" t="s">
        <v>1500</v>
      </c>
      <c r="F975">
        <v>2207</v>
      </c>
      <c r="G975" t="str">
        <f t="shared" si="15"/>
        <v>0101A26S2207</v>
      </c>
    </row>
    <row r="976" spans="3:7">
      <c r="C976" t="s">
        <v>2415</v>
      </c>
      <c r="D976" t="s">
        <v>1497</v>
      </c>
      <c r="E976" t="s">
        <v>1504</v>
      </c>
      <c r="F976">
        <v>2208</v>
      </c>
      <c r="G976" t="str">
        <f t="shared" si="15"/>
        <v>0101A26P2208</v>
      </c>
    </row>
    <row r="977" spans="3:7">
      <c r="C977" t="s">
        <v>977</v>
      </c>
      <c r="D977" t="s">
        <v>1500</v>
      </c>
      <c r="E977" t="s">
        <v>1497</v>
      </c>
      <c r="F977">
        <v>2209</v>
      </c>
      <c r="G977" t="str">
        <f t="shared" si="15"/>
        <v>0101S26A2209</v>
      </c>
    </row>
    <row r="978" spans="3:7">
      <c r="C978" t="s">
        <v>2416</v>
      </c>
      <c r="D978" t="s">
        <v>1502</v>
      </c>
      <c r="E978" t="s">
        <v>1505</v>
      </c>
      <c r="F978">
        <v>2210</v>
      </c>
      <c r="G978" t="str">
        <f t="shared" si="15"/>
        <v>0101D26J2210</v>
      </c>
    </row>
    <row r="979" spans="3:7">
      <c r="C979" t="s">
        <v>2417</v>
      </c>
      <c r="D979" t="s">
        <v>1506</v>
      </c>
      <c r="E979" t="s">
        <v>1505</v>
      </c>
      <c r="F979">
        <v>2211</v>
      </c>
      <c r="G979" t="str">
        <f t="shared" si="15"/>
        <v>0101N26J2211</v>
      </c>
    </row>
    <row r="980" spans="3:7">
      <c r="C980" t="s">
        <v>2418</v>
      </c>
      <c r="D980" t="s">
        <v>1500</v>
      </c>
      <c r="E980" t="s">
        <v>1498</v>
      </c>
      <c r="F980">
        <v>2212</v>
      </c>
      <c r="G980" t="str">
        <f t="shared" si="15"/>
        <v>0101S26K2212</v>
      </c>
    </row>
    <row r="981" spans="3:7">
      <c r="C981" t="s">
        <v>981</v>
      </c>
      <c r="D981" t="s">
        <v>1505</v>
      </c>
      <c r="E981" t="s">
        <v>1497</v>
      </c>
      <c r="F981">
        <v>2213</v>
      </c>
      <c r="G981" t="str">
        <f t="shared" si="15"/>
        <v>0101J26A2213</v>
      </c>
    </row>
    <row r="982" spans="3:7">
      <c r="C982" t="s">
        <v>2419</v>
      </c>
      <c r="D982" t="s">
        <v>1500</v>
      </c>
      <c r="E982" t="s">
        <v>1501</v>
      </c>
      <c r="F982">
        <v>2214</v>
      </c>
      <c r="G982" t="str">
        <f t="shared" si="15"/>
        <v>0101S26R2214</v>
      </c>
    </row>
    <row r="983" spans="3:7">
      <c r="C983" t="s">
        <v>2420</v>
      </c>
      <c r="D983" t="s">
        <v>1497</v>
      </c>
      <c r="E983" t="s">
        <v>1504</v>
      </c>
      <c r="F983">
        <v>2215</v>
      </c>
      <c r="G983" t="str">
        <f t="shared" si="15"/>
        <v>0101A26P2215</v>
      </c>
    </row>
    <row r="984" spans="3:7">
      <c r="C984" t="s">
        <v>2421</v>
      </c>
      <c r="D984" t="s">
        <v>2907</v>
      </c>
      <c r="E984" t="s">
        <v>1499</v>
      </c>
      <c r="F984">
        <v>2216</v>
      </c>
      <c r="G984" t="str">
        <f t="shared" si="15"/>
        <v>0101Y26C2216</v>
      </c>
    </row>
    <row r="985" spans="3:7">
      <c r="C985" t="s">
        <v>2422</v>
      </c>
      <c r="D985" t="s">
        <v>2902</v>
      </c>
      <c r="E985" t="s">
        <v>1508</v>
      </c>
      <c r="F985">
        <v>2217</v>
      </c>
      <c r="G985" t="str">
        <f t="shared" si="15"/>
        <v>0101E26M2217</v>
      </c>
    </row>
    <row r="986" spans="3:7">
      <c r="C986" t="s">
        <v>2423</v>
      </c>
      <c r="D986" t="s">
        <v>1508</v>
      </c>
      <c r="E986" t="s">
        <v>1502</v>
      </c>
      <c r="F986">
        <v>2218</v>
      </c>
      <c r="G986" t="str">
        <f t="shared" si="15"/>
        <v>0101M26D2218</v>
      </c>
    </row>
    <row r="987" spans="3:7">
      <c r="C987" t="s">
        <v>2424</v>
      </c>
      <c r="D987" t="s">
        <v>1497</v>
      </c>
      <c r="E987" t="s">
        <v>1497</v>
      </c>
      <c r="F987">
        <v>2219</v>
      </c>
      <c r="G987" t="str">
        <f t="shared" si="15"/>
        <v>0101A26A2219</v>
      </c>
    </row>
    <row r="988" spans="3:7">
      <c r="C988" t="s">
        <v>2425</v>
      </c>
      <c r="D988" t="s">
        <v>1497</v>
      </c>
      <c r="E988" t="s">
        <v>1508</v>
      </c>
      <c r="F988">
        <v>2220</v>
      </c>
      <c r="G988" t="str">
        <f t="shared" si="15"/>
        <v>0101A26M2220</v>
      </c>
    </row>
    <row r="989" spans="3:7">
      <c r="C989" t="s">
        <v>2426</v>
      </c>
      <c r="D989" t="s">
        <v>1508</v>
      </c>
      <c r="E989" t="s">
        <v>1497</v>
      </c>
      <c r="F989">
        <v>2221</v>
      </c>
      <c r="G989" t="str">
        <f t="shared" si="15"/>
        <v>0101M26A2221</v>
      </c>
    </row>
    <row r="990" spans="3:7">
      <c r="C990" t="s">
        <v>2427</v>
      </c>
      <c r="D990" t="s">
        <v>1504</v>
      </c>
      <c r="E990" t="s">
        <v>1497</v>
      </c>
      <c r="F990">
        <v>2222</v>
      </c>
      <c r="G990" t="str">
        <f t="shared" si="15"/>
        <v>0101P26A2222</v>
      </c>
    </row>
    <row r="991" spans="3:7">
      <c r="C991" t="s">
        <v>2428</v>
      </c>
      <c r="D991" t="s">
        <v>1497</v>
      </c>
      <c r="E991" t="s">
        <v>1498</v>
      </c>
      <c r="F991">
        <v>2223</v>
      </c>
      <c r="G991" t="str">
        <f t="shared" si="15"/>
        <v>0101A26K2223</v>
      </c>
    </row>
    <row r="992" spans="3:7">
      <c r="C992" t="s">
        <v>2429</v>
      </c>
      <c r="D992" t="s">
        <v>1506</v>
      </c>
      <c r="E992" t="s">
        <v>1497</v>
      </c>
      <c r="F992">
        <v>2224</v>
      </c>
      <c r="G992" t="str">
        <f t="shared" si="15"/>
        <v>0101N26A2224</v>
      </c>
    </row>
    <row r="993" spans="3:7">
      <c r="C993" t="s">
        <v>2430</v>
      </c>
      <c r="D993" t="s">
        <v>1508</v>
      </c>
      <c r="E993" t="s">
        <v>1497</v>
      </c>
      <c r="F993">
        <v>2225</v>
      </c>
      <c r="G993" t="str">
        <f t="shared" si="15"/>
        <v>0101M26A2225</v>
      </c>
    </row>
    <row r="994" spans="3:7">
      <c r="C994" t="s">
        <v>2431</v>
      </c>
      <c r="D994" t="s">
        <v>1504</v>
      </c>
      <c r="E994" t="s">
        <v>2906</v>
      </c>
      <c r="F994">
        <v>2226</v>
      </c>
      <c r="G994" t="str">
        <f t="shared" si="15"/>
        <v>0101P26G2226</v>
      </c>
    </row>
    <row r="995" spans="3:7">
      <c r="C995" t="s">
        <v>2432</v>
      </c>
      <c r="D995" t="s">
        <v>1502</v>
      </c>
      <c r="E995" t="s">
        <v>1499</v>
      </c>
      <c r="F995">
        <v>2227</v>
      </c>
      <c r="G995" t="str">
        <f t="shared" si="15"/>
        <v>0101D26C2227</v>
      </c>
    </row>
    <row r="996" spans="3:7">
      <c r="C996" t="s">
        <v>2433</v>
      </c>
      <c r="D996" t="s">
        <v>1500</v>
      </c>
      <c r="E996" t="s">
        <v>1508</v>
      </c>
      <c r="F996">
        <v>2228</v>
      </c>
      <c r="G996" t="str">
        <f t="shared" si="15"/>
        <v>0101S26M2228</v>
      </c>
    </row>
    <row r="997" spans="3:7">
      <c r="C997" t="s">
        <v>2434</v>
      </c>
      <c r="D997" t="s">
        <v>1502</v>
      </c>
      <c r="E997" t="s">
        <v>1500</v>
      </c>
      <c r="F997">
        <v>2229</v>
      </c>
      <c r="G997" t="str">
        <f t="shared" si="15"/>
        <v>0101D26S2229</v>
      </c>
    </row>
    <row r="998" spans="3:7">
      <c r="C998" t="s">
        <v>2435</v>
      </c>
      <c r="D998" t="s">
        <v>1501</v>
      </c>
      <c r="E998" t="s">
        <v>1508</v>
      </c>
      <c r="F998">
        <v>2230</v>
      </c>
      <c r="G998" t="str">
        <f t="shared" si="15"/>
        <v>0101R26M2230</v>
      </c>
    </row>
    <row r="999" spans="3:7">
      <c r="C999" t="s">
        <v>2436</v>
      </c>
      <c r="D999" t="s">
        <v>1501</v>
      </c>
      <c r="E999" t="s">
        <v>1504</v>
      </c>
      <c r="F999">
        <v>2231</v>
      </c>
      <c r="G999" t="str">
        <f t="shared" si="15"/>
        <v>0101R26P2231</v>
      </c>
    </row>
    <row r="1000" spans="3:7">
      <c r="C1000" t="s">
        <v>2437</v>
      </c>
      <c r="D1000" t="s">
        <v>1497</v>
      </c>
      <c r="E1000" t="s">
        <v>1498</v>
      </c>
      <c r="F1000">
        <v>2232</v>
      </c>
      <c r="G1000" t="str">
        <f t="shared" si="15"/>
        <v>0101A26K2232</v>
      </c>
    </row>
    <row r="1001" spans="3:7">
      <c r="C1001" t="s">
        <v>2438</v>
      </c>
      <c r="D1001" t="s">
        <v>1497</v>
      </c>
      <c r="E1001" t="s">
        <v>1504</v>
      </c>
      <c r="F1001">
        <v>2233</v>
      </c>
      <c r="G1001" t="str">
        <f t="shared" si="15"/>
        <v>0101A26P2233</v>
      </c>
    </row>
    <row r="1002" spans="3:7">
      <c r="C1002" t="s">
        <v>2439</v>
      </c>
      <c r="D1002" t="s">
        <v>1497</v>
      </c>
      <c r="E1002" t="s">
        <v>1500</v>
      </c>
      <c r="F1002">
        <v>2234</v>
      </c>
      <c r="G1002" t="str">
        <f t="shared" si="15"/>
        <v>0101A26S2234</v>
      </c>
    </row>
    <row r="1003" spans="3:7">
      <c r="C1003" t="s">
        <v>2440</v>
      </c>
      <c r="D1003" t="s">
        <v>1497</v>
      </c>
      <c r="E1003" t="s">
        <v>1498</v>
      </c>
      <c r="F1003">
        <v>2235</v>
      </c>
      <c r="G1003" t="str">
        <f t="shared" si="15"/>
        <v>0101A26K2235</v>
      </c>
    </row>
    <row r="1004" spans="3:7">
      <c r="C1004" t="s">
        <v>1004</v>
      </c>
      <c r="D1004" t="s">
        <v>1500</v>
      </c>
      <c r="E1004" t="s">
        <v>2910</v>
      </c>
      <c r="F1004">
        <v>2236</v>
      </c>
      <c r="G1004" t="str">
        <f t="shared" si="15"/>
        <v>0101S26X2236</v>
      </c>
    </row>
    <row r="1005" spans="3:7">
      <c r="C1005" t="s">
        <v>2441</v>
      </c>
      <c r="D1005" t="s">
        <v>1497</v>
      </c>
      <c r="E1005" t="s">
        <v>1502</v>
      </c>
      <c r="F1005">
        <v>2237</v>
      </c>
      <c r="G1005" t="str">
        <f t="shared" si="15"/>
        <v>0101A26D2237</v>
      </c>
    </row>
    <row r="1006" spans="3:7">
      <c r="C1006" t="s">
        <v>2442</v>
      </c>
      <c r="D1006" t="s">
        <v>1497</v>
      </c>
      <c r="E1006" t="s">
        <v>1497</v>
      </c>
      <c r="F1006">
        <v>2238</v>
      </c>
      <c r="G1006" t="str">
        <f t="shared" si="15"/>
        <v>0101A26A2238</v>
      </c>
    </row>
    <row r="1007" spans="3:7">
      <c r="C1007" t="s">
        <v>2297</v>
      </c>
      <c r="D1007" t="s">
        <v>1500</v>
      </c>
      <c r="E1007" t="s">
        <v>1497</v>
      </c>
      <c r="F1007">
        <v>2239</v>
      </c>
      <c r="G1007" t="str">
        <f t="shared" si="15"/>
        <v>0101S26A2239</v>
      </c>
    </row>
    <row r="1008" spans="3:7">
      <c r="C1008" t="s">
        <v>2443</v>
      </c>
      <c r="D1008" t="s">
        <v>1499</v>
      </c>
      <c r="E1008" t="s">
        <v>1505</v>
      </c>
      <c r="F1008">
        <v>2240</v>
      </c>
      <c r="G1008" t="str">
        <f t="shared" si="15"/>
        <v>0101C26J2240</v>
      </c>
    </row>
    <row r="1009" spans="3:7">
      <c r="C1009" t="s">
        <v>2444</v>
      </c>
      <c r="D1009" t="s">
        <v>1497</v>
      </c>
      <c r="E1009" t="s">
        <v>1500</v>
      </c>
      <c r="F1009">
        <v>2241</v>
      </c>
      <c r="G1009" t="str">
        <f t="shared" si="15"/>
        <v>0101A26S2241</v>
      </c>
    </row>
    <row r="1010" spans="3:7">
      <c r="C1010" t="s">
        <v>1009</v>
      </c>
      <c r="D1010" t="s">
        <v>1500</v>
      </c>
      <c r="E1010" t="s">
        <v>2901</v>
      </c>
      <c r="F1010">
        <v>2242</v>
      </c>
      <c r="G1010" t="str">
        <f t="shared" si="15"/>
        <v>0101S26B2242</v>
      </c>
    </row>
    <row r="1011" spans="3:7">
      <c r="C1011" t="s">
        <v>1010</v>
      </c>
      <c r="D1011" t="s">
        <v>1497</v>
      </c>
      <c r="E1011" t="s">
        <v>1507</v>
      </c>
      <c r="F1011">
        <v>2243</v>
      </c>
      <c r="G1011" t="str">
        <f t="shared" si="15"/>
        <v>0101A26T2243</v>
      </c>
    </row>
    <row r="1012" spans="3:7">
      <c r="C1012" t="s">
        <v>2445</v>
      </c>
      <c r="D1012" t="s">
        <v>1506</v>
      </c>
      <c r="E1012" t="s">
        <v>1508</v>
      </c>
      <c r="F1012">
        <v>2244</v>
      </c>
      <c r="G1012" t="str">
        <f t="shared" si="15"/>
        <v>0101N26M2244</v>
      </c>
    </row>
    <row r="1013" spans="3:7">
      <c r="C1013" t="s">
        <v>2446</v>
      </c>
      <c r="D1013" t="s">
        <v>1500</v>
      </c>
      <c r="E1013" t="s">
        <v>1509</v>
      </c>
      <c r="F1013">
        <v>2245</v>
      </c>
      <c r="G1013" t="str">
        <f t="shared" si="15"/>
        <v>0101S26H2245</v>
      </c>
    </row>
    <row r="1014" spans="3:7">
      <c r="C1014" t="s">
        <v>2447</v>
      </c>
      <c r="D1014" t="s">
        <v>1503</v>
      </c>
      <c r="E1014" t="s">
        <v>1497</v>
      </c>
      <c r="F1014">
        <v>2246</v>
      </c>
      <c r="G1014" t="str">
        <f t="shared" si="15"/>
        <v>0101I26A2246</v>
      </c>
    </row>
    <row r="1015" spans="3:7">
      <c r="C1015" t="s">
        <v>2448</v>
      </c>
      <c r="D1015" t="s">
        <v>1508</v>
      </c>
      <c r="E1015" t="s">
        <v>2907</v>
      </c>
      <c r="F1015">
        <v>2247</v>
      </c>
      <c r="G1015" t="str">
        <f t="shared" si="15"/>
        <v>0101M26Y2247</v>
      </c>
    </row>
    <row r="1016" spans="3:7">
      <c r="C1016" t="s">
        <v>2449</v>
      </c>
      <c r="D1016" t="s">
        <v>1508</v>
      </c>
      <c r="E1016" t="s">
        <v>1509</v>
      </c>
      <c r="F1016">
        <v>2248</v>
      </c>
      <c r="G1016" t="str">
        <f t="shared" si="15"/>
        <v>0101M26H2248</v>
      </c>
    </row>
    <row r="1017" spans="3:7">
      <c r="C1017" t="s">
        <v>2450</v>
      </c>
      <c r="D1017" t="s">
        <v>1497</v>
      </c>
      <c r="E1017" t="s">
        <v>2905</v>
      </c>
      <c r="F1017">
        <v>2249</v>
      </c>
      <c r="G1017" t="str">
        <f t="shared" si="15"/>
        <v>0101A26O2249</v>
      </c>
    </row>
    <row r="1018" spans="3:7">
      <c r="C1018" t="s">
        <v>2451</v>
      </c>
      <c r="D1018" t="s">
        <v>1508</v>
      </c>
      <c r="E1018" t="s">
        <v>1498</v>
      </c>
      <c r="F1018">
        <v>2250</v>
      </c>
      <c r="G1018" t="str">
        <f t="shared" si="15"/>
        <v>0101M26K2250</v>
      </c>
    </row>
    <row r="1019" spans="3:7">
      <c r="C1019" t="s">
        <v>2452</v>
      </c>
      <c r="D1019" t="s">
        <v>1497</v>
      </c>
      <c r="E1019" t="s">
        <v>2901</v>
      </c>
      <c r="F1019">
        <v>2251</v>
      </c>
      <c r="G1019" t="str">
        <f t="shared" si="15"/>
        <v>0101A26B2251</v>
      </c>
    </row>
    <row r="1020" spans="3:7">
      <c r="C1020" t="s">
        <v>2453</v>
      </c>
      <c r="D1020" t="s">
        <v>1502</v>
      </c>
      <c r="E1020" t="s">
        <v>1509</v>
      </c>
      <c r="F1020">
        <v>2252</v>
      </c>
      <c r="G1020" t="str">
        <f t="shared" si="15"/>
        <v>0101D26H2252</v>
      </c>
    </row>
    <row r="1021" spans="3:7">
      <c r="C1021" t="s">
        <v>2454</v>
      </c>
      <c r="D1021" t="s">
        <v>1500</v>
      </c>
      <c r="E1021" t="s">
        <v>1504</v>
      </c>
      <c r="F1021">
        <v>2253</v>
      </c>
      <c r="G1021" t="str">
        <f t="shared" si="15"/>
        <v>0101S26P2253</v>
      </c>
    </row>
    <row r="1022" spans="3:7">
      <c r="C1022" t="s">
        <v>2455</v>
      </c>
      <c r="D1022" t="s">
        <v>2906</v>
      </c>
      <c r="E1022" t="s">
        <v>1505</v>
      </c>
      <c r="F1022">
        <v>2254</v>
      </c>
      <c r="G1022" t="str">
        <f t="shared" si="15"/>
        <v>0101G26J2254</v>
      </c>
    </row>
    <row r="1023" spans="3:7">
      <c r="C1023" t="s">
        <v>2456</v>
      </c>
      <c r="D1023" t="s">
        <v>1497</v>
      </c>
      <c r="E1023" t="s">
        <v>1509</v>
      </c>
      <c r="F1023">
        <v>2255</v>
      </c>
      <c r="G1023" t="str">
        <f t="shared" si="15"/>
        <v>0101A26H2255</v>
      </c>
    </row>
    <row r="1024" spans="3:7">
      <c r="C1024" t="s">
        <v>2457</v>
      </c>
      <c r="D1024" t="s">
        <v>1506</v>
      </c>
      <c r="E1024" t="s">
        <v>1504</v>
      </c>
      <c r="F1024">
        <v>2256</v>
      </c>
      <c r="G1024" t="str">
        <f t="shared" si="15"/>
        <v>0101N26P2256</v>
      </c>
    </row>
    <row r="1025" spans="3:7">
      <c r="C1025" t="s">
        <v>2458</v>
      </c>
      <c r="D1025" t="s">
        <v>2907</v>
      </c>
      <c r="E1025" t="s">
        <v>1498</v>
      </c>
      <c r="F1025">
        <v>2257</v>
      </c>
      <c r="G1025" t="str">
        <f t="shared" si="15"/>
        <v>0101Y26K2257</v>
      </c>
    </row>
    <row r="1026" spans="3:7">
      <c r="C1026" t="s">
        <v>2459</v>
      </c>
      <c r="D1026" t="s">
        <v>1509</v>
      </c>
      <c r="E1026" t="s">
        <v>2901</v>
      </c>
      <c r="F1026">
        <v>2258</v>
      </c>
      <c r="G1026" t="str">
        <f t="shared" si="15"/>
        <v>0101H26B2258</v>
      </c>
    </row>
    <row r="1027" spans="3:7">
      <c r="C1027" t="s">
        <v>2460</v>
      </c>
      <c r="D1027" t="s">
        <v>1497</v>
      </c>
      <c r="E1027" t="s">
        <v>1507</v>
      </c>
      <c r="F1027">
        <v>2259</v>
      </c>
      <c r="G1027" t="str">
        <f t="shared" ref="G1027:G1090" si="16">_xlfn.CONCAT("0101",D1027,"26",E1027,F1027)</f>
        <v>0101A26T2259</v>
      </c>
    </row>
    <row r="1028" spans="3:7">
      <c r="C1028" t="s">
        <v>2461</v>
      </c>
      <c r="D1028" t="s">
        <v>2898</v>
      </c>
      <c r="E1028" t="s">
        <v>2906</v>
      </c>
      <c r="F1028">
        <v>2260</v>
      </c>
      <c r="G1028" t="str">
        <f t="shared" si="16"/>
        <v>0101U26G2260</v>
      </c>
    </row>
    <row r="1029" spans="3:7">
      <c r="C1029" t="s">
        <v>2462</v>
      </c>
      <c r="D1029" t="s">
        <v>1500</v>
      </c>
      <c r="E1029" t="s">
        <v>1497</v>
      </c>
      <c r="F1029">
        <v>2261</v>
      </c>
      <c r="G1029" t="str">
        <f t="shared" si="16"/>
        <v>0101S26A2261</v>
      </c>
    </row>
    <row r="1030" spans="3:7">
      <c r="C1030" t="s">
        <v>1029</v>
      </c>
      <c r="D1030" t="s">
        <v>1500</v>
      </c>
      <c r="E1030" t="s">
        <v>1497</v>
      </c>
      <c r="F1030">
        <v>2262</v>
      </c>
      <c r="G1030" t="str">
        <f t="shared" si="16"/>
        <v>0101S26A2262</v>
      </c>
    </row>
    <row r="1031" spans="3:7">
      <c r="C1031" t="s">
        <v>2463</v>
      </c>
      <c r="D1031" t="s">
        <v>2907</v>
      </c>
      <c r="E1031" t="s">
        <v>1499</v>
      </c>
      <c r="F1031">
        <v>2263</v>
      </c>
      <c r="G1031" t="str">
        <f t="shared" si="16"/>
        <v>0101Y26C2263</v>
      </c>
    </row>
    <row r="1032" spans="3:7">
      <c r="C1032" t="s">
        <v>2464</v>
      </c>
      <c r="D1032" t="s">
        <v>1500</v>
      </c>
      <c r="E1032" t="s">
        <v>2903</v>
      </c>
      <c r="F1032">
        <v>2264</v>
      </c>
      <c r="G1032" t="str">
        <f t="shared" si="16"/>
        <v>0101S26F2264</v>
      </c>
    </row>
    <row r="1033" spans="3:7">
      <c r="C1033" t="s">
        <v>2465</v>
      </c>
      <c r="D1033" t="s">
        <v>1498</v>
      </c>
      <c r="E1033" t="s">
        <v>1505</v>
      </c>
      <c r="F1033">
        <v>2265</v>
      </c>
      <c r="G1033" t="str">
        <f t="shared" si="16"/>
        <v>0101K26J2265</v>
      </c>
    </row>
    <row r="1034" spans="3:7">
      <c r="C1034" t="s">
        <v>2466</v>
      </c>
      <c r="D1034" t="s">
        <v>1498</v>
      </c>
      <c r="E1034" t="s">
        <v>1498</v>
      </c>
      <c r="F1034">
        <v>2266</v>
      </c>
      <c r="G1034" t="str">
        <f t="shared" si="16"/>
        <v>0101K26K2266</v>
      </c>
    </row>
    <row r="1035" spans="3:7">
      <c r="C1035" t="s">
        <v>2467</v>
      </c>
      <c r="D1035" t="s">
        <v>1504</v>
      </c>
      <c r="E1035" t="s">
        <v>1508</v>
      </c>
      <c r="F1035">
        <v>2267</v>
      </c>
      <c r="G1035" t="str">
        <f t="shared" si="16"/>
        <v>0101P26M2267</v>
      </c>
    </row>
    <row r="1036" spans="3:7">
      <c r="C1036" t="s">
        <v>2468</v>
      </c>
      <c r="D1036" t="s">
        <v>2899</v>
      </c>
      <c r="E1036" t="s">
        <v>1498</v>
      </c>
      <c r="F1036">
        <v>2268</v>
      </c>
      <c r="G1036" t="str">
        <f t="shared" si="16"/>
        <v>0101V26K2268</v>
      </c>
    </row>
    <row r="1037" spans="3:7">
      <c r="C1037" t="s">
        <v>2469</v>
      </c>
      <c r="D1037" t="s">
        <v>1507</v>
      </c>
      <c r="E1037" t="s">
        <v>1501</v>
      </c>
      <c r="F1037">
        <v>2269</v>
      </c>
      <c r="G1037" t="str">
        <f t="shared" si="16"/>
        <v>0101T26R2269</v>
      </c>
    </row>
    <row r="1038" spans="3:7">
      <c r="C1038" t="s">
        <v>2470</v>
      </c>
      <c r="D1038" t="s">
        <v>1508</v>
      </c>
      <c r="E1038" t="s">
        <v>1497</v>
      </c>
      <c r="F1038">
        <v>2270</v>
      </c>
      <c r="G1038" t="str">
        <f t="shared" si="16"/>
        <v>0101M26A2270</v>
      </c>
    </row>
    <row r="1039" spans="3:7">
      <c r="C1039" t="s">
        <v>2471</v>
      </c>
      <c r="D1039" t="s">
        <v>1509</v>
      </c>
      <c r="E1039" t="s">
        <v>2906</v>
      </c>
      <c r="F1039">
        <v>2271</v>
      </c>
      <c r="G1039" t="str">
        <f t="shared" si="16"/>
        <v>0101H26G2271</v>
      </c>
    </row>
    <row r="1040" spans="3:7">
      <c r="C1040" t="s">
        <v>2472</v>
      </c>
      <c r="D1040" t="s">
        <v>1504</v>
      </c>
      <c r="E1040" t="s">
        <v>1502</v>
      </c>
      <c r="F1040">
        <v>2272</v>
      </c>
      <c r="G1040" t="str">
        <f t="shared" si="16"/>
        <v>0101P26D2272</v>
      </c>
    </row>
    <row r="1041" spans="3:7">
      <c r="C1041" t="s">
        <v>2473</v>
      </c>
      <c r="D1041" t="s">
        <v>1498</v>
      </c>
      <c r="E1041" t="s">
        <v>1498</v>
      </c>
      <c r="F1041">
        <v>2273</v>
      </c>
      <c r="G1041" t="str">
        <f t="shared" si="16"/>
        <v>0101K26K2273</v>
      </c>
    </row>
    <row r="1042" spans="3:7">
      <c r="C1042" t="s">
        <v>2474</v>
      </c>
      <c r="D1042" t="s">
        <v>1504</v>
      </c>
      <c r="E1042" t="s">
        <v>1508</v>
      </c>
      <c r="F1042">
        <v>2274</v>
      </c>
      <c r="G1042" t="str">
        <f t="shared" si="16"/>
        <v>0101P26M2274</v>
      </c>
    </row>
    <row r="1043" spans="3:7">
      <c r="C1043" t="s">
        <v>2475</v>
      </c>
      <c r="D1043" t="s">
        <v>1501</v>
      </c>
      <c r="E1043" t="s">
        <v>1500</v>
      </c>
      <c r="F1043">
        <v>2275</v>
      </c>
      <c r="G1043" t="str">
        <f t="shared" si="16"/>
        <v>0101R26S2275</v>
      </c>
    </row>
    <row r="1044" spans="3:7">
      <c r="C1044" t="s">
        <v>2476</v>
      </c>
      <c r="D1044" t="s">
        <v>1497</v>
      </c>
      <c r="E1044" t="s">
        <v>1507</v>
      </c>
      <c r="F1044">
        <v>2276</v>
      </c>
      <c r="G1044" t="str">
        <f t="shared" si="16"/>
        <v>0101A26T2276</v>
      </c>
    </row>
    <row r="1045" spans="3:7">
      <c r="C1045" t="s">
        <v>2477</v>
      </c>
      <c r="D1045" t="s">
        <v>1501</v>
      </c>
      <c r="E1045" t="s">
        <v>1501</v>
      </c>
      <c r="F1045">
        <v>2277</v>
      </c>
      <c r="G1045" t="str">
        <f t="shared" si="16"/>
        <v>0101R26R2277</v>
      </c>
    </row>
    <row r="1046" spans="3:7">
      <c r="C1046" t="s">
        <v>2478</v>
      </c>
      <c r="D1046" t="s">
        <v>1501</v>
      </c>
      <c r="E1046" t="s">
        <v>1500</v>
      </c>
      <c r="F1046">
        <v>2278</v>
      </c>
      <c r="G1046" t="str">
        <f t="shared" si="16"/>
        <v>0101R26S2278</v>
      </c>
    </row>
    <row r="1047" spans="3:7">
      <c r="C1047" t="s">
        <v>2479</v>
      </c>
      <c r="D1047" t="s">
        <v>1501</v>
      </c>
      <c r="E1047" t="s">
        <v>1498</v>
      </c>
      <c r="F1047">
        <v>2279</v>
      </c>
      <c r="G1047" t="str">
        <f t="shared" si="16"/>
        <v>0101R26K2279</v>
      </c>
    </row>
    <row r="1048" spans="3:7">
      <c r="C1048" t="s">
        <v>2480</v>
      </c>
      <c r="D1048" t="s">
        <v>1509</v>
      </c>
      <c r="E1048" t="s">
        <v>1505</v>
      </c>
      <c r="F1048">
        <v>2280</v>
      </c>
      <c r="G1048" t="str">
        <f t="shared" si="16"/>
        <v>0101H26J2280</v>
      </c>
    </row>
    <row r="1049" spans="3:7">
      <c r="C1049" t="s">
        <v>2481</v>
      </c>
      <c r="D1049" t="s">
        <v>1497</v>
      </c>
      <c r="E1049" t="s">
        <v>2901</v>
      </c>
      <c r="F1049">
        <v>2281</v>
      </c>
      <c r="G1049" t="str">
        <f t="shared" si="16"/>
        <v>0101A26B2281</v>
      </c>
    </row>
    <row r="1050" spans="3:7">
      <c r="C1050" t="s">
        <v>2482</v>
      </c>
      <c r="D1050" t="s">
        <v>1497</v>
      </c>
      <c r="E1050" t="s">
        <v>1500</v>
      </c>
      <c r="F1050">
        <v>2282</v>
      </c>
      <c r="G1050" t="str">
        <f t="shared" si="16"/>
        <v>0101A26S2282</v>
      </c>
    </row>
    <row r="1051" spans="3:7">
      <c r="C1051" t="s">
        <v>2483</v>
      </c>
      <c r="D1051" t="s">
        <v>1497</v>
      </c>
      <c r="E1051" t="s">
        <v>2906</v>
      </c>
      <c r="F1051">
        <v>2283</v>
      </c>
      <c r="G1051" t="str">
        <f t="shared" si="16"/>
        <v>0101A26G2283</v>
      </c>
    </row>
    <row r="1052" spans="3:7">
      <c r="C1052" t="s">
        <v>2484</v>
      </c>
      <c r="D1052" t="s">
        <v>1500</v>
      </c>
      <c r="E1052" t="s">
        <v>1504</v>
      </c>
      <c r="F1052">
        <v>2284</v>
      </c>
      <c r="G1052" t="str">
        <f t="shared" si="16"/>
        <v>0101S26P2284</v>
      </c>
    </row>
    <row r="1053" spans="3:7">
      <c r="C1053" t="s">
        <v>2485</v>
      </c>
      <c r="D1053" t="s">
        <v>1500</v>
      </c>
      <c r="E1053" t="s">
        <v>1508</v>
      </c>
      <c r="F1053">
        <v>2285</v>
      </c>
      <c r="G1053" t="str">
        <f t="shared" si="16"/>
        <v>0101S26M2285</v>
      </c>
    </row>
    <row r="1054" spans="3:7">
      <c r="C1054" t="s">
        <v>2486</v>
      </c>
      <c r="D1054" t="s">
        <v>1500</v>
      </c>
      <c r="E1054" t="s">
        <v>1498</v>
      </c>
      <c r="F1054">
        <v>2286</v>
      </c>
      <c r="G1054" t="str">
        <f t="shared" si="16"/>
        <v>0101S26K2286</v>
      </c>
    </row>
    <row r="1055" spans="3:7">
      <c r="C1055" t="s">
        <v>2487</v>
      </c>
      <c r="D1055" t="s">
        <v>1501</v>
      </c>
      <c r="E1055" t="s">
        <v>1500</v>
      </c>
      <c r="F1055">
        <v>2287</v>
      </c>
      <c r="G1055" t="str">
        <f t="shared" si="16"/>
        <v>0101R26S2287</v>
      </c>
    </row>
    <row r="1056" spans="3:7">
      <c r="C1056" t="s">
        <v>2488</v>
      </c>
      <c r="D1056" t="s">
        <v>2898</v>
      </c>
      <c r="E1056" t="s">
        <v>2901</v>
      </c>
      <c r="F1056">
        <v>2288</v>
      </c>
      <c r="G1056" t="str">
        <f t="shared" si="16"/>
        <v>0101U26B2288</v>
      </c>
    </row>
    <row r="1057" spans="3:7">
      <c r="C1057" t="s">
        <v>2489</v>
      </c>
      <c r="D1057" t="s">
        <v>1501</v>
      </c>
      <c r="E1057" t="s">
        <v>1504</v>
      </c>
      <c r="F1057">
        <v>2289</v>
      </c>
      <c r="G1057" t="str">
        <f t="shared" si="16"/>
        <v>0101R26P2289</v>
      </c>
    </row>
    <row r="1058" spans="3:7">
      <c r="C1058" t="s">
        <v>2490</v>
      </c>
      <c r="D1058" t="s">
        <v>1501</v>
      </c>
      <c r="E1058" t="s">
        <v>1504</v>
      </c>
      <c r="F1058">
        <v>2290</v>
      </c>
      <c r="G1058" t="str">
        <f t="shared" si="16"/>
        <v>0101R26P2290</v>
      </c>
    </row>
    <row r="1059" spans="3:7">
      <c r="C1059" t="s">
        <v>2491</v>
      </c>
      <c r="D1059" t="s">
        <v>1499</v>
      </c>
      <c r="E1059" t="s">
        <v>1500</v>
      </c>
      <c r="F1059">
        <v>2291</v>
      </c>
      <c r="G1059" t="str">
        <f t="shared" si="16"/>
        <v>0101C26S2291</v>
      </c>
    </row>
    <row r="1060" spans="3:7">
      <c r="C1060" t="s">
        <v>2492</v>
      </c>
      <c r="D1060" t="s">
        <v>1507</v>
      </c>
      <c r="E1060" t="s">
        <v>1497</v>
      </c>
      <c r="F1060">
        <v>2292</v>
      </c>
      <c r="G1060" t="str">
        <f t="shared" si="16"/>
        <v>0101T26A2292</v>
      </c>
    </row>
    <row r="1061" spans="3:7">
      <c r="C1061" t="s">
        <v>2493</v>
      </c>
      <c r="D1061" t="s">
        <v>1506</v>
      </c>
      <c r="E1061" t="s">
        <v>1498</v>
      </c>
      <c r="F1061">
        <v>2293</v>
      </c>
      <c r="G1061" t="str">
        <f t="shared" si="16"/>
        <v>0101N26K2293</v>
      </c>
    </row>
    <row r="1062" spans="3:7">
      <c r="C1062" t="s">
        <v>2494</v>
      </c>
      <c r="D1062" t="s">
        <v>1508</v>
      </c>
      <c r="E1062" t="s">
        <v>1500</v>
      </c>
      <c r="F1062">
        <v>2294</v>
      </c>
      <c r="G1062" t="str">
        <f t="shared" si="16"/>
        <v>0101M26S2294</v>
      </c>
    </row>
    <row r="1063" spans="3:7">
      <c r="C1063" t="s">
        <v>1062</v>
      </c>
      <c r="D1063" t="s">
        <v>1504</v>
      </c>
      <c r="E1063" t="s">
        <v>1500</v>
      </c>
      <c r="F1063">
        <v>2295</v>
      </c>
      <c r="G1063" t="str">
        <f t="shared" si="16"/>
        <v>0101P26S2295</v>
      </c>
    </row>
    <row r="1064" spans="3:7">
      <c r="C1064" t="s">
        <v>2495</v>
      </c>
      <c r="D1064" t="s">
        <v>1509</v>
      </c>
      <c r="E1064" t="s">
        <v>1508</v>
      </c>
      <c r="F1064">
        <v>2296</v>
      </c>
      <c r="G1064" t="str">
        <f t="shared" si="16"/>
        <v>0101H26M2296</v>
      </c>
    </row>
    <row r="1065" spans="3:7">
      <c r="C1065" t="s">
        <v>2496</v>
      </c>
      <c r="D1065" t="s">
        <v>1500</v>
      </c>
      <c r="E1065" t="s">
        <v>1500</v>
      </c>
      <c r="F1065">
        <v>2297</v>
      </c>
      <c r="G1065" t="str">
        <f t="shared" si="16"/>
        <v>0101S26S2297</v>
      </c>
    </row>
    <row r="1066" spans="3:7">
      <c r="C1066" t="s">
        <v>2497</v>
      </c>
      <c r="D1066" t="s">
        <v>2899</v>
      </c>
      <c r="E1066" t="s">
        <v>1500</v>
      </c>
      <c r="F1066">
        <v>2298</v>
      </c>
      <c r="G1066" t="str">
        <f t="shared" si="16"/>
        <v>0101V26S2298</v>
      </c>
    </row>
    <row r="1067" spans="3:7">
      <c r="C1067" t="s">
        <v>2498</v>
      </c>
      <c r="D1067" t="s">
        <v>2899</v>
      </c>
      <c r="E1067" t="s">
        <v>2907</v>
      </c>
      <c r="F1067">
        <v>2299</v>
      </c>
      <c r="G1067" t="str">
        <f t="shared" si="16"/>
        <v>0101V26Y2299</v>
      </c>
    </row>
    <row r="1068" spans="3:7">
      <c r="C1068" t="s">
        <v>2499</v>
      </c>
      <c r="D1068" t="s">
        <v>1497</v>
      </c>
      <c r="E1068" t="s">
        <v>1497</v>
      </c>
      <c r="F1068">
        <v>2300</v>
      </c>
      <c r="G1068" t="str">
        <f t="shared" si="16"/>
        <v>0101A26A2300</v>
      </c>
    </row>
    <row r="1069" spans="3:7">
      <c r="C1069" t="s">
        <v>2500</v>
      </c>
      <c r="D1069" t="s">
        <v>1502</v>
      </c>
      <c r="E1069" t="s">
        <v>2901</v>
      </c>
      <c r="F1069">
        <v>2301</v>
      </c>
      <c r="G1069" t="str">
        <f t="shared" si="16"/>
        <v>0101D26B2301</v>
      </c>
    </row>
    <row r="1070" spans="3:7">
      <c r="C1070" t="s">
        <v>2501</v>
      </c>
      <c r="D1070" t="s">
        <v>1500</v>
      </c>
      <c r="E1070" t="s">
        <v>1500</v>
      </c>
      <c r="F1070">
        <v>2302</v>
      </c>
      <c r="G1070" t="str">
        <f t="shared" si="16"/>
        <v>0101S26S2302</v>
      </c>
    </row>
    <row r="1071" spans="3:7">
      <c r="C1071" t="s">
        <v>2502</v>
      </c>
      <c r="D1071" t="s">
        <v>1501</v>
      </c>
      <c r="E1071" t="s">
        <v>1501</v>
      </c>
      <c r="F1071">
        <v>2303</v>
      </c>
      <c r="G1071" t="str">
        <f t="shared" si="16"/>
        <v>0101R26R2303</v>
      </c>
    </row>
    <row r="1072" spans="3:7">
      <c r="C1072" t="s">
        <v>2503</v>
      </c>
      <c r="D1072" t="s">
        <v>1504</v>
      </c>
      <c r="E1072" t="s">
        <v>1500</v>
      </c>
      <c r="F1072">
        <v>2304</v>
      </c>
      <c r="G1072" t="str">
        <f t="shared" si="16"/>
        <v>0101P26S2304</v>
      </c>
    </row>
    <row r="1073" spans="3:7">
      <c r="C1073" t="s">
        <v>2057</v>
      </c>
      <c r="D1073" t="s">
        <v>1498</v>
      </c>
      <c r="E1073" t="s">
        <v>1500</v>
      </c>
      <c r="F1073">
        <v>2305</v>
      </c>
      <c r="G1073" t="str">
        <f t="shared" si="16"/>
        <v>0101K26S2305</v>
      </c>
    </row>
    <row r="1074" spans="3:7">
      <c r="C1074" t="s">
        <v>1073</v>
      </c>
      <c r="D1074" t="s">
        <v>1500</v>
      </c>
      <c r="E1074" t="s">
        <v>1504</v>
      </c>
      <c r="F1074">
        <v>2306</v>
      </c>
      <c r="G1074" t="str">
        <f t="shared" si="16"/>
        <v>0101S26P2306</v>
      </c>
    </row>
    <row r="1075" spans="3:7">
      <c r="C1075" t="s">
        <v>2504</v>
      </c>
      <c r="D1075" t="s">
        <v>1505</v>
      </c>
      <c r="E1075" t="s">
        <v>1500</v>
      </c>
      <c r="F1075">
        <v>2307</v>
      </c>
      <c r="G1075" t="str">
        <f t="shared" si="16"/>
        <v>0101J26S2307</v>
      </c>
    </row>
    <row r="1076" spans="3:7">
      <c r="C1076" t="s">
        <v>2505</v>
      </c>
      <c r="D1076" t="s">
        <v>1497</v>
      </c>
      <c r="E1076" t="s">
        <v>1504</v>
      </c>
      <c r="F1076">
        <v>2308</v>
      </c>
      <c r="G1076" t="str">
        <f t="shared" si="16"/>
        <v>0101A26P2308</v>
      </c>
    </row>
    <row r="1077" spans="3:7">
      <c r="C1077" t="s">
        <v>2506</v>
      </c>
      <c r="D1077" t="s">
        <v>1506</v>
      </c>
      <c r="E1077" t="s">
        <v>1500</v>
      </c>
      <c r="F1077">
        <v>2309</v>
      </c>
      <c r="G1077" t="str">
        <f t="shared" si="16"/>
        <v>0101N26S2309</v>
      </c>
    </row>
    <row r="1078" spans="3:7">
      <c r="C1078" t="s">
        <v>2507</v>
      </c>
      <c r="D1078" t="s">
        <v>1507</v>
      </c>
      <c r="E1078" t="s">
        <v>1497</v>
      </c>
      <c r="F1078">
        <v>2310</v>
      </c>
      <c r="G1078" t="str">
        <f t="shared" si="16"/>
        <v>0101T26A2310</v>
      </c>
    </row>
    <row r="1079" spans="3:7">
      <c r="C1079" t="s">
        <v>2508</v>
      </c>
      <c r="D1079" t="s">
        <v>1509</v>
      </c>
      <c r="E1079" t="s">
        <v>1497</v>
      </c>
      <c r="F1079">
        <v>2311</v>
      </c>
      <c r="G1079" t="str">
        <f t="shared" si="16"/>
        <v>0101H26A2311</v>
      </c>
    </row>
    <row r="1080" spans="3:7">
      <c r="C1080" t="s">
        <v>2509</v>
      </c>
      <c r="D1080" t="s">
        <v>1501</v>
      </c>
      <c r="E1080" t="s">
        <v>1501</v>
      </c>
      <c r="F1080">
        <v>2312</v>
      </c>
      <c r="G1080" t="str">
        <f t="shared" si="16"/>
        <v>0101R26R2312</v>
      </c>
    </row>
    <row r="1081" spans="3:7">
      <c r="C1081" t="s">
        <v>2510</v>
      </c>
      <c r="D1081" t="s">
        <v>1500</v>
      </c>
      <c r="E1081" t="s">
        <v>1500</v>
      </c>
      <c r="F1081">
        <v>2313</v>
      </c>
      <c r="G1081" t="str">
        <f t="shared" si="16"/>
        <v>0101S26S2313</v>
      </c>
    </row>
    <row r="1082" spans="3:7">
      <c r="C1082" t="s">
        <v>2511</v>
      </c>
      <c r="D1082" t="s">
        <v>1504</v>
      </c>
      <c r="E1082" t="s">
        <v>1504</v>
      </c>
      <c r="F1082">
        <v>2314</v>
      </c>
      <c r="G1082" t="str">
        <f t="shared" si="16"/>
        <v>0101P26P2314</v>
      </c>
    </row>
    <row r="1083" spans="3:7">
      <c r="C1083" t="s">
        <v>2512</v>
      </c>
      <c r="D1083" t="s">
        <v>1502</v>
      </c>
      <c r="E1083" t="s">
        <v>1499</v>
      </c>
      <c r="F1083">
        <v>2315</v>
      </c>
      <c r="G1083" t="str">
        <f t="shared" si="16"/>
        <v>0101D26C2315</v>
      </c>
    </row>
    <row r="1084" spans="3:7">
      <c r="C1084" t="s">
        <v>2513</v>
      </c>
      <c r="D1084" t="s">
        <v>1497</v>
      </c>
      <c r="E1084" t="s">
        <v>1497</v>
      </c>
      <c r="F1084">
        <v>2316</v>
      </c>
      <c r="G1084" t="str">
        <f t="shared" si="16"/>
        <v>0101A26A2316</v>
      </c>
    </row>
    <row r="1085" spans="3:7">
      <c r="C1085" t="s">
        <v>2202</v>
      </c>
      <c r="D1085" t="s">
        <v>1498</v>
      </c>
      <c r="E1085" t="s">
        <v>1500</v>
      </c>
      <c r="F1085">
        <v>2317</v>
      </c>
      <c r="G1085" t="str">
        <f t="shared" si="16"/>
        <v>0101K26S2317</v>
      </c>
    </row>
    <row r="1086" spans="3:7">
      <c r="C1086" t="s">
        <v>2514</v>
      </c>
      <c r="D1086" t="s">
        <v>1502</v>
      </c>
      <c r="E1086" t="s">
        <v>1504</v>
      </c>
      <c r="F1086">
        <v>2318</v>
      </c>
      <c r="G1086" t="str">
        <f t="shared" si="16"/>
        <v>0101D26P2318</v>
      </c>
    </row>
    <row r="1087" spans="3:7">
      <c r="C1087" t="s">
        <v>2515</v>
      </c>
      <c r="D1087" t="s">
        <v>2901</v>
      </c>
      <c r="E1087" t="s">
        <v>1497</v>
      </c>
      <c r="F1087">
        <v>2319</v>
      </c>
      <c r="G1087" t="str">
        <f t="shared" si="16"/>
        <v>0101B26A2319</v>
      </c>
    </row>
    <row r="1088" spans="3:7">
      <c r="C1088" t="s">
        <v>2516</v>
      </c>
      <c r="D1088" t="s">
        <v>1507</v>
      </c>
      <c r="E1088" t="s">
        <v>1499</v>
      </c>
      <c r="F1088">
        <v>2320</v>
      </c>
      <c r="G1088" t="str">
        <f t="shared" si="16"/>
        <v>0101T26C2320</v>
      </c>
    </row>
    <row r="1089" spans="3:7">
      <c r="C1089" t="s">
        <v>2517</v>
      </c>
      <c r="D1089" t="s">
        <v>2906</v>
      </c>
      <c r="E1089" t="s">
        <v>1498</v>
      </c>
      <c r="F1089">
        <v>2321</v>
      </c>
      <c r="G1089" t="str">
        <f t="shared" si="16"/>
        <v>0101G26K2321</v>
      </c>
    </row>
    <row r="1090" spans="3:7">
      <c r="C1090" t="s">
        <v>2518</v>
      </c>
      <c r="D1090" t="s">
        <v>1497</v>
      </c>
      <c r="E1090" t="s">
        <v>1500</v>
      </c>
      <c r="F1090">
        <v>2322</v>
      </c>
      <c r="G1090" t="str">
        <f t="shared" si="16"/>
        <v>0101A26S2322</v>
      </c>
    </row>
    <row r="1091" spans="3:7">
      <c r="C1091" t="s">
        <v>2519</v>
      </c>
      <c r="D1091" t="s">
        <v>1506</v>
      </c>
      <c r="E1091" t="s">
        <v>2906</v>
      </c>
      <c r="F1091">
        <v>2323</v>
      </c>
      <c r="G1091" t="str">
        <f t="shared" ref="G1091:G1154" si="17">_xlfn.CONCAT("0101",D1091,"26",E1091,F1091)</f>
        <v>0101N26G2323</v>
      </c>
    </row>
    <row r="1092" spans="3:7">
      <c r="C1092" t="s">
        <v>2520</v>
      </c>
      <c r="D1092" t="s">
        <v>1502</v>
      </c>
      <c r="E1092" t="s">
        <v>1505</v>
      </c>
      <c r="F1092">
        <v>2324</v>
      </c>
      <c r="G1092" t="str">
        <f t="shared" si="17"/>
        <v>0101D26J2324</v>
      </c>
    </row>
    <row r="1093" spans="3:7">
      <c r="C1093" t="s">
        <v>2521</v>
      </c>
      <c r="D1093" t="s">
        <v>1502</v>
      </c>
      <c r="E1093" t="s">
        <v>1497</v>
      </c>
      <c r="F1093">
        <v>2325</v>
      </c>
      <c r="G1093" t="str">
        <f t="shared" si="17"/>
        <v>0101D26A2325</v>
      </c>
    </row>
    <row r="1094" spans="3:7">
      <c r="C1094" t="s">
        <v>2522</v>
      </c>
      <c r="D1094" t="s">
        <v>1498</v>
      </c>
      <c r="E1094" t="s">
        <v>2901</v>
      </c>
      <c r="F1094">
        <v>2326</v>
      </c>
      <c r="G1094" t="str">
        <f t="shared" si="17"/>
        <v>0101K26B2326</v>
      </c>
    </row>
    <row r="1095" spans="3:7">
      <c r="C1095" t="s">
        <v>2523</v>
      </c>
      <c r="D1095" t="s">
        <v>1497</v>
      </c>
      <c r="E1095" t="s">
        <v>1499</v>
      </c>
      <c r="F1095">
        <v>2327</v>
      </c>
      <c r="G1095" t="str">
        <f t="shared" si="17"/>
        <v>0101A26C2327</v>
      </c>
    </row>
    <row r="1096" spans="3:7">
      <c r="C1096" t="s">
        <v>2524</v>
      </c>
      <c r="D1096" t="s">
        <v>1497</v>
      </c>
      <c r="E1096" t="s">
        <v>1498</v>
      </c>
      <c r="F1096">
        <v>2328</v>
      </c>
      <c r="G1096" t="str">
        <f t="shared" si="17"/>
        <v>0101A26K2328</v>
      </c>
    </row>
    <row r="1097" spans="3:7">
      <c r="C1097" t="s">
        <v>2525</v>
      </c>
      <c r="D1097" t="s">
        <v>1502</v>
      </c>
      <c r="E1097" t="s">
        <v>1507</v>
      </c>
      <c r="F1097">
        <v>2329</v>
      </c>
      <c r="G1097" t="str">
        <f t="shared" si="17"/>
        <v>0101D26T2329</v>
      </c>
    </row>
    <row r="1098" spans="3:7">
      <c r="C1098" t="s">
        <v>2526</v>
      </c>
      <c r="D1098" t="s">
        <v>1500</v>
      </c>
      <c r="E1098" t="s">
        <v>1500</v>
      </c>
      <c r="F1098">
        <v>2330</v>
      </c>
      <c r="G1098" t="str">
        <f t="shared" si="17"/>
        <v>0101S26S2330</v>
      </c>
    </row>
    <row r="1099" spans="3:7">
      <c r="C1099" t="s">
        <v>2527</v>
      </c>
      <c r="D1099" t="s">
        <v>2901</v>
      </c>
      <c r="E1099" t="s">
        <v>1505</v>
      </c>
      <c r="F1099">
        <v>2331</v>
      </c>
      <c r="G1099" t="str">
        <f t="shared" si="17"/>
        <v>0101B26J2331</v>
      </c>
    </row>
    <row r="1100" spans="3:7">
      <c r="C1100" t="s">
        <v>2320</v>
      </c>
      <c r="D1100" t="s">
        <v>1497</v>
      </c>
      <c r="E1100" t="s">
        <v>1498</v>
      </c>
      <c r="F1100">
        <v>2332</v>
      </c>
      <c r="G1100" t="str">
        <f t="shared" si="17"/>
        <v>0101A26K2332</v>
      </c>
    </row>
    <row r="1101" spans="3:7">
      <c r="C1101" t="s">
        <v>2528</v>
      </c>
      <c r="D1101" t="s">
        <v>1500</v>
      </c>
      <c r="E1101" t="s">
        <v>1501</v>
      </c>
      <c r="F1101">
        <v>2333</v>
      </c>
      <c r="G1101" t="str">
        <f t="shared" si="17"/>
        <v>0101S26R2333</v>
      </c>
    </row>
    <row r="1102" spans="3:7">
      <c r="C1102" t="s">
        <v>2529</v>
      </c>
      <c r="D1102" t="s">
        <v>1502</v>
      </c>
      <c r="E1102" t="s">
        <v>2899</v>
      </c>
      <c r="F1102">
        <v>2334</v>
      </c>
      <c r="G1102" t="str">
        <f t="shared" si="17"/>
        <v>0101D26V2334</v>
      </c>
    </row>
    <row r="1103" spans="3:7">
      <c r="C1103" t="s">
        <v>2530</v>
      </c>
      <c r="D1103" t="s">
        <v>1501</v>
      </c>
      <c r="E1103" t="s">
        <v>2905</v>
      </c>
      <c r="F1103">
        <v>2335</v>
      </c>
      <c r="G1103" t="str">
        <f t="shared" si="17"/>
        <v>0101R26O2335</v>
      </c>
    </row>
    <row r="1104" spans="3:7">
      <c r="C1104" t="s">
        <v>2531</v>
      </c>
      <c r="D1104" t="s">
        <v>1501</v>
      </c>
      <c r="E1104" t="s">
        <v>2906</v>
      </c>
      <c r="F1104">
        <v>2336</v>
      </c>
      <c r="G1104" t="str">
        <f t="shared" si="17"/>
        <v>0101R26G2336</v>
      </c>
    </row>
    <row r="1105" spans="3:7">
      <c r="C1105" t="s">
        <v>2532</v>
      </c>
      <c r="D1105" t="s">
        <v>1504</v>
      </c>
      <c r="E1105" t="s">
        <v>1501</v>
      </c>
      <c r="F1105">
        <v>2337</v>
      </c>
      <c r="G1105" t="str">
        <f t="shared" si="17"/>
        <v>0101P26R2337</v>
      </c>
    </row>
    <row r="1106" spans="3:7">
      <c r="C1106" t="s">
        <v>2533</v>
      </c>
      <c r="D1106" t="s">
        <v>1507</v>
      </c>
      <c r="E1106" t="s">
        <v>1497</v>
      </c>
      <c r="F1106">
        <v>2338</v>
      </c>
      <c r="G1106" t="str">
        <f t="shared" si="17"/>
        <v>0101T26A2338</v>
      </c>
    </row>
    <row r="1107" spans="3:7">
      <c r="C1107" t="s">
        <v>2534</v>
      </c>
      <c r="D1107" t="s">
        <v>1507</v>
      </c>
      <c r="E1107" t="s">
        <v>1502</v>
      </c>
      <c r="F1107">
        <v>2339</v>
      </c>
      <c r="G1107" t="str">
        <f t="shared" si="17"/>
        <v>0101T26D2339</v>
      </c>
    </row>
    <row r="1108" spans="3:7">
      <c r="C1108" t="s">
        <v>2535</v>
      </c>
      <c r="D1108" t="s">
        <v>2902</v>
      </c>
      <c r="E1108" t="s">
        <v>1497</v>
      </c>
      <c r="F1108">
        <v>2340</v>
      </c>
      <c r="G1108" t="str">
        <f t="shared" si="17"/>
        <v>0101E26A2340</v>
      </c>
    </row>
    <row r="1109" spans="3:7">
      <c r="C1109" t="s">
        <v>2536</v>
      </c>
      <c r="D1109" t="s">
        <v>1505</v>
      </c>
      <c r="E1109" t="s">
        <v>1505</v>
      </c>
      <c r="F1109">
        <v>2341</v>
      </c>
      <c r="G1109" t="str">
        <f t="shared" si="17"/>
        <v>0101J26J2341</v>
      </c>
    </row>
    <row r="1110" spans="3:7">
      <c r="C1110" t="s">
        <v>2537</v>
      </c>
      <c r="D1110" t="s">
        <v>1501</v>
      </c>
      <c r="E1110" t="s">
        <v>1505</v>
      </c>
      <c r="F1110">
        <v>2342</v>
      </c>
      <c r="G1110" t="str">
        <f t="shared" si="17"/>
        <v>0101R26J2342</v>
      </c>
    </row>
    <row r="1111" spans="3:7">
      <c r="C1111" t="s">
        <v>2538</v>
      </c>
      <c r="D1111" t="s">
        <v>1497</v>
      </c>
      <c r="E1111" t="s">
        <v>1498</v>
      </c>
      <c r="F1111">
        <v>2343</v>
      </c>
      <c r="G1111" t="str">
        <f t="shared" si="17"/>
        <v>0101A26K2343</v>
      </c>
    </row>
    <row r="1112" spans="3:7">
      <c r="C1112" t="s">
        <v>1110</v>
      </c>
      <c r="D1112" t="s">
        <v>1508</v>
      </c>
      <c r="E1112" t="s">
        <v>1500</v>
      </c>
      <c r="F1112">
        <v>2344</v>
      </c>
      <c r="G1112" t="str">
        <f t="shared" si="17"/>
        <v>0101M26S2344</v>
      </c>
    </row>
    <row r="1113" spans="3:7">
      <c r="C1113" t="s">
        <v>2539</v>
      </c>
      <c r="D1113" t="s">
        <v>2906</v>
      </c>
      <c r="E1113" t="s">
        <v>1498</v>
      </c>
      <c r="F1113">
        <v>2345</v>
      </c>
      <c r="G1113" t="str">
        <f t="shared" si="17"/>
        <v>0101G26K2345</v>
      </c>
    </row>
    <row r="1114" spans="3:7">
      <c r="C1114" t="s">
        <v>2540</v>
      </c>
      <c r="D1114" t="s">
        <v>1498</v>
      </c>
      <c r="E1114" t="s">
        <v>1500</v>
      </c>
      <c r="F1114">
        <v>2346</v>
      </c>
      <c r="G1114" t="str">
        <f t="shared" si="17"/>
        <v>0101K26S2346</v>
      </c>
    </row>
    <row r="1115" spans="3:7">
      <c r="C1115" t="s">
        <v>2541</v>
      </c>
      <c r="D1115" t="s">
        <v>1501</v>
      </c>
      <c r="E1115" t="s">
        <v>1505</v>
      </c>
      <c r="F1115">
        <v>2347</v>
      </c>
      <c r="G1115" t="str">
        <f t="shared" si="17"/>
        <v>0101R26J2347</v>
      </c>
    </row>
    <row r="1116" spans="3:7">
      <c r="C1116" t="s">
        <v>2542</v>
      </c>
      <c r="D1116" t="s">
        <v>1500</v>
      </c>
      <c r="E1116" t="s">
        <v>1502</v>
      </c>
      <c r="F1116">
        <v>2348</v>
      </c>
      <c r="G1116" t="str">
        <f t="shared" si="17"/>
        <v>0101S26D2348</v>
      </c>
    </row>
    <row r="1117" spans="3:7">
      <c r="C1117" t="s">
        <v>2543</v>
      </c>
      <c r="D1117" t="s">
        <v>2900</v>
      </c>
      <c r="E1117" t="s">
        <v>2900</v>
      </c>
      <c r="F1117">
        <v>2349</v>
      </c>
      <c r="G1117" t="str">
        <f t="shared" si="17"/>
        <v>0101Z26Z2349</v>
      </c>
    </row>
    <row r="1118" spans="3:7">
      <c r="C1118" t="s">
        <v>2544</v>
      </c>
      <c r="D1118" t="s">
        <v>1500</v>
      </c>
      <c r="E1118" t="s">
        <v>1500</v>
      </c>
      <c r="F1118">
        <v>2350</v>
      </c>
      <c r="G1118" t="str">
        <f t="shared" si="17"/>
        <v>0101S26S2350</v>
      </c>
    </row>
    <row r="1119" spans="3:7">
      <c r="C1119" t="s">
        <v>1117</v>
      </c>
      <c r="D1119" t="s">
        <v>1500</v>
      </c>
      <c r="E1119" t="s">
        <v>1497</v>
      </c>
      <c r="F1119">
        <v>2351</v>
      </c>
      <c r="G1119" t="str">
        <f t="shared" si="17"/>
        <v>0101S26A2351</v>
      </c>
    </row>
    <row r="1120" spans="3:7">
      <c r="C1120" t="s">
        <v>2545</v>
      </c>
      <c r="D1120" t="s">
        <v>1501</v>
      </c>
      <c r="E1120" t="s">
        <v>1500</v>
      </c>
      <c r="F1120">
        <v>2352</v>
      </c>
      <c r="G1120" t="str">
        <f t="shared" si="17"/>
        <v>0101R26S2352</v>
      </c>
    </row>
    <row r="1121" spans="3:7">
      <c r="C1121" t="s">
        <v>2546</v>
      </c>
      <c r="D1121" t="s">
        <v>1503</v>
      </c>
      <c r="E1121" t="s">
        <v>1502</v>
      </c>
      <c r="F1121">
        <v>2353</v>
      </c>
      <c r="G1121" t="str">
        <f t="shared" si="17"/>
        <v>0101I26D2353</v>
      </c>
    </row>
    <row r="1122" spans="3:7">
      <c r="C1122" t="s">
        <v>2547</v>
      </c>
      <c r="D1122" t="s">
        <v>1500</v>
      </c>
      <c r="E1122" t="s">
        <v>2901</v>
      </c>
      <c r="F1122">
        <v>2354</v>
      </c>
      <c r="G1122" t="str">
        <f t="shared" si="17"/>
        <v>0101S26B2354</v>
      </c>
    </row>
    <row r="1123" spans="3:7">
      <c r="C1123" t="s">
        <v>2548</v>
      </c>
      <c r="D1123" t="s">
        <v>2899</v>
      </c>
      <c r="E1123" t="s">
        <v>1505</v>
      </c>
      <c r="F1123">
        <v>2355</v>
      </c>
      <c r="G1123" t="str">
        <f t="shared" si="17"/>
        <v>0101V26J2355</v>
      </c>
    </row>
    <row r="1124" spans="3:7">
      <c r="C1124" t="s">
        <v>2549</v>
      </c>
      <c r="D1124" t="s">
        <v>1508</v>
      </c>
      <c r="E1124" t="s">
        <v>1497</v>
      </c>
      <c r="F1124">
        <v>2356</v>
      </c>
      <c r="G1124" t="str">
        <f t="shared" si="17"/>
        <v>0101M26A2356</v>
      </c>
    </row>
    <row r="1125" spans="3:7">
      <c r="C1125" t="s">
        <v>2550</v>
      </c>
      <c r="D1125" t="s">
        <v>1501</v>
      </c>
      <c r="E1125" t="s">
        <v>1506</v>
      </c>
      <c r="F1125">
        <v>2357</v>
      </c>
      <c r="G1125" t="str">
        <f t="shared" si="17"/>
        <v>0101R26N2357</v>
      </c>
    </row>
    <row r="1126" spans="3:7">
      <c r="C1126" t="s">
        <v>2551</v>
      </c>
      <c r="D1126" t="s">
        <v>1506</v>
      </c>
      <c r="E1126" t="s">
        <v>1497</v>
      </c>
      <c r="F1126">
        <v>2358</v>
      </c>
      <c r="G1126" t="str">
        <f t="shared" si="17"/>
        <v>0101N26A2358</v>
      </c>
    </row>
    <row r="1127" spans="3:7">
      <c r="C1127" t="s">
        <v>2552</v>
      </c>
      <c r="D1127" t="s">
        <v>1497</v>
      </c>
      <c r="E1127" t="s">
        <v>1498</v>
      </c>
      <c r="F1127">
        <v>2359</v>
      </c>
      <c r="G1127" t="str">
        <f t="shared" si="17"/>
        <v>0101A26K2359</v>
      </c>
    </row>
    <row r="1128" spans="3:7">
      <c r="C1128" t="s">
        <v>2553</v>
      </c>
      <c r="D1128" t="s">
        <v>1508</v>
      </c>
      <c r="E1128" t="s">
        <v>1497</v>
      </c>
      <c r="F1128">
        <v>2360</v>
      </c>
      <c r="G1128" t="str">
        <f t="shared" si="17"/>
        <v>0101M26A2360</v>
      </c>
    </row>
    <row r="1129" spans="3:7">
      <c r="C1129" t="s">
        <v>2554</v>
      </c>
      <c r="D1129" t="s">
        <v>1500</v>
      </c>
      <c r="E1129" t="s">
        <v>1498</v>
      </c>
      <c r="F1129">
        <v>2361</v>
      </c>
      <c r="G1129" t="str">
        <f t="shared" si="17"/>
        <v>0101S26K2361</v>
      </c>
    </row>
    <row r="1130" spans="3:7">
      <c r="C1130" t="s">
        <v>2555</v>
      </c>
      <c r="D1130" t="s">
        <v>1501</v>
      </c>
      <c r="E1130" t="s">
        <v>1500</v>
      </c>
      <c r="F1130">
        <v>2362</v>
      </c>
      <c r="G1130" t="str">
        <f t="shared" si="17"/>
        <v>0101R26S2362</v>
      </c>
    </row>
    <row r="1131" spans="3:7">
      <c r="C1131" t="s">
        <v>2556</v>
      </c>
      <c r="D1131" t="s">
        <v>2904</v>
      </c>
      <c r="E1131" t="s">
        <v>2901</v>
      </c>
      <c r="F1131">
        <v>2363</v>
      </c>
      <c r="G1131" t="str">
        <f t="shared" si="17"/>
        <v>0101L26B2363</v>
      </c>
    </row>
    <row r="1132" spans="3:7">
      <c r="C1132" t="s">
        <v>2557</v>
      </c>
      <c r="D1132" t="s">
        <v>1501</v>
      </c>
      <c r="E1132" t="s">
        <v>1504</v>
      </c>
      <c r="F1132">
        <v>2364</v>
      </c>
      <c r="G1132" t="str">
        <f t="shared" si="17"/>
        <v>0101R26P2364</v>
      </c>
    </row>
    <row r="1133" spans="3:7">
      <c r="C1133" t="s">
        <v>2558</v>
      </c>
      <c r="D1133" t="s">
        <v>1504</v>
      </c>
      <c r="E1133" t="s">
        <v>1498</v>
      </c>
      <c r="F1133">
        <v>2365</v>
      </c>
      <c r="G1133" t="str">
        <f t="shared" si="17"/>
        <v>0101P26K2365</v>
      </c>
    </row>
    <row r="1134" spans="3:7">
      <c r="C1134" t="s">
        <v>1913</v>
      </c>
      <c r="D1134" t="s">
        <v>1500</v>
      </c>
      <c r="E1134" t="s">
        <v>1508</v>
      </c>
      <c r="F1134">
        <v>2366</v>
      </c>
      <c r="G1134" t="str">
        <f t="shared" si="17"/>
        <v>0101S26M2366</v>
      </c>
    </row>
    <row r="1135" spans="3:7">
      <c r="C1135" t="s">
        <v>1997</v>
      </c>
      <c r="D1135" t="s">
        <v>1509</v>
      </c>
      <c r="E1135" t="s">
        <v>1500</v>
      </c>
      <c r="F1135">
        <v>2367</v>
      </c>
      <c r="G1135" t="str">
        <f t="shared" si="17"/>
        <v>0101H26S2367</v>
      </c>
    </row>
    <row r="1136" spans="3:7">
      <c r="C1136" t="s">
        <v>2559</v>
      </c>
      <c r="D1136" t="s">
        <v>1501</v>
      </c>
      <c r="E1136" t="s">
        <v>1505</v>
      </c>
      <c r="F1136">
        <v>2368</v>
      </c>
      <c r="G1136" t="str">
        <f t="shared" si="17"/>
        <v>0101R26J2368</v>
      </c>
    </row>
    <row r="1137" spans="3:7">
      <c r="C1137" t="s">
        <v>2560</v>
      </c>
      <c r="D1137" t="s">
        <v>1508</v>
      </c>
      <c r="E1137" t="s">
        <v>2898</v>
      </c>
      <c r="F1137">
        <v>2369</v>
      </c>
      <c r="G1137" t="str">
        <f t="shared" si="17"/>
        <v>0101M26U2369</v>
      </c>
    </row>
    <row r="1138" spans="3:7">
      <c r="C1138" t="s">
        <v>2561</v>
      </c>
      <c r="D1138" t="s">
        <v>1504</v>
      </c>
      <c r="E1138" t="s">
        <v>1500</v>
      </c>
      <c r="F1138">
        <v>2370</v>
      </c>
      <c r="G1138" t="str">
        <f t="shared" si="17"/>
        <v>0101P26S2370</v>
      </c>
    </row>
    <row r="1139" spans="3:7">
      <c r="C1139" t="s">
        <v>2562</v>
      </c>
      <c r="D1139" t="s">
        <v>2905</v>
      </c>
      <c r="E1139" t="s">
        <v>1509</v>
      </c>
      <c r="F1139">
        <v>2371</v>
      </c>
      <c r="G1139" t="str">
        <f t="shared" si="17"/>
        <v>0101O26H2371</v>
      </c>
    </row>
    <row r="1140" spans="3:7">
      <c r="C1140" t="s">
        <v>1137</v>
      </c>
      <c r="D1140" t="s">
        <v>1498</v>
      </c>
      <c r="E1140" t="s">
        <v>2906</v>
      </c>
      <c r="F1140">
        <v>2372</v>
      </c>
      <c r="G1140" t="str">
        <f t="shared" si="17"/>
        <v>0101K26G2372</v>
      </c>
    </row>
    <row r="1141" spans="3:7">
      <c r="C1141" t="s">
        <v>2563</v>
      </c>
      <c r="D1141" t="s">
        <v>1502</v>
      </c>
      <c r="E1141" t="s">
        <v>1499</v>
      </c>
      <c r="F1141">
        <v>2373</v>
      </c>
      <c r="G1141" t="str">
        <f t="shared" si="17"/>
        <v>0101D26C2373</v>
      </c>
    </row>
    <row r="1142" spans="3:7">
      <c r="C1142" t="s">
        <v>2564</v>
      </c>
      <c r="D1142" t="s">
        <v>1506</v>
      </c>
      <c r="E1142" t="s">
        <v>1500</v>
      </c>
      <c r="F1142">
        <v>2374</v>
      </c>
      <c r="G1142" t="str">
        <f t="shared" si="17"/>
        <v>0101N26S2374</v>
      </c>
    </row>
    <row r="1143" spans="3:7">
      <c r="C1143" t="s">
        <v>2565</v>
      </c>
      <c r="D1143" t="s">
        <v>1500</v>
      </c>
      <c r="E1143" t="s">
        <v>1499</v>
      </c>
      <c r="F1143">
        <v>2375</v>
      </c>
      <c r="G1143" t="str">
        <f t="shared" si="17"/>
        <v>0101S26C2375</v>
      </c>
    </row>
    <row r="1144" spans="3:7">
      <c r="C1144" t="s">
        <v>2566</v>
      </c>
      <c r="D1144" t="s">
        <v>1497</v>
      </c>
      <c r="E1144" t="s">
        <v>1508</v>
      </c>
      <c r="F1144">
        <v>2376</v>
      </c>
      <c r="G1144" t="str">
        <f t="shared" si="17"/>
        <v>0101A26M2376</v>
      </c>
    </row>
    <row r="1145" spans="3:7">
      <c r="C1145" t="s">
        <v>2567</v>
      </c>
      <c r="D1145" t="s">
        <v>1498</v>
      </c>
      <c r="E1145" t="s">
        <v>1497</v>
      </c>
      <c r="F1145">
        <v>2377</v>
      </c>
      <c r="G1145" t="str">
        <f t="shared" si="17"/>
        <v>0101K26A2377</v>
      </c>
    </row>
    <row r="1146" spans="3:7">
      <c r="C1146" t="s">
        <v>2568</v>
      </c>
      <c r="D1146" t="s">
        <v>2906</v>
      </c>
      <c r="E1146" t="s">
        <v>1500</v>
      </c>
      <c r="F1146">
        <v>2378</v>
      </c>
      <c r="G1146" t="str">
        <f t="shared" si="17"/>
        <v>0101G26S2378</v>
      </c>
    </row>
    <row r="1147" spans="3:7">
      <c r="C1147" t="s">
        <v>1144</v>
      </c>
      <c r="D1147" t="s">
        <v>2901</v>
      </c>
      <c r="E1147" t="s">
        <v>1500</v>
      </c>
      <c r="F1147">
        <v>2379</v>
      </c>
      <c r="G1147" t="str">
        <f t="shared" si="17"/>
        <v>0101B26S2379</v>
      </c>
    </row>
    <row r="1148" spans="3:7">
      <c r="C1148" t="s">
        <v>2569</v>
      </c>
      <c r="D1148" t="s">
        <v>1502</v>
      </c>
      <c r="E1148" t="s">
        <v>1509</v>
      </c>
      <c r="F1148">
        <v>2380</v>
      </c>
      <c r="G1148" t="str">
        <f t="shared" si="17"/>
        <v>0101D26H2380</v>
      </c>
    </row>
    <row r="1149" spans="3:7">
      <c r="C1149" t="s">
        <v>2570</v>
      </c>
      <c r="D1149" t="s">
        <v>1508</v>
      </c>
      <c r="E1149" t="s">
        <v>1500</v>
      </c>
      <c r="F1149">
        <v>2381</v>
      </c>
      <c r="G1149" t="str">
        <f t="shared" si="17"/>
        <v>0101M26S2381</v>
      </c>
    </row>
    <row r="1150" spans="3:7">
      <c r="C1150" t="s">
        <v>2571</v>
      </c>
      <c r="D1150" t="s">
        <v>2906</v>
      </c>
      <c r="E1150" t="s">
        <v>1500</v>
      </c>
      <c r="F1150">
        <v>2382</v>
      </c>
      <c r="G1150" t="str">
        <f t="shared" si="17"/>
        <v>0101G26S2382</v>
      </c>
    </row>
    <row r="1151" spans="3:7">
      <c r="C1151" t="s">
        <v>2572</v>
      </c>
      <c r="D1151" t="s">
        <v>1501</v>
      </c>
      <c r="E1151" t="s">
        <v>1499</v>
      </c>
      <c r="F1151">
        <v>2383</v>
      </c>
      <c r="G1151" t="str">
        <f t="shared" si="17"/>
        <v>0101R26C2383</v>
      </c>
    </row>
    <row r="1152" spans="3:7">
      <c r="C1152" t="s">
        <v>1843</v>
      </c>
      <c r="D1152" t="s">
        <v>1508</v>
      </c>
      <c r="E1152" t="s">
        <v>1497</v>
      </c>
      <c r="F1152">
        <v>2384</v>
      </c>
      <c r="G1152" t="str">
        <f t="shared" si="17"/>
        <v>0101M26A2384</v>
      </c>
    </row>
    <row r="1153" spans="3:7">
      <c r="C1153" t="s">
        <v>2573</v>
      </c>
      <c r="D1153" t="s">
        <v>1500</v>
      </c>
      <c r="E1153" t="s">
        <v>1505</v>
      </c>
      <c r="F1153">
        <v>2385</v>
      </c>
      <c r="G1153" t="str">
        <f t="shared" si="17"/>
        <v>0101S26J2385</v>
      </c>
    </row>
    <row r="1154" spans="3:7">
      <c r="C1154" t="s">
        <v>2574</v>
      </c>
      <c r="D1154" t="s">
        <v>1507</v>
      </c>
      <c r="E1154" t="s">
        <v>1508</v>
      </c>
      <c r="F1154">
        <v>2386</v>
      </c>
      <c r="G1154" t="str">
        <f t="shared" si="17"/>
        <v>0101T26M2386</v>
      </c>
    </row>
    <row r="1155" spans="3:7">
      <c r="C1155" t="s">
        <v>2279</v>
      </c>
      <c r="D1155" t="s">
        <v>1500</v>
      </c>
      <c r="E1155" t="s">
        <v>1497</v>
      </c>
      <c r="F1155">
        <v>2387</v>
      </c>
      <c r="G1155" t="str">
        <f t="shared" ref="G1155:G1218" si="18">_xlfn.CONCAT("0101",D1155,"26",E1155,F1155)</f>
        <v>0101S26A2387</v>
      </c>
    </row>
    <row r="1156" spans="3:7">
      <c r="C1156" t="s">
        <v>2575</v>
      </c>
      <c r="D1156" t="s">
        <v>1504</v>
      </c>
      <c r="E1156" t="s">
        <v>1500</v>
      </c>
      <c r="F1156">
        <v>2388</v>
      </c>
      <c r="G1156" t="str">
        <f t="shared" si="18"/>
        <v>0101P26S2388</v>
      </c>
    </row>
    <row r="1157" spans="3:7">
      <c r="C1157" t="s">
        <v>1152</v>
      </c>
      <c r="D1157" t="s">
        <v>1499</v>
      </c>
      <c r="E1157" t="s">
        <v>1498</v>
      </c>
      <c r="F1157">
        <v>2389</v>
      </c>
      <c r="G1157" t="str">
        <f t="shared" si="18"/>
        <v>0101C26K2389</v>
      </c>
    </row>
    <row r="1158" spans="3:7">
      <c r="C1158" t="s">
        <v>2576</v>
      </c>
      <c r="D1158" t="s">
        <v>1498</v>
      </c>
      <c r="E1158" t="s">
        <v>1500</v>
      </c>
      <c r="F1158">
        <v>2390</v>
      </c>
      <c r="G1158" t="str">
        <f t="shared" si="18"/>
        <v>0101K26S2390</v>
      </c>
    </row>
    <row r="1159" spans="3:7">
      <c r="C1159" t="s">
        <v>2577</v>
      </c>
      <c r="D1159" t="s">
        <v>1504</v>
      </c>
      <c r="E1159" t="s">
        <v>2901</v>
      </c>
      <c r="F1159">
        <v>2391</v>
      </c>
      <c r="G1159" t="str">
        <f t="shared" si="18"/>
        <v>0101P26B2391</v>
      </c>
    </row>
    <row r="1160" spans="3:7">
      <c r="C1160" t="s">
        <v>2578</v>
      </c>
      <c r="D1160" t="s">
        <v>1509</v>
      </c>
      <c r="E1160" t="s">
        <v>1498</v>
      </c>
      <c r="F1160">
        <v>2392</v>
      </c>
      <c r="G1160" t="str">
        <f t="shared" si="18"/>
        <v>0101H26K2392</v>
      </c>
    </row>
    <row r="1161" spans="3:7">
      <c r="C1161" t="s">
        <v>2579</v>
      </c>
      <c r="D1161" t="s">
        <v>1500</v>
      </c>
      <c r="E1161" t="s">
        <v>1500</v>
      </c>
      <c r="F1161">
        <v>2393</v>
      </c>
      <c r="G1161" t="str">
        <f t="shared" si="18"/>
        <v>0101S26S2393</v>
      </c>
    </row>
    <row r="1162" spans="3:7">
      <c r="C1162" t="s">
        <v>2580</v>
      </c>
      <c r="D1162" t="s">
        <v>1504</v>
      </c>
      <c r="E1162" t="s">
        <v>1500</v>
      </c>
      <c r="F1162">
        <v>2394</v>
      </c>
      <c r="G1162" t="str">
        <f t="shared" si="18"/>
        <v>0101P26S2394</v>
      </c>
    </row>
    <row r="1163" spans="3:7">
      <c r="C1163" t="s">
        <v>2581</v>
      </c>
      <c r="D1163" t="s">
        <v>1497</v>
      </c>
      <c r="E1163" t="s">
        <v>1500</v>
      </c>
      <c r="F1163">
        <v>2395</v>
      </c>
      <c r="G1163" t="str">
        <f t="shared" si="18"/>
        <v>0101A26S2395</v>
      </c>
    </row>
    <row r="1164" spans="3:7">
      <c r="C1164" t="s">
        <v>2582</v>
      </c>
      <c r="D1164" t="s">
        <v>1506</v>
      </c>
      <c r="E1164" t="s">
        <v>1497</v>
      </c>
      <c r="F1164">
        <v>2396</v>
      </c>
      <c r="G1164" t="str">
        <f t="shared" si="18"/>
        <v>0101N26A2396</v>
      </c>
    </row>
    <row r="1165" spans="3:7">
      <c r="C1165" t="s">
        <v>2583</v>
      </c>
      <c r="D1165" t="s">
        <v>1508</v>
      </c>
      <c r="E1165" t="s">
        <v>1498</v>
      </c>
      <c r="F1165">
        <v>2397</v>
      </c>
      <c r="G1165" t="str">
        <f t="shared" si="18"/>
        <v>0101M26K2397</v>
      </c>
    </row>
    <row r="1166" spans="3:7">
      <c r="C1166" t="s">
        <v>2584</v>
      </c>
      <c r="D1166" t="s">
        <v>1506</v>
      </c>
      <c r="E1166" t="s">
        <v>2901</v>
      </c>
      <c r="F1166">
        <v>2398</v>
      </c>
      <c r="G1166" t="str">
        <f t="shared" si="18"/>
        <v>0101N26B2398</v>
      </c>
    </row>
    <row r="1167" spans="3:7">
      <c r="C1167" t="s">
        <v>2585</v>
      </c>
      <c r="D1167" t="s">
        <v>1497</v>
      </c>
      <c r="E1167" t="s">
        <v>1499</v>
      </c>
      <c r="F1167">
        <v>2399</v>
      </c>
      <c r="G1167" t="str">
        <f t="shared" si="18"/>
        <v>0101A26C2399</v>
      </c>
    </row>
    <row r="1168" spans="3:7">
      <c r="C1168" t="s">
        <v>2586</v>
      </c>
      <c r="D1168" t="s">
        <v>1501</v>
      </c>
      <c r="E1168" t="s">
        <v>2906</v>
      </c>
      <c r="F1168">
        <v>2400</v>
      </c>
      <c r="G1168" t="str">
        <f t="shared" si="18"/>
        <v>0101R26G2400</v>
      </c>
    </row>
    <row r="1169" spans="3:7">
      <c r="C1169" t="s">
        <v>2587</v>
      </c>
      <c r="D1169" t="s">
        <v>1498</v>
      </c>
      <c r="E1169" t="s">
        <v>1505</v>
      </c>
      <c r="F1169">
        <v>2401</v>
      </c>
      <c r="G1169" t="str">
        <f t="shared" si="18"/>
        <v>0101K26J2401</v>
      </c>
    </row>
    <row r="1170" spans="3:7">
      <c r="C1170" t="s">
        <v>2588</v>
      </c>
      <c r="D1170" t="s">
        <v>1508</v>
      </c>
      <c r="E1170" t="s">
        <v>1500</v>
      </c>
      <c r="F1170">
        <v>2402</v>
      </c>
      <c r="G1170" t="str">
        <f t="shared" si="18"/>
        <v>0101M26S2402</v>
      </c>
    </row>
    <row r="1171" spans="3:7">
      <c r="C1171" t="s">
        <v>2589</v>
      </c>
      <c r="D1171" t="s">
        <v>1500</v>
      </c>
      <c r="E1171" t="s">
        <v>1500</v>
      </c>
      <c r="F1171">
        <v>2403</v>
      </c>
      <c r="G1171" t="str">
        <f t="shared" si="18"/>
        <v>0101S26S2403</v>
      </c>
    </row>
    <row r="1172" spans="3:7">
      <c r="C1172" t="s">
        <v>2590</v>
      </c>
      <c r="D1172" t="s">
        <v>1508</v>
      </c>
      <c r="E1172" t="s">
        <v>1497</v>
      </c>
      <c r="F1172">
        <v>2404</v>
      </c>
      <c r="G1172" t="str">
        <f t="shared" si="18"/>
        <v>0101M26A2404</v>
      </c>
    </row>
    <row r="1173" spans="3:7">
      <c r="C1173" t="s">
        <v>2591</v>
      </c>
      <c r="D1173" t="s">
        <v>2899</v>
      </c>
      <c r="E1173" t="s">
        <v>1508</v>
      </c>
      <c r="F1173">
        <v>2405</v>
      </c>
      <c r="G1173" t="str">
        <f t="shared" si="18"/>
        <v>0101V26M2405</v>
      </c>
    </row>
    <row r="1174" spans="3:7">
      <c r="C1174" t="s">
        <v>2592</v>
      </c>
      <c r="D1174" t="s">
        <v>1497</v>
      </c>
      <c r="E1174" t="s">
        <v>1504</v>
      </c>
      <c r="F1174">
        <v>2406</v>
      </c>
      <c r="G1174" t="str">
        <f t="shared" si="18"/>
        <v>0101A26P2406</v>
      </c>
    </row>
    <row r="1175" spans="3:7">
      <c r="C1175" t="s">
        <v>2593</v>
      </c>
      <c r="D1175" t="s">
        <v>1508</v>
      </c>
      <c r="E1175" t="s">
        <v>1500</v>
      </c>
      <c r="F1175">
        <v>2407</v>
      </c>
      <c r="G1175" t="str">
        <f t="shared" si="18"/>
        <v>0101M26S2407</v>
      </c>
    </row>
    <row r="1176" spans="3:7">
      <c r="C1176" t="s">
        <v>1986</v>
      </c>
      <c r="D1176" t="s">
        <v>1497</v>
      </c>
      <c r="E1176" t="s">
        <v>2906</v>
      </c>
      <c r="F1176">
        <v>2408</v>
      </c>
      <c r="G1176" t="str">
        <f t="shared" si="18"/>
        <v>0101A26G2408</v>
      </c>
    </row>
    <row r="1177" spans="3:7">
      <c r="C1177" t="s">
        <v>2594</v>
      </c>
      <c r="D1177" t="s">
        <v>2899</v>
      </c>
      <c r="E1177" t="s">
        <v>1500</v>
      </c>
      <c r="F1177">
        <v>2409</v>
      </c>
      <c r="G1177" t="str">
        <f t="shared" si="18"/>
        <v>0101V26S2409</v>
      </c>
    </row>
    <row r="1178" spans="3:7">
      <c r="C1178" t="s">
        <v>2595</v>
      </c>
      <c r="D1178" t="s">
        <v>2899</v>
      </c>
      <c r="E1178" t="s">
        <v>1501</v>
      </c>
      <c r="F1178">
        <v>2410</v>
      </c>
      <c r="G1178" t="str">
        <f t="shared" si="18"/>
        <v>0101V26R2410</v>
      </c>
    </row>
    <row r="1179" spans="3:7">
      <c r="C1179" t="s">
        <v>2596</v>
      </c>
      <c r="D1179" t="s">
        <v>1500</v>
      </c>
      <c r="E1179" t="s">
        <v>1498</v>
      </c>
      <c r="F1179">
        <v>2411</v>
      </c>
      <c r="G1179" t="str">
        <f t="shared" si="18"/>
        <v>0101S26K2411</v>
      </c>
    </row>
    <row r="1180" spans="3:7">
      <c r="C1180" t="s">
        <v>2597</v>
      </c>
      <c r="D1180" t="s">
        <v>1500</v>
      </c>
      <c r="E1180" t="s">
        <v>1497</v>
      </c>
      <c r="F1180">
        <v>2412</v>
      </c>
      <c r="G1180" t="str">
        <f t="shared" si="18"/>
        <v>0101S26A2412</v>
      </c>
    </row>
    <row r="1181" spans="3:7">
      <c r="C1181" t="s">
        <v>677</v>
      </c>
      <c r="D1181" t="s">
        <v>1504</v>
      </c>
      <c r="E1181" t="s">
        <v>1497</v>
      </c>
      <c r="F1181">
        <v>2413</v>
      </c>
      <c r="G1181" t="str">
        <f t="shared" si="18"/>
        <v>0101P26A2413</v>
      </c>
    </row>
    <row r="1182" spans="3:7">
      <c r="C1182" t="s">
        <v>2598</v>
      </c>
      <c r="D1182" t="s">
        <v>1497</v>
      </c>
      <c r="E1182" t="s">
        <v>1504</v>
      </c>
      <c r="F1182">
        <v>2414</v>
      </c>
      <c r="G1182" t="str">
        <f t="shared" si="18"/>
        <v>0101A26P2414</v>
      </c>
    </row>
    <row r="1183" spans="3:7">
      <c r="C1183" t="s">
        <v>2599</v>
      </c>
      <c r="D1183" t="s">
        <v>1500</v>
      </c>
      <c r="E1183" t="s">
        <v>1507</v>
      </c>
      <c r="F1183">
        <v>2415</v>
      </c>
      <c r="G1183" t="str">
        <f t="shared" si="18"/>
        <v>0101S26T2415</v>
      </c>
    </row>
    <row r="1184" spans="3:7">
      <c r="C1184" t="s">
        <v>2600</v>
      </c>
      <c r="D1184" t="s">
        <v>1501</v>
      </c>
      <c r="E1184" t="s">
        <v>1497</v>
      </c>
      <c r="F1184">
        <v>2416</v>
      </c>
      <c r="G1184" t="str">
        <f t="shared" si="18"/>
        <v>0101R26A2416</v>
      </c>
    </row>
    <row r="1185" spans="3:7">
      <c r="C1185" t="s">
        <v>2601</v>
      </c>
      <c r="D1185" t="s">
        <v>1508</v>
      </c>
      <c r="E1185" t="s">
        <v>1509</v>
      </c>
      <c r="F1185">
        <v>2417</v>
      </c>
      <c r="G1185" t="str">
        <f t="shared" si="18"/>
        <v>0101M26H2417</v>
      </c>
    </row>
    <row r="1186" spans="3:7">
      <c r="C1186" t="s">
        <v>2602</v>
      </c>
      <c r="D1186" t="s">
        <v>1508</v>
      </c>
      <c r="E1186" t="s">
        <v>1497</v>
      </c>
      <c r="F1186">
        <v>2418</v>
      </c>
      <c r="G1186" t="str">
        <f t="shared" si="18"/>
        <v>0101M26A2418</v>
      </c>
    </row>
    <row r="1187" spans="3:7">
      <c r="C1187" t="s">
        <v>2603</v>
      </c>
      <c r="D1187" t="s">
        <v>1508</v>
      </c>
      <c r="E1187" t="s">
        <v>1497</v>
      </c>
      <c r="F1187">
        <v>2419</v>
      </c>
      <c r="G1187" t="str">
        <f t="shared" si="18"/>
        <v>0101M26A2419</v>
      </c>
    </row>
    <row r="1188" spans="3:7">
      <c r="C1188" t="s">
        <v>2604</v>
      </c>
      <c r="D1188" t="s">
        <v>1501</v>
      </c>
      <c r="E1188" t="s">
        <v>1507</v>
      </c>
      <c r="F1188">
        <v>2420</v>
      </c>
      <c r="G1188" t="str">
        <f t="shared" si="18"/>
        <v>0101R26T2420</v>
      </c>
    </row>
    <row r="1189" spans="3:7">
      <c r="C1189" t="s">
        <v>2605</v>
      </c>
      <c r="D1189" t="s">
        <v>1497</v>
      </c>
      <c r="E1189" t="s">
        <v>1497</v>
      </c>
      <c r="F1189">
        <v>2421</v>
      </c>
      <c r="G1189" t="str">
        <f t="shared" si="18"/>
        <v>0101A26A2421</v>
      </c>
    </row>
    <row r="1190" spans="3:7">
      <c r="C1190" t="s">
        <v>2606</v>
      </c>
      <c r="D1190" t="s">
        <v>1498</v>
      </c>
      <c r="E1190" t="s">
        <v>1508</v>
      </c>
      <c r="F1190">
        <v>2422</v>
      </c>
      <c r="G1190" t="str">
        <f t="shared" si="18"/>
        <v>0101K26M2422</v>
      </c>
    </row>
    <row r="1191" spans="3:7">
      <c r="C1191" t="s">
        <v>2607</v>
      </c>
      <c r="D1191" t="s">
        <v>1507</v>
      </c>
      <c r="E1191" t="s">
        <v>1499</v>
      </c>
      <c r="F1191">
        <v>2423</v>
      </c>
      <c r="G1191" t="str">
        <f t="shared" si="18"/>
        <v>0101T26C2423</v>
      </c>
    </row>
    <row r="1192" spans="3:7">
      <c r="C1192" t="s">
        <v>2608</v>
      </c>
      <c r="D1192" t="s">
        <v>2899</v>
      </c>
      <c r="E1192" t="s">
        <v>2904</v>
      </c>
      <c r="F1192">
        <v>2424</v>
      </c>
      <c r="G1192" t="str">
        <f t="shared" si="18"/>
        <v>0101V26L2424</v>
      </c>
    </row>
    <row r="1193" spans="3:7">
      <c r="C1193" t="s">
        <v>1187</v>
      </c>
      <c r="D1193" t="s">
        <v>1502</v>
      </c>
      <c r="E1193" t="s">
        <v>1500</v>
      </c>
      <c r="F1193">
        <v>2425</v>
      </c>
      <c r="G1193" t="str">
        <f t="shared" si="18"/>
        <v>0101D26S2425</v>
      </c>
    </row>
    <row r="1194" spans="3:7">
      <c r="C1194" t="s">
        <v>2609</v>
      </c>
      <c r="D1194" t="s">
        <v>1501</v>
      </c>
      <c r="E1194" t="s">
        <v>1504</v>
      </c>
      <c r="F1194">
        <v>2426</v>
      </c>
      <c r="G1194" t="str">
        <f t="shared" si="18"/>
        <v>0101R26P2426</v>
      </c>
    </row>
    <row r="1195" spans="3:7">
      <c r="C1195" t="s">
        <v>2610</v>
      </c>
      <c r="D1195" t="s">
        <v>1501</v>
      </c>
      <c r="E1195" t="s">
        <v>2901</v>
      </c>
      <c r="F1195">
        <v>2427</v>
      </c>
      <c r="G1195" t="str">
        <f t="shared" si="18"/>
        <v>0101R26B2427</v>
      </c>
    </row>
    <row r="1196" spans="3:7">
      <c r="C1196" t="s">
        <v>2611</v>
      </c>
      <c r="D1196" t="s">
        <v>1502</v>
      </c>
      <c r="E1196" t="s">
        <v>2901</v>
      </c>
      <c r="F1196">
        <v>2428</v>
      </c>
      <c r="G1196" t="str">
        <f t="shared" si="18"/>
        <v>0101D26B2428</v>
      </c>
    </row>
    <row r="1197" spans="3:7">
      <c r="C1197" t="s">
        <v>1191</v>
      </c>
      <c r="D1197" t="s">
        <v>1504</v>
      </c>
      <c r="E1197" t="s">
        <v>1498</v>
      </c>
      <c r="F1197">
        <v>2429</v>
      </c>
      <c r="G1197" t="str">
        <f t="shared" si="18"/>
        <v>0101P26K2429</v>
      </c>
    </row>
    <row r="1198" spans="3:7">
      <c r="C1198" t="s">
        <v>2612</v>
      </c>
      <c r="D1198" t="s">
        <v>1508</v>
      </c>
      <c r="E1198" t="s">
        <v>1497</v>
      </c>
      <c r="F1198">
        <v>2430</v>
      </c>
      <c r="G1198" t="str">
        <f t="shared" si="18"/>
        <v>0101M26A2430</v>
      </c>
    </row>
    <row r="1199" spans="3:7">
      <c r="C1199" t="s">
        <v>1193</v>
      </c>
      <c r="D1199" t="s">
        <v>1500</v>
      </c>
      <c r="E1199" t="s">
        <v>1501</v>
      </c>
      <c r="F1199">
        <v>2431</v>
      </c>
      <c r="G1199" t="str">
        <f t="shared" si="18"/>
        <v>0101S26R2431</v>
      </c>
    </row>
    <row r="1200" spans="3:7">
      <c r="C1200" t="s">
        <v>2613</v>
      </c>
      <c r="D1200" t="s">
        <v>1500</v>
      </c>
      <c r="E1200" t="s">
        <v>1505</v>
      </c>
      <c r="F1200">
        <v>2432</v>
      </c>
      <c r="G1200" t="str">
        <f t="shared" si="18"/>
        <v>0101S26J2432</v>
      </c>
    </row>
    <row r="1201" spans="3:7">
      <c r="C1201" t="s">
        <v>2614</v>
      </c>
      <c r="D1201" t="s">
        <v>1497</v>
      </c>
      <c r="E1201" t="s">
        <v>1500</v>
      </c>
      <c r="F1201">
        <v>2433</v>
      </c>
      <c r="G1201" t="str">
        <f t="shared" si="18"/>
        <v>0101A26S2433</v>
      </c>
    </row>
    <row r="1202" spans="3:7">
      <c r="C1202" t="s">
        <v>2615</v>
      </c>
      <c r="D1202" t="s">
        <v>1497</v>
      </c>
      <c r="E1202" t="s">
        <v>1505</v>
      </c>
      <c r="F1202">
        <v>2434</v>
      </c>
      <c r="G1202" t="str">
        <f t="shared" si="18"/>
        <v>0101A26J2434</v>
      </c>
    </row>
    <row r="1203" spans="3:7">
      <c r="C1203" t="s">
        <v>2616</v>
      </c>
      <c r="D1203" t="s">
        <v>1500</v>
      </c>
      <c r="E1203" t="s">
        <v>1500</v>
      </c>
      <c r="F1203">
        <v>2435</v>
      </c>
      <c r="G1203" t="str">
        <f t="shared" si="18"/>
        <v>0101S26S2435</v>
      </c>
    </row>
    <row r="1204" spans="3:7">
      <c r="C1204" t="s">
        <v>2617</v>
      </c>
      <c r="D1204" t="s">
        <v>1506</v>
      </c>
      <c r="E1204" t="s">
        <v>1500</v>
      </c>
      <c r="F1204">
        <v>2436</v>
      </c>
      <c r="G1204" t="str">
        <f t="shared" si="18"/>
        <v>0101N26S2436</v>
      </c>
    </row>
    <row r="1205" spans="3:7">
      <c r="C1205" t="s">
        <v>2618</v>
      </c>
      <c r="D1205" t="s">
        <v>1497</v>
      </c>
      <c r="E1205" t="s">
        <v>1497</v>
      </c>
      <c r="F1205">
        <v>2437</v>
      </c>
      <c r="G1205" t="str">
        <f t="shared" si="18"/>
        <v>0101A26A2437</v>
      </c>
    </row>
    <row r="1206" spans="3:7">
      <c r="C1206" t="s">
        <v>2619</v>
      </c>
      <c r="D1206" t="s">
        <v>1501</v>
      </c>
      <c r="E1206" t="s">
        <v>1508</v>
      </c>
      <c r="F1206">
        <v>2438</v>
      </c>
      <c r="G1206" t="str">
        <f t="shared" si="18"/>
        <v>0101R26M2438</v>
      </c>
    </row>
    <row r="1207" spans="3:7">
      <c r="C1207" t="s">
        <v>2620</v>
      </c>
      <c r="D1207" t="s">
        <v>1497</v>
      </c>
      <c r="E1207" t="s">
        <v>1497</v>
      </c>
      <c r="F1207">
        <v>2439</v>
      </c>
      <c r="G1207" t="str">
        <f t="shared" si="18"/>
        <v>0101A26A2439</v>
      </c>
    </row>
    <row r="1208" spans="3:7">
      <c r="C1208" t="s">
        <v>2621</v>
      </c>
      <c r="D1208" t="s">
        <v>1501</v>
      </c>
      <c r="E1208" t="s">
        <v>1498</v>
      </c>
      <c r="F1208">
        <v>2440</v>
      </c>
      <c r="G1208" t="str">
        <f t="shared" si="18"/>
        <v>0101R26K2440</v>
      </c>
    </row>
    <row r="1209" spans="3:7">
      <c r="C1209" t="s">
        <v>2622</v>
      </c>
      <c r="D1209" t="s">
        <v>1497</v>
      </c>
      <c r="E1209" t="s">
        <v>1508</v>
      </c>
      <c r="F1209">
        <v>2441</v>
      </c>
      <c r="G1209" t="str">
        <f t="shared" si="18"/>
        <v>0101A26M2441</v>
      </c>
    </row>
    <row r="1210" spans="3:7">
      <c r="C1210" t="s">
        <v>2623</v>
      </c>
      <c r="D1210" t="s">
        <v>1500</v>
      </c>
      <c r="E1210" t="s">
        <v>1505</v>
      </c>
      <c r="F1210">
        <v>2442</v>
      </c>
      <c r="G1210" t="str">
        <f t="shared" si="18"/>
        <v>0101S26J2442</v>
      </c>
    </row>
    <row r="1211" spans="3:7">
      <c r="C1211" t="s">
        <v>2624</v>
      </c>
      <c r="D1211" t="s">
        <v>1508</v>
      </c>
      <c r="E1211" t="s">
        <v>1500</v>
      </c>
      <c r="F1211">
        <v>2443</v>
      </c>
      <c r="G1211" t="str">
        <f t="shared" si="18"/>
        <v>0101M26S2443</v>
      </c>
    </row>
    <row r="1212" spans="3:7">
      <c r="C1212" t="s">
        <v>2625</v>
      </c>
      <c r="D1212" t="s">
        <v>1500</v>
      </c>
      <c r="E1212" t="s">
        <v>1500</v>
      </c>
      <c r="F1212">
        <v>2444</v>
      </c>
      <c r="G1212" t="str">
        <f t="shared" si="18"/>
        <v>0101S26S2444</v>
      </c>
    </row>
    <row r="1213" spans="3:7">
      <c r="C1213" t="s">
        <v>2626</v>
      </c>
      <c r="D1213" t="s">
        <v>1507</v>
      </c>
      <c r="E1213" t="s">
        <v>1505</v>
      </c>
      <c r="F1213">
        <v>2445</v>
      </c>
      <c r="G1213" t="str">
        <f t="shared" si="18"/>
        <v>0101T26J2445</v>
      </c>
    </row>
    <row r="1214" spans="3:7">
      <c r="C1214" t="s">
        <v>2627</v>
      </c>
      <c r="D1214" t="s">
        <v>1502</v>
      </c>
      <c r="E1214" t="s">
        <v>1500</v>
      </c>
      <c r="F1214">
        <v>2446</v>
      </c>
      <c r="G1214" t="str">
        <f t="shared" si="18"/>
        <v>0101D26S2446</v>
      </c>
    </row>
    <row r="1215" spans="3:7">
      <c r="C1215" t="s">
        <v>2628</v>
      </c>
      <c r="D1215" t="s">
        <v>1500</v>
      </c>
      <c r="E1215" t="s">
        <v>2900</v>
      </c>
      <c r="F1215">
        <v>2447</v>
      </c>
      <c r="G1215" t="str">
        <f t="shared" si="18"/>
        <v>0101S26Z2447</v>
      </c>
    </row>
    <row r="1216" spans="3:7">
      <c r="C1216" t="s">
        <v>2629</v>
      </c>
      <c r="D1216" t="s">
        <v>1509</v>
      </c>
      <c r="E1216" t="s">
        <v>2899</v>
      </c>
      <c r="F1216">
        <v>2448</v>
      </c>
      <c r="G1216" t="str">
        <f t="shared" si="18"/>
        <v>0101H26V2448</v>
      </c>
    </row>
    <row r="1217" spans="3:7">
      <c r="C1217" t="s">
        <v>2630</v>
      </c>
      <c r="D1217" t="s">
        <v>2907</v>
      </c>
      <c r="E1217" t="s">
        <v>1508</v>
      </c>
      <c r="F1217">
        <v>2449</v>
      </c>
      <c r="G1217" t="str">
        <f t="shared" si="18"/>
        <v>0101Y26M2449</v>
      </c>
    </row>
    <row r="1218" spans="3:7">
      <c r="C1218" t="s">
        <v>2631</v>
      </c>
      <c r="D1218" t="s">
        <v>1507</v>
      </c>
      <c r="E1218" t="s">
        <v>1508</v>
      </c>
      <c r="F1218">
        <v>2450</v>
      </c>
      <c r="G1218" t="str">
        <f t="shared" si="18"/>
        <v>0101T26M2450</v>
      </c>
    </row>
    <row r="1219" spans="3:7">
      <c r="C1219" t="s">
        <v>2632</v>
      </c>
      <c r="D1219" t="s">
        <v>1498</v>
      </c>
      <c r="E1219" t="s">
        <v>1505</v>
      </c>
      <c r="F1219">
        <v>2451</v>
      </c>
      <c r="G1219" t="str">
        <f t="shared" ref="G1219:G1282" si="19">_xlfn.CONCAT("0101",D1219,"26",E1219,F1219)</f>
        <v>0101K26J2451</v>
      </c>
    </row>
    <row r="1220" spans="3:7">
      <c r="C1220" t="s">
        <v>2633</v>
      </c>
      <c r="D1220" t="s">
        <v>1500</v>
      </c>
      <c r="E1220" t="s">
        <v>2906</v>
      </c>
      <c r="F1220">
        <v>2452</v>
      </c>
      <c r="G1220" t="str">
        <f t="shared" si="19"/>
        <v>0101S26G2452</v>
      </c>
    </row>
    <row r="1221" spans="3:7">
      <c r="C1221" t="s">
        <v>2634</v>
      </c>
      <c r="D1221" t="s">
        <v>1497</v>
      </c>
      <c r="E1221" t="s">
        <v>1497</v>
      </c>
      <c r="F1221">
        <v>2453</v>
      </c>
      <c r="G1221" t="str">
        <f t="shared" si="19"/>
        <v>0101A26A2453</v>
      </c>
    </row>
    <row r="1222" spans="3:7">
      <c r="C1222" t="s">
        <v>2635</v>
      </c>
      <c r="D1222" t="s">
        <v>1501</v>
      </c>
      <c r="E1222" t="s">
        <v>1505</v>
      </c>
      <c r="F1222">
        <v>2454</v>
      </c>
      <c r="G1222" t="str">
        <f t="shared" si="19"/>
        <v>0101R26J2454</v>
      </c>
    </row>
    <row r="1223" spans="3:7">
      <c r="C1223" t="s">
        <v>2636</v>
      </c>
      <c r="D1223" t="s">
        <v>2904</v>
      </c>
      <c r="E1223" t="s">
        <v>1500</v>
      </c>
      <c r="F1223">
        <v>2455</v>
      </c>
      <c r="G1223" t="str">
        <f t="shared" si="19"/>
        <v>0101L26S2455</v>
      </c>
    </row>
    <row r="1224" spans="3:7">
      <c r="C1224" t="s">
        <v>2637</v>
      </c>
      <c r="D1224" t="s">
        <v>1500</v>
      </c>
      <c r="E1224" t="s">
        <v>1497</v>
      </c>
      <c r="F1224">
        <v>2456</v>
      </c>
      <c r="G1224" t="str">
        <f t="shared" si="19"/>
        <v>0101S26A2456</v>
      </c>
    </row>
    <row r="1225" spans="3:7">
      <c r="C1225" t="s">
        <v>2638</v>
      </c>
      <c r="D1225" t="s">
        <v>1500</v>
      </c>
      <c r="E1225" t="s">
        <v>1506</v>
      </c>
      <c r="F1225">
        <v>2457</v>
      </c>
      <c r="G1225" t="str">
        <f t="shared" si="19"/>
        <v>0101S26N2457</v>
      </c>
    </row>
    <row r="1226" spans="3:7">
      <c r="C1226" t="s">
        <v>2639</v>
      </c>
      <c r="D1226" t="s">
        <v>1501</v>
      </c>
      <c r="E1226" t="s">
        <v>1498</v>
      </c>
      <c r="F1226">
        <v>2458</v>
      </c>
      <c r="G1226" t="str">
        <f t="shared" si="19"/>
        <v>0101R26K2458</v>
      </c>
    </row>
    <row r="1227" spans="3:7">
      <c r="C1227" t="s">
        <v>2640</v>
      </c>
      <c r="D1227" t="s">
        <v>1500</v>
      </c>
      <c r="E1227" t="s">
        <v>1502</v>
      </c>
      <c r="F1227">
        <v>2459</v>
      </c>
      <c r="G1227" t="str">
        <f t="shared" si="19"/>
        <v>0101S26D2459</v>
      </c>
    </row>
    <row r="1228" spans="3:7">
      <c r="C1228" t="s">
        <v>2641</v>
      </c>
      <c r="D1228" t="s">
        <v>1508</v>
      </c>
      <c r="E1228" t="s">
        <v>1501</v>
      </c>
      <c r="F1228">
        <v>2460</v>
      </c>
      <c r="G1228" t="str">
        <f t="shared" si="19"/>
        <v>0101M26R2460</v>
      </c>
    </row>
    <row r="1229" spans="3:7">
      <c r="C1229" t="s">
        <v>2642</v>
      </c>
      <c r="D1229" t="s">
        <v>2901</v>
      </c>
      <c r="E1229" t="s">
        <v>1509</v>
      </c>
      <c r="F1229">
        <v>2461</v>
      </c>
      <c r="G1229" t="str">
        <f t="shared" si="19"/>
        <v>0101B26H2461</v>
      </c>
    </row>
    <row r="1230" spans="3:7">
      <c r="C1230" t="s">
        <v>2643</v>
      </c>
      <c r="D1230" t="s">
        <v>1501</v>
      </c>
      <c r="E1230" t="s">
        <v>1501</v>
      </c>
      <c r="F1230">
        <v>2462</v>
      </c>
      <c r="G1230" t="str">
        <f t="shared" si="19"/>
        <v>0101R26R2462</v>
      </c>
    </row>
    <row r="1231" spans="3:7">
      <c r="C1231" t="s">
        <v>2644</v>
      </c>
      <c r="D1231" t="s">
        <v>1504</v>
      </c>
      <c r="E1231" t="s">
        <v>1498</v>
      </c>
      <c r="F1231">
        <v>2463</v>
      </c>
      <c r="G1231" t="str">
        <f t="shared" si="19"/>
        <v>0101P26K2463</v>
      </c>
    </row>
    <row r="1232" spans="3:7">
      <c r="C1232" t="s">
        <v>2645</v>
      </c>
      <c r="D1232" t="s">
        <v>1504</v>
      </c>
      <c r="E1232" t="s">
        <v>2906</v>
      </c>
      <c r="F1232">
        <v>2464</v>
      </c>
      <c r="G1232" t="str">
        <f t="shared" si="19"/>
        <v>0101P26G2464</v>
      </c>
    </row>
    <row r="1233" spans="3:7">
      <c r="C1233" t="s">
        <v>2646</v>
      </c>
      <c r="D1233" t="s">
        <v>2904</v>
      </c>
      <c r="E1233" t="s">
        <v>1499</v>
      </c>
      <c r="F1233">
        <v>2465</v>
      </c>
      <c r="G1233" t="str">
        <f t="shared" si="19"/>
        <v>0101L26C2465</v>
      </c>
    </row>
    <row r="1234" spans="3:7">
      <c r="C1234" t="s">
        <v>2647</v>
      </c>
      <c r="D1234" t="s">
        <v>1502</v>
      </c>
      <c r="E1234" t="s">
        <v>2906</v>
      </c>
      <c r="F1234">
        <v>2466</v>
      </c>
      <c r="G1234" t="str">
        <f t="shared" si="19"/>
        <v>0101D26G2466</v>
      </c>
    </row>
    <row r="1235" spans="3:7">
      <c r="C1235" t="s">
        <v>2648</v>
      </c>
      <c r="D1235" t="s">
        <v>2906</v>
      </c>
      <c r="E1235" t="s">
        <v>1505</v>
      </c>
      <c r="F1235">
        <v>2467</v>
      </c>
      <c r="G1235" t="str">
        <f t="shared" si="19"/>
        <v>0101G26J2467</v>
      </c>
    </row>
    <row r="1236" spans="3:7">
      <c r="C1236" t="s">
        <v>2649</v>
      </c>
      <c r="D1236" t="s">
        <v>1497</v>
      </c>
      <c r="E1236" t="s">
        <v>1502</v>
      </c>
      <c r="F1236">
        <v>2468</v>
      </c>
      <c r="G1236" t="str">
        <f t="shared" si="19"/>
        <v>0101A26D2468</v>
      </c>
    </row>
    <row r="1237" spans="3:7">
      <c r="C1237" t="s">
        <v>2650</v>
      </c>
      <c r="D1237" t="s">
        <v>2906</v>
      </c>
      <c r="E1237" t="s">
        <v>1499</v>
      </c>
      <c r="F1237">
        <v>2469</v>
      </c>
      <c r="G1237" t="str">
        <f t="shared" si="19"/>
        <v>0101G26C2469</v>
      </c>
    </row>
    <row r="1238" spans="3:7">
      <c r="C1238" t="s">
        <v>2651</v>
      </c>
      <c r="D1238" t="s">
        <v>1506</v>
      </c>
      <c r="E1238" t="s">
        <v>1504</v>
      </c>
      <c r="F1238">
        <v>2470</v>
      </c>
      <c r="G1238" t="str">
        <f t="shared" si="19"/>
        <v>0101N26P2470</v>
      </c>
    </row>
    <row r="1239" spans="3:7">
      <c r="C1239" t="s">
        <v>2652</v>
      </c>
      <c r="D1239" t="s">
        <v>1497</v>
      </c>
      <c r="E1239" t="s">
        <v>1508</v>
      </c>
      <c r="F1239">
        <v>2471</v>
      </c>
      <c r="G1239" t="str">
        <f t="shared" si="19"/>
        <v>0101A26M2471</v>
      </c>
    </row>
    <row r="1240" spans="3:7">
      <c r="C1240" t="s">
        <v>2653</v>
      </c>
      <c r="D1240" t="s">
        <v>1498</v>
      </c>
      <c r="E1240" t="s">
        <v>1498</v>
      </c>
      <c r="F1240">
        <v>2472</v>
      </c>
      <c r="G1240" t="str">
        <f t="shared" si="19"/>
        <v>0101K26K2472</v>
      </c>
    </row>
    <row r="1241" spans="3:7">
      <c r="C1241" t="s">
        <v>2654</v>
      </c>
      <c r="D1241" t="s">
        <v>1500</v>
      </c>
      <c r="E1241" t="s">
        <v>1498</v>
      </c>
      <c r="F1241">
        <v>2473</v>
      </c>
      <c r="G1241" t="str">
        <f t="shared" si="19"/>
        <v>0101S26K2473</v>
      </c>
    </row>
    <row r="1242" spans="3:7">
      <c r="C1242" t="s">
        <v>2655</v>
      </c>
      <c r="D1242" t="s">
        <v>1497</v>
      </c>
      <c r="E1242" t="s">
        <v>1504</v>
      </c>
      <c r="F1242">
        <v>2474</v>
      </c>
      <c r="G1242" t="str">
        <f t="shared" si="19"/>
        <v>0101A26P2474</v>
      </c>
    </row>
    <row r="1243" spans="3:7">
      <c r="C1243" t="s">
        <v>2656</v>
      </c>
      <c r="D1243" t="s">
        <v>1498</v>
      </c>
      <c r="E1243" t="s">
        <v>1508</v>
      </c>
      <c r="F1243">
        <v>2475</v>
      </c>
      <c r="G1243" t="str">
        <f t="shared" si="19"/>
        <v>0101K26M2475</v>
      </c>
    </row>
    <row r="1244" spans="3:7">
      <c r="C1244" t="s">
        <v>2657</v>
      </c>
      <c r="D1244" t="s">
        <v>1506</v>
      </c>
      <c r="E1244" t="s">
        <v>1500</v>
      </c>
      <c r="F1244">
        <v>2476</v>
      </c>
      <c r="G1244" t="str">
        <f t="shared" si="19"/>
        <v>0101N26S2476</v>
      </c>
    </row>
    <row r="1245" spans="3:7">
      <c r="C1245" t="s">
        <v>2658</v>
      </c>
      <c r="D1245" t="s">
        <v>1497</v>
      </c>
      <c r="E1245" t="s">
        <v>1505</v>
      </c>
      <c r="F1245">
        <v>2477</v>
      </c>
      <c r="G1245" t="str">
        <f t="shared" si="19"/>
        <v>0101A26J2477</v>
      </c>
    </row>
    <row r="1246" spans="3:7">
      <c r="C1246" t="s">
        <v>2659</v>
      </c>
      <c r="D1246" t="s">
        <v>1500</v>
      </c>
      <c r="E1246" t="s">
        <v>1504</v>
      </c>
      <c r="F1246">
        <v>2478</v>
      </c>
      <c r="G1246" t="str">
        <f t="shared" si="19"/>
        <v>0101S26P2478</v>
      </c>
    </row>
    <row r="1247" spans="3:7">
      <c r="C1247" t="s">
        <v>2660</v>
      </c>
      <c r="D1247" t="s">
        <v>1501</v>
      </c>
      <c r="E1247" t="s">
        <v>1504</v>
      </c>
      <c r="F1247">
        <v>2479</v>
      </c>
      <c r="G1247" t="str">
        <f t="shared" si="19"/>
        <v>0101R26P2479</v>
      </c>
    </row>
    <row r="1248" spans="3:7">
      <c r="C1248" t="s">
        <v>2661</v>
      </c>
      <c r="D1248" t="s">
        <v>1500</v>
      </c>
      <c r="E1248" t="s">
        <v>1497</v>
      </c>
      <c r="F1248">
        <v>2480</v>
      </c>
      <c r="G1248" t="str">
        <f t="shared" si="19"/>
        <v>0101S26A2480</v>
      </c>
    </row>
    <row r="1249" spans="3:7">
      <c r="C1249" t="s">
        <v>2662</v>
      </c>
      <c r="D1249" t="s">
        <v>1501</v>
      </c>
      <c r="E1249" t="s">
        <v>1498</v>
      </c>
      <c r="F1249">
        <v>2481</v>
      </c>
      <c r="G1249" t="str">
        <f t="shared" si="19"/>
        <v>0101R26K2481</v>
      </c>
    </row>
    <row r="1250" spans="3:7">
      <c r="C1250" t="s">
        <v>2663</v>
      </c>
      <c r="D1250" t="s">
        <v>1497</v>
      </c>
      <c r="E1250" t="s">
        <v>1500</v>
      </c>
      <c r="F1250">
        <v>2482</v>
      </c>
      <c r="G1250" t="str">
        <f t="shared" si="19"/>
        <v>0101A26S2482</v>
      </c>
    </row>
    <row r="1251" spans="3:7">
      <c r="C1251" t="s">
        <v>2664</v>
      </c>
      <c r="D1251" t="s">
        <v>2898</v>
      </c>
      <c r="E1251" t="s">
        <v>1508</v>
      </c>
      <c r="F1251">
        <v>2483</v>
      </c>
      <c r="G1251" t="str">
        <f t="shared" si="19"/>
        <v>0101U26M2483</v>
      </c>
    </row>
    <row r="1252" spans="3:7">
      <c r="C1252" t="s">
        <v>2665</v>
      </c>
      <c r="D1252" t="s">
        <v>1498</v>
      </c>
      <c r="E1252" t="s">
        <v>1500</v>
      </c>
      <c r="F1252">
        <v>2484</v>
      </c>
      <c r="G1252" t="str">
        <f t="shared" si="19"/>
        <v>0101K26S2484</v>
      </c>
    </row>
    <row r="1253" spans="3:7">
      <c r="C1253" t="s">
        <v>2666</v>
      </c>
      <c r="D1253" t="s">
        <v>1500</v>
      </c>
      <c r="E1253" t="s">
        <v>1498</v>
      </c>
      <c r="F1253">
        <v>2485</v>
      </c>
      <c r="G1253" t="str">
        <f t="shared" si="19"/>
        <v>0101S26K2485</v>
      </c>
    </row>
    <row r="1254" spans="3:7">
      <c r="C1254" t="s">
        <v>2667</v>
      </c>
      <c r="D1254" t="s">
        <v>1498</v>
      </c>
      <c r="E1254" t="s">
        <v>2901</v>
      </c>
      <c r="F1254">
        <v>2486</v>
      </c>
      <c r="G1254" t="str">
        <f t="shared" si="19"/>
        <v>0101K26B2486</v>
      </c>
    </row>
    <row r="1255" spans="3:7">
      <c r="C1255" t="s">
        <v>2668</v>
      </c>
      <c r="D1255" t="s">
        <v>1500</v>
      </c>
      <c r="E1255" t="s">
        <v>1497</v>
      </c>
      <c r="F1255">
        <v>2487</v>
      </c>
      <c r="G1255" t="str">
        <f t="shared" si="19"/>
        <v>0101S26A2487</v>
      </c>
    </row>
    <row r="1256" spans="3:7">
      <c r="C1256" t="s">
        <v>2669</v>
      </c>
      <c r="D1256" t="s">
        <v>1502</v>
      </c>
      <c r="E1256" t="s">
        <v>1500</v>
      </c>
      <c r="F1256">
        <v>2488</v>
      </c>
      <c r="G1256" t="str">
        <f t="shared" si="19"/>
        <v>0101D26S2488</v>
      </c>
    </row>
    <row r="1257" spans="3:7">
      <c r="C1257" t="s">
        <v>2670</v>
      </c>
      <c r="D1257" t="s">
        <v>1497</v>
      </c>
      <c r="E1257" t="s">
        <v>1498</v>
      </c>
      <c r="F1257">
        <v>2489</v>
      </c>
      <c r="G1257" t="str">
        <f t="shared" si="19"/>
        <v>0101A26K2489</v>
      </c>
    </row>
    <row r="1258" spans="3:7">
      <c r="C1258" t="s">
        <v>2671</v>
      </c>
      <c r="D1258" t="s">
        <v>1500</v>
      </c>
      <c r="E1258" t="s">
        <v>1498</v>
      </c>
      <c r="F1258">
        <v>2490</v>
      </c>
      <c r="G1258" t="str">
        <f t="shared" si="19"/>
        <v>0101S26K2490</v>
      </c>
    </row>
    <row r="1259" spans="3:7">
      <c r="C1259" t="s">
        <v>2672</v>
      </c>
      <c r="D1259" t="s">
        <v>1497</v>
      </c>
      <c r="E1259" t="s">
        <v>1500</v>
      </c>
      <c r="F1259">
        <v>2491</v>
      </c>
      <c r="G1259" t="str">
        <f t="shared" si="19"/>
        <v>0101A26S2491</v>
      </c>
    </row>
    <row r="1260" spans="3:7">
      <c r="C1260" t="s">
        <v>2673</v>
      </c>
      <c r="D1260" t="s">
        <v>2898</v>
      </c>
      <c r="E1260" t="s">
        <v>1501</v>
      </c>
      <c r="F1260">
        <v>2492</v>
      </c>
      <c r="G1260" t="str">
        <f t="shared" si="19"/>
        <v>0101U26R2492</v>
      </c>
    </row>
    <row r="1261" spans="3:7">
      <c r="C1261" t="s">
        <v>2674</v>
      </c>
      <c r="D1261" t="s">
        <v>1501</v>
      </c>
      <c r="E1261" t="s">
        <v>1497</v>
      </c>
      <c r="F1261">
        <v>2493</v>
      </c>
      <c r="G1261" t="str">
        <f t="shared" si="19"/>
        <v>0101R26A2493</v>
      </c>
    </row>
    <row r="1262" spans="3:7">
      <c r="C1262" t="s">
        <v>2675</v>
      </c>
      <c r="D1262" t="s">
        <v>1500</v>
      </c>
      <c r="E1262" t="s">
        <v>1508</v>
      </c>
      <c r="F1262">
        <v>2494</v>
      </c>
      <c r="G1262" t="str">
        <f t="shared" si="19"/>
        <v>0101S26M2494</v>
      </c>
    </row>
    <row r="1263" spans="3:7">
      <c r="C1263" t="s">
        <v>2676</v>
      </c>
      <c r="D1263" t="s">
        <v>1506</v>
      </c>
      <c r="E1263" t="s">
        <v>1497</v>
      </c>
      <c r="F1263">
        <v>2495</v>
      </c>
      <c r="G1263" t="str">
        <f t="shared" si="19"/>
        <v>0101N26A2495</v>
      </c>
    </row>
    <row r="1264" spans="3:7">
      <c r="C1264" t="s">
        <v>1258</v>
      </c>
      <c r="D1264" t="s">
        <v>1500</v>
      </c>
      <c r="E1264" t="s">
        <v>1497</v>
      </c>
      <c r="F1264">
        <v>2496</v>
      </c>
      <c r="G1264" t="str">
        <f t="shared" si="19"/>
        <v>0101S26A2496</v>
      </c>
    </row>
    <row r="1265" spans="3:7">
      <c r="C1265" t="s">
        <v>2677</v>
      </c>
      <c r="D1265" t="s">
        <v>1509</v>
      </c>
      <c r="E1265" t="s">
        <v>2903</v>
      </c>
      <c r="F1265">
        <v>2497</v>
      </c>
      <c r="G1265" t="str">
        <f t="shared" si="19"/>
        <v>0101H26F2497</v>
      </c>
    </row>
    <row r="1266" spans="3:7">
      <c r="C1266" t="s">
        <v>2678</v>
      </c>
      <c r="D1266" t="s">
        <v>1500</v>
      </c>
      <c r="E1266" t="s">
        <v>1498</v>
      </c>
      <c r="F1266">
        <v>2498</v>
      </c>
      <c r="G1266" t="str">
        <f t="shared" si="19"/>
        <v>0101S26K2498</v>
      </c>
    </row>
    <row r="1267" spans="3:7">
      <c r="C1267" t="s">
        <v>2679</v>
      </c>
      <c r="D1267" t="s">
        <v>1501</v>
      </c>
      <c r="E1267" t="s">
        <v>1500</v>
      </c>
      <c r="F1267">
        <v>2499</v>
      </c>
      <c r="G1267" t="str">
        <f t="shared" si="19"/>
        <v>0101R26S2499</v>
      </c>
    </row>
    <row r="1268" spans="3:7">
      <c r="C1268" t="s">
        <v>2680</v>
      </c>
      <c r="D1268" t="s">
        <v>1497</v>
      </c>
      <c r="E1268" t="s">
        <v>2900</v>
      </c>
      <c r="F1268">
        <v>2500</v>
      </c>
      <c r="G1268" t="str">
        <f t="shared" si="19"/>
        <v>0101A26Z2500</v>
      </c>
    </row>
    <row r="1269" spans="3:7">
      <c r="C1269" t="s">
        <v>2681</v>
      </c>
      <c r="D1269" t="s">
        <v>1497</v>
      </c>
      <c r="E1269" t="s">
        <v>1506</v>
      </c>
      <c r="F1269">
        <v>2501</v>
      </c>
      <c r="G1269" t="str">
        <f t="shared" si="19"/>
        <v>0101A26N2501</v>
      </c>
    </row>
    <row r="1270" spans="3:7">
      <c r="C1270" t="s">
        <v>2682</v>
      </c>
      <c r="D1270" t="s">
        <v>1497</v>
      </c>
      <c r="E1270" t="s">
        <v>1504</v>
      </c>
      <c r="F1270">
        <v>2502</v>
      </c>
      <c r="G1270" t="str">
        <f t="shared" si="19"/>
        <v>0101A26P2502</v>
      </c>
    </row>
    <row r="1271" spans="3:7">
      <c r="C1271" t="s">
        <v>1265</v>
      </c>
      <c r="D1271" t="s">
        <v>1506</v>
      </c>
      <c r="E1271" t="s">
        <v>2899</v>
      </c>
      <c r="F1271">
        <v>2503</v>
      </c>
      <c r="G1271" t="str">
        <f t="shared" si="19"/>
        <v>0101N26V2503</v>
      </c>
    </row>
    <row r="1272" spans="3:7">
      <c r="C1272" t="s">
        <v>2683</v>
      </c>
      <c r="D1272" t="s">
        <v>1502</v>
      </c>
      <c r="E1272" t="s">
        <v>1505</v>
      </c>
      <c r="F1272">
        <v>2504</v>
      </c>
      <c r="G1272" t="str">
        <f t="shared" si="19"/>
        <v>0101D26J2504</v>
      </c>
    </row>
    <row r="1273" spans="3:7">
      <c r="C1273" t="s">
        <v>2684</v>
      </c>
      <c r="D1273" t="s">
        <v>2907</v>
      </c>
      <c r="E1273" t="s">
        <v>2907</v>
      </c>
      <c r="F1273">
        <v>2505</v>
      </c>
      <c r="G1273" t="str">
        <f t="shared" si="19"/>
        <v>0101Y26Y2505</v>
      </c>
    </row>
    <row r="1274" spans="3:7">
      <c r="C1274" t="s">
        <v>2685</v>
      </c>
      <c r="D1274" t="s">
        <v>1498</v>
      </c>
      <c r="E1274" t="s">
        <v>1500</v>
      </c>
      <c r="F1274">
        <v>2506</v>
      </c>
      <c r="G1274" t="str">
        <f t="shared" si="19"/>
        <v>0101K26S2506</v>
      </c>
    </row>
    <row r="1275" spans="3:7">
      <c r="C1275" t="s">
        <v>2686</v>
      </c>
      <c r="D1275" t="s">
        <v>1500</v>
      </c>
      <c r="E1275" t="s">
        <v>1500</v>
      </c>
      <c r="F1275">
        <v>2507</v>
      </c>
      <c r="G1275" t="str">
        <f t="shared" si="19"/>
        <v>0101S26S2507</v>
      </c>
    </row>
    <row r="1276" spans="3:7">
      <c r="C1276" t="s">
        <v>2687</v>
      </c>
      <c r="D1276" t="s">
        <v>1504</v>
      </c>
      <c r="E1276" t="s">
        <v>1504</v>
      </c>
      <c r="F1276">
        <v>2508</v>
      </c>
      <c r="G1276" t="str">
        <f t="shared" si="19"/>
        <v>0101P26P2508</v>
      </c>
    </row>
    <row r="1277" spans="3:7">
      <c r="C1277" t="s">
        <v>1271</v>
      </c>
      <c r="D1277" t="s">
        <v>1498</v>
      </c>
      <c r="E1277" t="s">
        <v>1497</v>
      </c>
      <c r="F1277">
        <v>2509</v>
      </c>
      <c r="G1277" t="str">
        <f t="shared" si="19"/>
        <v>0101K26A2509</v>
      </c>
    </row>
    <row r="1278" spans="3:7">
      <c r="C1278" t="s">
        <v>2688</v>
      </c>
      <c r="D1278" t="s">
        <v>2899</v>
      </c>
      <c r="E1278" t="s">
        <v>1507</v>
      </c>
      <c r="F1278">
        <v>2510</v>
      </c>
      <c r="G1278" t="str">
        <f t="shared" si="19"/>
        <v>0101V26T2510</v>
      </c>
    </row>
    <row r="1279" spans="3:7">
      <c r="C1279" t="s">
        <v>2689</v>
      </c>
      <c r="D1279" t="s">
        <v>2899</v>
      </c>
      <c r="E1279" t="s">
        <v>1501</v>
      </c>
      <c r="F1279">
        <v>2511</v>
      </c>
      <c r="G1279" t="str">
        <f t="shared" si="19"/>
        <v>0101V26R2511</v>
      </c>
    </row>
    <row r="1280" spans="3:7">
      <c r="C1280" t="s">
        <v>2690</v>
      </c>
      <c r="D1280" t="s">
        <v>1507</v>
      </c>
      <c r="E1280" t="s">
        <v>1497</v>
      </c>
      <c r="F1280">
        <v>2512</v>
      </c>
      <c r="G1280" t="str">
        <f t="shared" si="19"/>
        <v>0101T26A2512</v>
      </c>
    </row>
    <row r="1281" spans="3:7">
      <c r="C1281" t="s">
        <v>2691</v>
      </c>
      <c r="D1281" t="s">
        <v>1497</v>
      </c>
      <c r="E1281" t="s">
        <v>1500</v>
      </c>
      <c r="F1281">
        <v>2513</v>
      </c>
      <c r="G1281" t="str">
        <f t="shared" si="19"/>
        <v>0101A26S2513</v>
      </c>
    </row>
    <row r="1282" spans="3:7">
      <c r="C1282" t="s">
        <v>1768</v>
      </c>
      <c r="D1282" t="s">
        <v>1509</v>
      </c>
      <c r="E1282" t="s">
        <v>2901</v>
      </c>
      <c r="F1282">
        <v>2514</v>
      </c>
      <c r="G1282" t="str">
        <f t="shared" si="19"/>
        <v>0101H26B2514</v>
      </c>
    </row>
    <row r="1283" spans="3:7">
      <c r="C1283" t="s">
        <v>2692</v>
      </c>
      <c r="D1283" t="s">
        <v>1506</v>
      </c>
      <c r="E1283" t="s">
        <v>1502</v>
      </c>
      <c r="F1283">
        <v>2515</v>
      </c>
      <c r="G1283" t="str">
        <f t="shared" ref="G1283:G1346" si="20">_xlfn.CONCAT("0101",D1283,"26",E1283,F1283)</f>
        <v>0101N26D2515</v>
      </c>
    </row>
    <row r="1284" spans="3:7">
      <c r="C1284" t="s">
        <v>2693</v>
      </c>
      <c r="D1284" t="s">
        <v>1504</v>
      </c>
      <c r="E1284" t="s">
        <v>1500</v>
      </c>
      <c r="F1284">
        <v>2516</v>
      </c>
      <c r="G1284" t="str">
        <f t="shared" si="20"/>
        <v>0101P26S2516</v>
      </c>
    </row>
    <row r="1285" spans="3:7">
      <c r="C1285" t="s">
        <v>2694</v>
      </c>
      <c r="D1285" t="s">
        <v>1504</v>
      </c>
      <c r="E1285" t="s">
        <v>2906</v>
      </c>
      <c r="F1285">
        <v>2517</v>
      </c>
      <c r="G1285" t="str">
        <f t="shared" si="20"/>
        <v>0101P26G2517</v>
      </c>
    </row>
    <row r="1286" spans="3:7">
      <c r="C1286" t="s">
        <v>2695</v>
      </c>
      <c r="D1286" t="s">
        <v>1502</v>
      </c>
      <c r="E1286" t="s">
        <v>1502</v>
      </c>
      <c r="F1286">
        <v>2518</v>
      </c>
      <c r="G1286" t="str">
        <f t="shared" si="20"/>
        <v>0101D26D2518</v>
      </c>
    </row>
    <row r="1287" spans="3:7">
      <c r="C1287" t="s">
        <v>2696</v>
      </c>
      <c r="D1287" t="s">
        <v>1508</v>
      </c>
      <c r="E1287" t="s">
        <v>1497</v>
      </c>
      <c r="F1287">
        <v>2519</v>
      </c>
      <c r="G1287" t="str">
        <f t="shared" si="20"/>
        <v>0101M26A2519</v>
      </c>
    </row>
    <row r="1288" spans="3:7">
      <c r="C1288" t="s">
        <v>2697</v>
      </c>
      <c r="D1288" t="s">
        <v>1497</v>
      </c>
      <c r="E1288" t="s">
        <v>1505</v>
      </c>
      <c r="F1288">
        <v>2520</v>
      </c>
      <c r="G1288" t="str">
        <f t="shared" si="20"/>
        <v>0101A26J2520</v>
      </c>
    </row>
    <row r="1289" spans="3:7">
      <c r="C1289" t="s">
        <v>2698</v>
      </c>
      <c r="D1289" t="s">
        <v>1501</v>
      </c>
      <c r="E1289" t="s">
        <v>1500</v>
      </c>
      <c r="F1289">
        <v>2521</v>
      </c>
      <c r="G1289" t="str">
        <f t="shared" si="20"/>
        <v>0101R26S2521</v>
      </c>
    </row>
    <row r="1290" spans="3:7">
      <c r="C1290" t="s">
        <v>2699</v>
      </c>
      <c r="D1290" t="s">
        <v>1509</v>
      </c>
      <c r="E1290" t="s">
        <v>1498</v>
      </c>
      <c r="F1290">
        <v>2522</v>
      </c>
      <c r="G1290" t="str">
        <f t="shared" si="20"/>
        <v>0101H26K2522</v>
      </c>
    </row>
    <row r="1291" spans="3:7">
      <c r="C1291" t="s">
        <v>2700</v>
      </c>
      <c r="D1291" t="s">
        <v>1508</v>
      </c>
      <c r="E1291" t="s">
        <v>1504</v>
      </c>
      <c r="F1291">
        <v>2523</v>
      </c>
      <c r="G1291" t="str">
        <f t="shared" si="20"/>
        <v>0101M26P2523</v>
      </c>
    </row>
    <row r="1292" spans="3:7">
      <c r="C1292" t="s">
        <v>2701</v>
      </c>
      <c r="D1292" t="s">
        <v>1507</v>
      </c>
      <c r="E1292" t="s">
        <v>1500</v>
      </c>
      <c r="F1292">
        <v>2524</v>
      </c>
      <c r="G1292" t="str">
        <f t="shared" si="20"/>
        <v>0101T26S2524</v>
      </c>
    </row>
    <row r="1293" spans="3:7">
      <c r="C1293" t="s">
        <v>1286</v>
      </c>
      <c r="D1293" t="s">
        <v>2907</v>
      </c>
      <c r="E1293" t="s">
        <v>1498</v>
      </c>
      <c r="F1293">
        <v>2525</v>
      </c>
      <c r="G1293" t="str">
        <f t="shared" si="20"/>
        <v>0101Y26K2525</v>
      </c>
    </row>
    <row r="1294" spans="3:7">
      <c r="C1294" t="s">
        <v>2702</v>
      </c>
      <c r="D1294" t="s">
        <v>2899</v>
      </c>
      <c r="E1294" t="s">
        <v>1502</v>
      </c>
      <c r="F1294">
        <v>2526</v>
      </c>
      <c r="G1294" t="str">
        <f t="shared" si="20"/>
        <v>0101V26D2526</v>
      </c>
    </row>
    <row r="1295" spans="3:7">
      <c r="C1295" t="s">
        <v>2703</v>
      </c>
      <c r="D1295" t="s">
        <v>1500</v>
      </c>
      <c r="E1295" t="s">
        <v>1502</v>
      </c>
      <c r="F1295">
        <v>2527</v>
      </c>
      <c r="G1295" t="str">
        <f t="shared" si="20"/>
        <v>0101S26D2527</v>
      </c>
    </row>
    <row r="1296" spans="3:7">
      <c r="C1296" t="s">
        <v>2704</v>
      </c>
      <c r="D1296" t="s">
        <v>1508</v>
      </c>
      <c r="E1296" t="s">
        <v>1502</v>
      </c>
      <c r="F1296">
        <v>2528</v>
      </c>
      <c r="G1296" t="str">
        <f t="shared" si="20"/>
        <v>0101M26D2528</v>
      </c>
    </row>
    <row r="1297" spans="3:7">
      <c r="C1297" t="s">
        <v>2705</v>
      </c>
      <c r="D1297" t="s">
        <v>1500</v>
      </c>
      <c r="E1297" t="s">
        <v>1498</v>
      </c>
      <c r="F1297">
        <v>2529</v>
      </c>
      <c r="G1297" t="str">
        <f t="shared" si="20"/>
        <v>0101S26K2529</v>
      </c>
    </row>
    <row r="1298" spans="3:7">
      <c r="C1298" t="s">
        <v>2706</v>
      </c>
      <c r="D1298" t="s">
        <v>1500</v>
      </c>
      <c r="E1298" t="s">
        <v>1507</v>
      </c>
      <c r="F1298">
        <v>2530</v>
      </c>
      <c r="G1298" t="str">
        <f t="shared" si="20"/>
        <v>0101S26T2530</v>
      </c>
    </row>
    <row r="1299" spans="3:7">
      <c r="C1299" t="s">
        <v>2707</v>
      </c>
      <c r="D1299" t="s">
        <v>1508</v>
      </c>
      <c r="E1299" t="s">
        <v>1499</v>
      </c>
      <c r="F1299">
        <v>2531</v>
      </c>
      <c r="G1299" t="str">
        <f t="shared" si="20"/>
        <v>0101M26C2531</v>
      </c>
    </row>
    <row r="1300" spans="3:7">
      <c r="C1300" t="s">
        <v>2708</v>
      </c>
      <c r="D1300" t="s">
        <v>2899</v>
      </c>
      <c r="E1300" t="s">
        <v>1508</v>
      </c>
      <c r="F1300">
        <v>2532</v>
      </c>
      <c r="G1300" t="str">
        <f t="shared" si="20"/>
        <v>0101V26M2532</v>
      </c>
    </row>
    <row r="1301" spans="3:7">
      <c r="C1301" t="s">
        <v>2306</v>
      </c>
      <c r="D1301" t="s">
        <v>1500</v>
      </c>
      <c r="E1301" t="s">
        <v>1508</v>
      </c>
      <c r="F1301">
        <v>2533</v>
      </c>
      <c r="G1301" t="str">
        <f t="shared" si="20"/>
        <v>0101S26M2533</v>
      </c>
    </row>
    <row r="1302" spans="3:7">
      <c r="C1302" t="s">
        <v>2709</v>
      </c>
      <c r="D1302" t="s">
        <v>2902</v>
      </c>
      <c r="E1302" t="s">
        <v>2901</v>
      </c>
      <c r="F1302">
        <v>2534</v>
      </c>
      <c r="G1302" t="str">
        <f t="shared" si="20"/>
        <v>0101E26B2534</v>
      </c>
    </row>
    <row r="1303" spans="3:7">
      <c r="C1303" t="s">
        <v>2710</v>
      </c>
      <c r="D1303" t="s">
        <v>1497</v>
      </c>
      <c r="E1303" t="s">
        <v>2906</v>
      </c>
      <c r="F1303">
        <v>2535</v>
      </c>
      <c r="G1303" t="str">
        <f t="shared" si="20"/>
        <v>0101A26G2535</v>
      </c>
    </row>
    <row r="1304" spans="3:7">
      <c r="C1304" t="s">
        <v>2711</v>
      </c>
      <c r="D1304" t="s">
        <v>1500</v>
      </c>
      <c r="E1304" t="s">
        <v>1508</v>
      </c>
      <c r="F1304">
        <v>2536</v>
      </c>
      <c r="G1304" t="str">
        <f t="shared" si="20"/>
        <v>0101S26M2536</v>
      </c>
    </row>
    <row r="1305" spans="3:7">
      <c r="C1305" t="s">
        <v>2712</v>
      </c>
      <c r="D1305" t="s">
        <v>1502</v>
      </c>
      <c r="E1305" t="s">
        <v>1501</v>
      </c>
      <c r="F1305">
        <v>2537</v>
      </c>
      <c r="G1305" t="str">
        <f t="shared" si="20"/>
        <v>0101D26R2537</v>
      </c>
    </row>
    <row r="1306" spans="3:7">
      <c r="C1306" t="s">
        <v>2713</v>
      </c>
      <c r="D1306" t="s">
        <v>1500</v>
      </c>
      <c r="E1306" t="s">
        <v>1500</v>
      </c>
      <c r="F1306">
        <v>2538</v>
      </c>
      <c r="G1306" t="str">
        <f t="shared" si="20"/>
        <v>0101S26S2538</v>
      </c>
    </row>
    <row r="1307" spans="3:7">
      <c r="C1307" t="s">
        <v>2714</v>
      </c>
      <c r="D1307" t="s">
        <v>1498</v>
      </c>
      <c r="E1307" t="s">
        <v>1508</v>
      </c>
      <c r="F1307">
        <v>2539</v>
      </c>
      <c r="G1307" t="str">
        <f t="shared" si="20"/>
        <v>0101K26M2539</v>
      </c>
    </row>
    <row r="1308" spans="3:7">
      <c r="C1308" t="s">
        <v>2715</v>
      </c>
      <c r="D1308" t="s">
        <v>2899</v>
      </c>
      <c r="E1308" t="s">
        <v>2898</v>
      </c>
      <c r="F1308">
        <v>2540</v>
      </c>
      <c r="G1308" t="str">
        <f t="shared" si="20"/>
        <v>0101V26U2540</v>
      </c>
    </row>
    <row r="1309" spans="3:7">
      <c r="C1309" t="s">
        <v>2716</v>
      </c>
      <c r="D1309" t="s">
        <v>1500</v>
      </c>
      <c r="E1309" t="s">
        <v>1507</v>
      </c>
      <c r="F1309">
        <v>2541</v>
      </c>
      <c r="G1309" t="str">
        <f t="shared" si="20"/>
        <v>0101S26T2541</v>
      </c>
    </row>
    <row r="1310" spans="3:7">
      <c r="C1310" t="s">
        <v>1302</v>
      </c>
      <c r="D1310" t="s">
        <v>2901</v>
      </c>
      <c r="E1310" t="s">
        <v>1497</v>
      </c>
      <c r="F1310">
        <v>2542</v>
      </c>
      <c r="G1310" t="str">
        <f t="shared" si="20"/>
        <v>0101B26A2542</v>
      </c>
    </row>
    <row r="1311" spans="3:7">
      <c r="C1311" t="s">
        <v>2717</v>
      </c>
      <c r="D1311" t="s">
        <v>1497</v>
      </c>
      <c r="E1311" t="s">
        <v>1501</v>
      </c>
      <c r="F1311">
        <v>2543</v>
      </c>
      <c r="G1311" t="str">
        <f t="shared" si="20"/>
        <v>0101A26R2543</v>
      </c>
    </row>
    <row r="1312" spans="3:7">
      <c r="C1312" t="s">
        <v>2718</v>
      </c>
      <c r="D1312" t="s">
        <v>1497</v>
      </c>
      <c r="E1312" t="s">
        <v>1509</v>
      </c>
      <c r="F1312">
        <v>2544</v>
      </c>
      <c r="G1312" t="str">
        <f t="shared" si="20"/>
        <v>0101A26H2544</v>
      </c>
    </row>
    <row r="1313" spans="3:7">
      <c r="C1313" t="s">
        <v>2719</v>
      </c>
      <c r="D1313" t="s">
        <v>1497</v>
      </c>
      <c r="E1313" t="s">
        <v>1499</v>
      </c>
      <c r="F1313">
        <v>2545</v>
      </c>
      <c r="G1313" t="str">
        <f t="shared" si="20"/>
        <v>0101A26C2545</v>
      </c>
    </row>
    <row r="1314" spans="3:7">
      <c r="C1314" t="s">
        <v>2720</v>
      </c>
      <c r="D1314" t="s">
        <v>2909</v>
      </c>
      <c r="E1314" t="s">
        <v>1507</v>
      </c>
      <c r="F1314">
        <v>2546</v>
      </c>
      <c r="G1314" t="str">
        <f t="shared" si="20"/>
        <v>0101Q26T2546</v>
      </c>
    </row>
    <row r="1315" spans="3:7">
      <c r="C1315" t="s">
        <v>2721</v>
      </c>
      <c r="D1315" t="s">
        <v>1509</v>
      </c>
      <c r="E1315" t="s">
        <v>1500</v>
      </c>
      <c r="F1315">
        <v>2547</v>
      </c>
      <c r="G1315" t="str">
        <f t="shared" si="20"/>
        <v>0101H26S2547</v>
      </c>
    </row>
    <row r="1316" spans="3:7">
      <c r="C1316" t="s">
        <v>2722</v>
      </c>
      <c r="D1316" t="s">
        <v>1500</v>
      </c>
      <c r="E1316" t="s">
        <v>1498</v>
      </c>
      <c r="F1316">
        <v>2548</v>
      </c>
      <c r="G1316" t="str">
        <f t="shared" si="20"/>
        <v>0101S26K2548</v>
      </c>
    </row>
    <row r="1317" spans="3:7">
      <c r="C1317" t="s">
        <v>2723</v>
      </c>
      <c r="D1317" t="s">
        <v>1497</v>
      </c>
      <c r="E1317" t="s">
        <v>2901</v>
      </c>
      <c r="F1317">
        <v>2549</v>
      </c>
      <c r="G1317" t="str">
        <f t="shared" si="20"/>
        <v>0101A26B2549</v>
      </c>
    </row>
    <row r="1318" spans="3:7">
      <c r="C1318" t="s">
        <v>2724</v>
      </c>
      <c r="D1318" t="s">
        <v>1498</v>
      </c>
      <c r="E1318" t="s">
        <v>1502</v>
      </c>
      <c r="F1318">
        <v>2550</v>
      </c>
      <c r="G1318" t="str">
        <f t="shared" si="20"/>
        <v>0101K26D2550</v>
      </c>
    </row>
    <row r="1319" spans="3:7">
      <c r="C1319" t="s">
        <v>2725</v>
      </c>
      <c r="D1319" t="s">
        <v>1500</v>
      </c>
      <c r="E1319" t="s">
        <v>1504</v>
      </c>
      <c r="F1319">
        <v>2551</v>
      </c>
      <c r="G1319" t="str">
        <f t="shared" si="20"/>
        <v>0101S26P2551</v>
      </c>
    </row>
    <row r="1320" spans="3:7">
      <c r="C1320" t="s">
        <v>2726</v>
      </c>
      <c r="D1320" t="s">
        <v>1500</v>
      </c>
      <c r="E1320" t="s">
        <v>1500</v>
      </c>
      <c r="F1320">
        <v>2552</v>
      </c>
      <c r="G1320" t="str">
        <f t="shared" si="20"/>
        <v>0101S26S2552</v>
      </c>
    </row>
    <row r="1321" spans="3:7">
      <c r="C1321" t="s">
        <v>2727</v>
      </c>
      <c r="D1321" t="s">
        <v>1500</v>
      </c>
      <c r="E1321" t="s">
        <v>2901</v>
      </c>
      <c r="F1321">
        <v>2553</v>
      </c>
      <c r="G1321" t="str">
        <f t="shared" si="20"/>
        <v>0101S26B2553</v>
      </c>
    </row>
    <row r="1322" spans="3:7">
      <c r="C1322" t="s">
        <v>2728</v>
      </c>
      <c r="D1322" t="s">
        <v>1497</v>
      </c>
      <c r="E1322" t="s">
        <v>1507</v>
      </c>
      <c r="F1322">
        <v>2554</v>
      </c>
      <c r="G1322" t="str">
        <f t="shared" si="20"/>
        <v>0101A26T2554</v>
      </c>
    </row>
    <row r="1323" spans="3:7">
      <c r="C1323" t="s">
        <v>2729</v>
      </c>
      <c r="D1323" t="s">
        <v>1497</v>
      </c>
      <c r="E1323" t="s">
        <v>2901</v>
      </c>
      <c r="F1323">
        <v>2555</v>
      </c>
      <c r="G1323" t="str">
        <f t="shared" si="20"/>
        <v>0101A26B2555</v>
      </c>
    </row>
    <row r="1324" spans="3:7">
      <c r="C1324" t="s">
        <v>2730</v>
      </c>
      <c r="D1324" t="s">
        <v>1497</v>
      </c>
      <c r="E1324" t="s">
        <v>2906</v>
      </c>
      <c r="F1324">
        <v>2556</v>
      </c>
      <c r="G1324" t="str">
        <f t="shared" si="20"/>
        <v>0101A26G2556</v>
      </c>
    </row>
    <row r="1325" spans="3:7">
      <c r="C1325" t="s">
        <v>2731</v>
      </c>
      <c r="D1325" t="s">
        <v>2899</v>
      </c>
      <c r="E1325" t="s">
        <v>1502</v>
      </c>
      <c r="F1325">
        <v>2557</v>
      </c>
      <c r="G1325" t="str">
        <f t="shared" si="20"/>
        <v>0101V26D2557</v>
      </c>
    </row>
    <row r="1326" spans="3:7">
      <c r="C1326" t="s">
        <v>2732</v>
      </c>
      <c r="D1326" t="s">
        <v>1500</v>
      </c>
      <c r="E1326" t="s">
        <v>2899</v>
      </c>
      <c r="F1326">
        <v>2558</v>
      </c>
      <c r="G1326" t="str">
        <f t="shared" si="20"/>
        <v>0101S26V2558</v>
      </c>
    </row>
    <row r="1327" spans="3:7">
      <c r="C1327" t="s">
        <v>2733</v>
      </c>
      <c r="D1327" t="s">
        <v>1497</v>
      </c>
      <c r="E1327" t="s">
        <v>1499</v>
      </c>
      <c r="F1327">
        <v>2559</v>
      </c>
      <c r="G1327" t="str">
        <f t="shared" si="20"/>
        <v>0101A26C2559</v>
      </c>
    </row>
    <row r="1328" spans="3:7">
      <c r="C1328" t="s">
        <v>2734</v>
      </c>
      <c r="D1328" t="s">
        <v>1497</v>
      </c>
      <c r="E1328" t="s">
        <v>1502</v>
      </c>
      <c r="F1328">
        <v>2560</v>
      </c>
      <c r="G1328" t="str">
        <f t="shared" si="20"/>
        <v>0101A26D2560</v>
      </c>
    </row>
    <row r="1329" spans="3:7">
      <c r="C1329" t="s">
        <v>2735</v>
      </c>
      <c r="D1329" t="s">
        <v>1497</v>
      </c>
      <c r="E1329" t="s">
        <v>1502</v>
      </c>
      <c r="F1329">
        <v>2561</v>
      </c>
      <c r="G1329" t="str">
        <f t="shared" si="20"/>
        <v>0101A26D2561</v>
      </c>
    </row>
    <row r="1330" spans="3:7">
      <c r="C1330" t="s">
        <v>2736</v>
      </c>
      <c r="D1330" t="s">
        <v>1508</v>
      </c>
      <c r="E1330" t="s">
        <v>1502</v>
      </c>
      <c r="F1330">
        <v>2562</v>
      </c>
      <c r="G1330" t="str">
        <f t="shared" si="20"/>
        <v>0101M26D2562</v>
      </c>
    </row>
    <row r="1331" spans="3:7">
      <c r="C1331" t="s">
        <v>2737</v>
      </c>
      <c r="D1331" t="s">
        <v>1500</v>
      </c>
      <c r="E1331" t="s">
        <v>2903</v>
      </c>
      <c r="F1331">
        <v>2563</v>
      </c>
      <c r="G1331" t="str">
        <f t="shared" si="20"/>
        <v>0101S26F2563</v>
      </c>
    </row>
    <row r="1332" spans="3:7">
      <c r="C1332" t="s">
        <v>2738</v>
      </c>
      <c r="D1332" t="s">
        <v>1498</v>
      </c>
      <c r="E1332" t="s">
        <v>1498</v>
      </c>
      <c r="F1332">
        <v>2564</v>
      </c>
      <c r="G1332" t="str">
        <f t="shared" si="20"/>
        <v>0101K26K2564</v>
      </c>
    </row>
    <row r="1333" spans="3:7">
      <c r="C1333" t="s">
        <v>2739</v>
      </c>
      <c r="D1333" t="s">
        <v>2904</v>
      </c>
      <c r="E1333" t="s">
        <v>1507</v>
      </c>
      <c r="F1333">
        <v>2565</v>
      </c>
      <c r="G1333" t="str">
        <f t="shared" si="20"/>
        <v>0101L26T2565</v>
      </c>
    </row>
    <row r="1334" spans="3:7">
      <c r="C1334" t="s">
        <v>2740</v>
      </c>
      <c r="D1334" t="s">
        <v>2899</v>
      </c>
      <c r="E1334" t="s">
        <v>2901</v>
      </c>
      <c r="F1334">
        <v>2566</v>
      </c>
      <c r="G1334" t="str">
        <f t="shared" si="20"/>
        <v>0101V26B2566</v>
      </c>
    </row>
    <row r="1335" spans="3:7">
      <c r="C1335" t="s">
        <v>2741</v>
      </c>
      <c r="D1335" t="s">
        <v>2906</v>
      </c>
      <c r="E1335" t="s">
        <v>1502</v>
      </c>
      <c r="F1335">
        <v>2567</v>
      </c>
      <c r="G1335" t="str">
        <f t="shared" si="20"/>
        <v>0101G26D2567</v>
      </c>
    </row>
    <row r="1336" spans="3:7">
      <c r="C1336" t="s">
        <v>2742</v>
      </c>
      <c r="D1336" t="s">
        <v>1506</v>
      </c>
      <c r="E1336" t="s">
        <v>1508</v>
      </c>
      <c r="F1336">
        <v>2568</v>
      </c>
      <c r="G1336" t="str">
        <f t="shared" si="20"/>
        <v>0101N26M2568</v>
      </c>
    </row>
    <row r="1337" spans="3:7">
      <c r="C1337" t="s">
        <v>2743</v>
      </c>
      <c r="D1337" t="s">
        <v>1506</v>
      </c>
      <c r="E1337" t="s">
        <v>1508</v>
      </c>
      <c r="F1337">
        <v>2569</v>
      </c>
      <c r="G1337" t="str">
        <f t="shared" si="20"/>
        <v>0101N26M2569</v>
      </c>
    </row>
    <row r="1338" spans="3:7">
      <c r="C1338" t="s">
        <v>2744</v>
      </c>
      <c r="D1338" t="s">
        <v>2907</v>
      </c>
      <c r="E1338" t="s">
        <v>1504</v>
      </c>
      <c r="F1338">
        <v>2570</v>
      </c>
      <c r="G1338" t="str">
        <f t="shared" si="20"/>
        <v>0101Y26P2570</v>
      </c>
    </row>
    <row r="1339" spans="3:7">
      <c r="C1339" t="s">
        <v>2745</v>
      </c>
      <c r="D1339" t="s">
        <v>1500</v>
      </c>
      <c r="E1339" t="s">
        <v>2898</v>
      </c>
      <c r="F1339">
        <v>2571</v>
      </c>
      <c r="G1339" t="str">
        <f t="shared" si="20"/>
        <v>0101S26U2571</v>
      </c>
    </row>
    <row r="1340" spans="3:7">
      <c r="C1340" t="s">
        <v>2746</v>
      </c>
      <c r="D1340" t="s">
        <v>1502</v>
      </c>
      <c r="E1340" t="s">
        <v>2901</v>
      </c>
      <c r="F1340">
        <v>2572</v>
      </c>
      <c r="G1340" t="str">
        <f t="shared" si="20"/>
        <v>0101D26B2572</v>
      </c>
    </row>
    <row r="1341" spans="3:7">
      <c r="C1341" t="s">
        <v>2747</v>
      </c>
      <c r="D1341" t="s">
        <v>1497</v>
      </c>
      <c r="E1341" t="s">
        <v>1497</v>
      </c>
      <c r="F1341">
        <v>2573</v>
      </c>
      <c r="G1341" t="str">
        <f t="shared" si="20"/>
        <v>0101A26A2573</v>
      </c>
    </row>
    <row r="1342" spans="3:7">
      <c r="C1342" t="s">
        <v>2748</v>
      </c>
      <c r="D1342" t="s">
        <v>1509</v>
      </c>
      <c r="E1342" t="s">
        <v>2905</v>
      </c>
      <c r="F1342">
        <v>2574</v>
      </c>
      <c r="G1342" t="str">
        <f t="shared" si="20"/>
        <v>0101H26O2574</v>
      </c>
    </row>
    <row r="1343" spans="3:7">
      <c r="C1343" t="s">
        <v>2749</v>
      </c>
      <c r="D1343" t="s">
        <v>1506</v>
      </c>
      <c r="E1343" t="s">
        <v>1499</v>
      </c>
      <c r="F1343">
        <v>2575</v>
      </c>
      <c r="G1343" t="str">
        <f t="shared" si="20"/>
        <v>0101N26C2575</v>
      </c>
    </row>
    <row r="1344" spans="3:7">
      <c r="C1344" t="s">
        <v>2750</v>
      </c>
      <c r="D1344" t="s">
        <v>1498</v>
      </c>
      <c r="E1344" t="s">
        <v>1498</v>
      </c>
      <c r="F1344">
        <v>2576</v>
      </c>
      <c r="G1344" t="str">
        <f t="shared" si="20"/>
        <v>0101K26K2576</v>
      </c>
    </row>
    <row r="1345" spans="3:7">
      <c r="C1345" t="s">
        <v>2751</v>
      </c>
      <c r="D1345" t="s">
        <v>1504</v>
      </c>
      <c r="E1345" t="s">
        <v>1508</v>
      </c>
      <c r="F1345">
        <v>2577</v>
      </c>
      <c r="G1345" t="str">
        <f t="shared" si="20"/>
        <v>0101P26M2577</v>
      </c>
    </row>
    <row r="1346" spans="3:7">
      <c r="C1346" t="s">
        <v>2752</v>
      </c>
      <c r="D1346" t="s">
        <v>1504</v>
      </c>
      <c r="E1346" t="s">
        <v>1500</v>
      </c>
      <c r="F1346">
        <v>2578</v>
      </c>
      <c r="G1346" t="str">
        <f t="shared" si="20"/>
        <v>0101P26S2578</v>
      </c>
    </row>
    <row r="1347" spans="3:7">
      <c r="C1347" t="s">
        <v>2753</v>
      </c>
      <c r="D1347" t="s">
        <v>1508</v>
      </c>
      <c r="E1347" t="s">
        <v>1500</v>
      </c>
      <c r="F1347">
        <v>2579</v>
      </c>
      <c r="G1347" t="str">
        <f t="shared" ref="G1347:G1410" si="21">_xlfn.CONCAT("0101",D1347,"26",E1347,F1347)</f>
        <v>0101M26S2579</v>
      </c>
    </row>
    <row r="1348" spans="3:7">
      <c r="C1348" t="s">
        <v>2754</v>
      </c>
      <c r="D1348" t="s">
        <v>1500</v>
      </c>
      <c r="E1348" t="s">
        <v>1500</v>
      </c>
      <c r="F1348">
        <v>2580</v>
      </c>
      <c r="G1348" t="str">
        <f t="shared" si="21"/>
        <v>0101S26S2580</v>
      </c>
    </row>
    <row r="1349" spans="3:7">
      <c r="C1349" t="s">
        <v>2755</v>
      </c>
      <c r="D1349" t="s">
        <v>1500</v>
      </c>
      <c r="E1349" t="s">
        <v>1500</v>
      </c>
      <c r="F1349">
        <v>2581</v>
      </c>
      <c r="G1349" t="str">
        <f t="shared" si="21"/>
        <v>0101S26S2581</v>
      </c>
    </row>
    <row r="1350" spans="3:7">
      <c r="C1350" t="s">
        <v>2756</v>
      </c>
      <c r="D1350" t="s">
        <v>1498</v>
      </c>
      <c r="E1350" t="s">
        <v>1500</v>
      </c>
      <c r="F1350">
        <v>2582</v>
      </c>
      <c r="G1350" t="str">
        <f t="shared" si="21"/>
        <v>0101K26S2582</v>
      </c>
    </row>
    <row r="1351" spans="3:7">
      <c r="C1351" t="s">
        <v>2757</v>
      </c>
      <c r="D1351" t="s">
        <v>1498</v>
      </c>
      <c r="E1351" t="s">
        <v>1498</v>
      </c>
      <c r="F1351">
        <v>2583</v>
      </c>
      <c r="G1351" t="str">
        <f t="shared" si="21"/>
        <v>0101K26K2583</v>
      </c>
    </row>
    <row r="1352" spans="3:7">
      <c r="C1352" t="s">
        <v>2016</v>
      </c>
      <c r="D1352" t="s">
        <v>1500</v>
      </c>
      <c r="E1352" t="s">
        <v>1504</v>
      </c>
      <c r="F1352">
        <v>2584</v>
      </c>
      <c r="G1352" t="str">
        <f t="shared" si="21"/>
        <v>0101S26P2584</v>
      </c>
    </row>
    <row r="1353" spans="3:7">
      <c r="C1353" t="s">
        <v>2758</v>
      </c>
      <c r="D1353" t="s">
        <v>1509</v>
      </c>
      <c r="E1353" t="s">
        <v>2901</v>
      </c>
      <c r="F1353">
        <v>2585</v>
      </c>
      <c r="G1353" t="str">
        <f t="shared" si="21"/>
        <v>0101H26B2585</v>
      </c>
    </row>
    <row r="1354" spans="3:7">
      <c r="C1354" t="s">
        <v>2759</v>
      </c>
      <c r="D1354" t="s">
        <v>1508</v>
      </c>
      <c r="E1354" t="s">
        <v>1497</v>
      </c>
      <c r="F1354">
        <v>2586</v>
      </c>
      <c r="G1354" t="str">
        <f t="shared" si="21"/>
        <v>0101M26A2586</v>
      </c>
    </row>
    <row r="1355" spans="3:7">
      <c r="C1355" t="s">
        <v>2760</v>
      </c>
      <c r="D1355" t="s">
        <v>1498</v>
      </c>
      <c r="E1355" t="s">
        <v>1502</v>
      </c>
      <c r="F1355">
        <v>2587</v>
      </c>
      <c r="G1355" t="str">
        <f t="shared" si="21"/>
        <v>0101K26D2587</v>
      </c>
    </row>
    <row r="1356" spans="3:7">
      <c r="C1356" t="s">
        <v>2188</v>
      </c>
      <c r="D1356" t="s">
        <v>1500</v>
      </c>
      <c r="E1356" t="s">
        <v>1497</v>
      </c>
      <c r="F1356">
        <v>2588</v>
      </c>
      <c r="G1356" t="str">
        <f t="shared" si="21"/>
        <v>0101S26A2588</v>
      </c>
    </row>
    <row r="1357" spans="3:7">
      <c r="C1357" t="s">
        <v>1347</v>
      </c>
      <c r="D1357" t="s">
        <v>2901</v>
      </c>
      <c r="E1357" t="s">
        <v>1498</v>
      </c>
      <c r="F1357">
        <v>2589</v>
      </c>
      <c r="G1357" t="str">
        <f t="shared" si="21"/>
        <v>0101B26K2589</v>
      </c>
    </row>
    <row r="1358" spans="3:7">
      <c r="C1358" t="s">
        <v>2761</v>
      </c>
      <c r="D1358" t="s">
        <v>2906</v>
      </c>
      <c r="E1358" t="s">
        <v>1508</v>
      </c>
      <c r="F1358">
        <v>2590</v>
      </c>
      <c r="G1358" t="str">
        <f t="shared" si="21"/>
        <v>0101G26M2590</v>
      </c>
    </row>
    <row r="1359" spans="3:7">
      <c r="C1359" t="s">
        <v>2762</v>
      </c>
      <c r="D1359" t="s">
        <v>1498</v>
      </c>
      <c r="E1359" t="s">
        <v>1498</v>
      </c>
      <c r="F1359">
        <v>2591</v>
      </c>
      <c r="G1359" t="str">
        <f t="shared" si="21"/>
        <v>0101K26K2591</v>
      </c>
    </row>
    <row r="1360" spans="3:7">
      <c r="C1360" t="s">
        <v>2763</v>
      </c>
      <c r="D1360" t="s">
        <v>1501</v>
      </c>
      <c r="E1360" t="s">
        <v>1500</v>
      </c>
      <c r="F1360">
        <v>2592</v>
      </c>
      <c r="G1360" t="str">
        <f t="shared" si="21"/>
        <v>0101R26S2592</v>
      </c>
    </row>
    <row r="1361" spans="3:7">
      <c r="C1361" t="s">
        <v>2764</v>
      </c>
      <c r="D1361" t="s">
        <v>1497</v>
      </c>
      <c r="E1361" t="s">
        <v>1500</v>
      </c>
      <c r="F1361">
        <v>2593</v>
      </c>
      <c r="G1361" t="str">
        <f t="shared" si="21"/>
        <v>0101A26S2593</v>
      </c>
    </row>
    <row r="1362" spans="3:7">
      <c r="C1362" t="s">
        <v>2005</v>
      </c>
      <c r="D1362" t="s">
        <v>1498</v>
      </c>
      <c r="E1362" t="s">
        <v>1498</v>
      </c>
      <c r="F1362">
        <v>2594</v>
      </c>
      <c r="G1362" t="str">
        <f t="shared" si="21"/>
        <v>0101K26K2594</v>
      </c>
    </row>
    <row r="1363" spans="3:7">
      <c r="C1363" t="s">
        <v>2765</v>
      </c>
      <c r="D1363" t="s">
        <v>1497</v>
      </c>
      <c r="E1363" t="s">
        <v>2901</v>
      </c>
      <c r="F1363">
        <v>2595</v>
      </c>
      <c r="G1363" t="str">
        <f t="shared" si="21"/>
        <v>0101A26B2595</v>
      </c>
    </row>
    <row r="1364" spans="3:7">
      <c r="C1364" t="s">
        <v>2766</v>
      </c>
      <c r="D1364" t="s">
        <v>1497</v>
      </c>
      <c r="E1364" t="s">
        <v>1501</v>
      </c>
      <c r="F1364">
        <v>2596</v>
      </c>
      <c r="G1364" t="str">
        <f t="shared" si="21"/>
        <v>0101A26R2596</v>
      </c>
    </row>
    <row r="1365" spans="3:7">
      <c r="C1365" t="s">
        <v>1271</v>
      </c>
      <c r="D1365" t="s">
        <v>1498</v>
      </c>
      <c r="E1365" t="s">
        <v>1497</v>
      </c>
      <c r="F1365">
        <v>2597</v>
      </c>
      <c r="G1365" t="str">
        <f t="shared" si="21"/>
        <v>0101K26A2597</v>
      </c>
    </row>
    <row r="1366" spans="3:7">
      <c r="C1366" t="s">
        <v>2767</v>
      </c>
      <c r="D1366" t="s">
        <v>1504</v>
      </c>
      <c r="E1366" t="s">
        <v>2901</v>
      </c>
      <c r="F1366">
        <v>2598</v>
      </c>
      <c r="G1366" t="str">
        <f t="shared" si="21"/>
        <v>0101P26B2598</v>
      </c>
    </row>
    <row r="1367" spans="3:7">
      <c r="C1367" t="s">
        <v>2768</v>
      </c>
      <c r="D1367" t="s">
        <v>1500</v>
      </c>
      <c r="E1367" t="s">
        <v>2901</v>
      </c>
      <c r="F1367">
        <v>2599</v>
      </c>
      <c r="G1367" t="str">
        <f t="shared" si="21"/>
        <v>0101S26B2599</v>
      </c>
    </row>
    <row r="1368" spans="3:7">
      <c r="C1368" t="s">
        <v>2769</v>
      </c>
      <c r="D1368" t="s">
        <v>1497</v>
      </c>
      <c r="E1368" t="s">
        <v>1502</v>
      </c>
      <c r="F1368">
        <v>2600</v>
      </c>
      <c r="G1368" t="str">
        <f t="shared" si="21"/>
        <v>0101A26D2600</v>
      </c>
    </row>
    <row r="1369" spans="3:7">
      <c r="C1369" t="s">
        <v>2770</v>
      </c>
      <c r="D1369" t="s">
        <v>1498</v>
      </c>
      <c r="E1369" t="s">
        <v>1509</v>
      </c>
      <c r="F1369">
        <v>2601</v>
      </c>
      <c r="G1369" t="str">
        <f t="shared" si="21"/>
        <v>0101K26H2601</v>
      </c>
    </row>
    <row r="1370" spans="3:7">
      <c r="C1370" t="s">
        <v>2771</v>
      </c>
      <c r="D1370" t="s">
        <v>1509</v>
      </c>
      <c r="E1370" t="s">
        <v>2903</v>
      </c>
      <c r="F1370">
        <v>2602</v>
      </c>
      <c r="G1370" t="str">
        <f t="shared" si="21"/>
        <v>0101H26F2602</v>
      </c>
    </row>
    <row r="1371" spans="3:7">
      <c r="C1371" t="s">
        <v>1361</v>
      </c>
      <c r="D1371" t="s">
        <v>1497</v>
      </c>
      <c r="E1371" t="s">
        <v>1497</v>
      </c>
      <c r="F1371">
        <v>2603</v>
      </c>
      <c r="G1371" t="str">
        <f t="shared" si="21"/>
        <v>0101A26A2603</v>
      </c>
    </row>
    <row r="1372" spans="3:7">
      <c r="C1372" t="s">
        <v>2772</v>
      </c>
      <c r="D1372" t="s">
        <v>1500</v>
      </c>
      <c r="E1372" t="s">
        <v>1498</v>
      </c>
      <c r="F1372">
        <v>2604</v>
      </c>
      <c r="G1372" t="str">
        <f t="shared" si="21"/>
        <v>0101S26K2604</v>
      </c>
    </row>
    <row r="1373" spans="3:7">
      <c r="C1373" t="s">
        <v>2773</v>
      </c>
      <c r="D1373" t="s">
        <v>1500</v>
      </c>
      <c r="E1373" t="s">
        <v>1498</v>
      </c>
      <c r="F1373">
        <v>2605</v>
      </c>
      <c r="G1373" t="str">
        <f t="shared" si="21"/>
        <v>0101S26K2605</v>
      </c>
    </row>
    <row r="1374" spans="3:7">
      <c r="C1374" t="s">
        <v>2774</v>
      </c>
      <c r="D1374" t="s">
        <v>1500</v>
      </c>
      <c r="E1374" t="s">
        <v>1504</v>
      </c>
      <c r="F1374">
        <v>2606</v>
      </c>
      <c r="G1374" t="str">
        <f t="shared" si="21"/>
        <v>0101S26P2606</v>
      </c>
    </row>
    <row r="1375" spans="3:7">
      <c r="C1375" t="s">
        <v>2775</v>
      </c>
      <c r="D1375" t="s">
        <v>1497</v>
      </c>
      <c r="E1375" t="s">
        <v>1508</v>
      </c>
      <c r="F1375">
        <v>2607</v>
      </c>
      <c r="G1375" t="str">
        <f t="shared" si="21"/>
        <v>0101A26M2607</v>
      </c>
    </row>
    <row r="1376" spans="3:7">
      <c r="C1376" t="s">
        <v>2776</v>
      </c>
      <c r="D1376" t="s">
        <v>1507</v>
      </c>
      <c r="E1376" t="s">
        <v>1500</v>
      </c>
      <c r="F1376">
        <v>2608</v>
      </c>
      <c r="G1376" t="str">
        <f t="shared" si="21"/>
        <v>0101T26S2608</v>
      </c>
    </row>
    <row r="1377" spans="3:7">
      <c r="C1377" t="s">
        <v>2777</v>
      </c>
      <c r="D1377" t="s">
        <v>1503</v>
      </c>
      <c r="E1377" t="s">
        <v>1505</v>
      </c>
      <c r="F1377">
        <v>2609</v>
      </c>
      <c r="G1377" t="str">
        <f t="shared" si="21"/>
        <v>0101I26J2609</v>
      </c>
    </row>
    <row r="1378" spans="3:7">
      <c r="C1378" t="s">
        <v>2778</v>
      </c>
      <c r="D1378" t="s">
        <v>1508</v>
      </c>
      <c r="E1378" t="s">
        <v>1502</v>
      </c>
      <c r="F1378">
        <v>2610</v>
      </c>
      <c r="G1378" t="str">
        <f t="shared" si="21"/>
        <v>0101M26D2610</v>
      </c>
    </row>
    <row r="1379" spans="3:7">
      <c r="C1379" t="s">
        <v>2779</v>
      </c>
      <c r="D1379" t="s">
        <v>1502</v>
      </c>
      <c r="E1379" t="s">
        <v>2906</v>
      </c>
      <c r="F1379">
        <v>2611</v>
      </c>
      <c r="G1379" t="str">
        <f t="shared" si="21"/>
        <v>0101D26G2611</v>
      </c>
    </row>
    <row r="1380" spans="3:7">
      <c r="C1380" t="s">
        <v>2780</v>
      </c>
      <c r="D1380" t="s">
        <v>1504</v>
      </c>
      <c r="E1380" t="s">
        <v>1500</v>
      </c>
      <c r="F1380">
        <v>2612</v>
      </c>
      <c r="G1380" t="str">
        <f t="shared" si="21"/>
        <v>0101P26S2612</v>
      </c>
    </row>
    <row r="1381" spans="3:7">
      <c r="C1381" t="s">
        <v>2781</v>
      </c>
      <c r="D1381" t="s">
        <v>1504</v>
      </c>
      <c r="E1381" t="s">
        <v>1504</v>
      </c>
      <c r="F1381">
        <v>2613</v>
      </c>
      <c r="G1381" t="str">
        <f t="shared" si="21"/>
        <v>0101P26P2613</v>
      </c>
    </row>
    <row r="1382" spans="3:7">
      <c r="C1382" t="s">
        <v>2782</v>
      </c>
      <c r="D1382" t="s">
        <v>1497</v>
      </c>
      <c r="E1382" t="s">
        <v>2901</v>
      </c>
      <c r="F1382">
        <v>2614</v>
      </c>
      <c r="G1382" t="str">
        <f t="shared" si="21"/>
        <v>0101A26B2614</v>
      </c>
    </row>
    <row r="1383" spans="3:7">
      <c r="C1383" t="s">
        <v>2783</v>
      </c>
      <c r="D1383" t="s">
        <v>1498</v>
      </c>
      <c r="E1383" t="s">
        <v>1500</v>
      </c>
      <c r="F1383">
        <v>2615</v>
      </c>
      <c r="G1383" t="str">
        <f t="shared" si="21"/>
        <v>0101K26S2615</v>
      </c>
    </row>
    <row r="1384" spans="3:7">
      <c r="C1384" t="s">
        <v>2784</v>
      </c>
      <c r="D1384" t="s">
        <v>1497</v>
      </c>
      <c r="E1384" t="s">
        <v>2906</v>
      </c>
      <c r="F1384">
        <v>2616</v>
      </c>
      <c r="G1384" t="str">
        <f t="shared" si="21"/>
        <v>0101A26G2616</v>
      </c>
    </row>
    <row r="1385" spans="3:7">
      <c r="C1385" t="s">
        <v>2785</v>
      </c>
      <c r="D1385" t="s">
        <v>1500</v>
      </c>
      <c r="E1385" t="s">
        <v>1501</v>
      </c>
      <c r="F1385">
        <v>2617</v>
      </c>
      <c r="G1385" t="str">
        <f t="shared" si="21"/>
        <v>0101S26R2617</v>
      </c>
    </row>
    <row r="1386" spans="3:7">
      <c r="C1386" t="s">
        <v>2786</v>
      </c>
      <c r="D1386" t="s">
        <v>1497</v>
      </c>
      <c r="E1386" t="s">
        <v>1497</v>
      </c>
      <c r="F1386">
        <v>2618</v>
      </c>
      <c r="G1386" t="str">
        <f t="shared" si="21"/>
        <v>0101A26A2618</v>
      </c>
    </row>
    <row r="1387" spans="3:7">
      <c r="C1387" t="s">
        <v>2787</v>
      </c>
      <c r="D1387" t="s">
        <v>1502</v>
      </c>
      <c r="E1387" t="s">
        <v>1498</v>
      </c>
      <c r="F1387">
        <v>2619</v>
      </c>
      <c r="G1387" t="str">
        <f t="shared" si="21"/>
        <v>0101D26K2619</v>
      </c>
    </row>
    <row r="1388" spans="3:7">
      <c r="C1388" t="s">
        <v>2788</v>
      </c>
      <c r="D1388" t="s">
        <v>1504</v>
      </c>
      <c r="E1388" t="s">
        <v>1504</v>
      </c>
      <c r="F1388">
        <v>2620</v>
      </c>
      <c r="G1388" t="str">
        <f t="shared" si="21"/>
        <v>0101P26P2620</v>
      </c>
    </row>
    <row r="1389" spans="3:7">
      <c r="C1389" t="s">
        <v>2789</v>
      </c>
      <c r="D1389" t="s">
        <v>2901</v>
      </c>
      <c r="E1389" t="s">
        <v>1500</v>
      </c>
      <c r="F1389">
        <v>2621</v>
      </c>
      <c r="G1389" t="str">
        <f t="shared" si="21"/>
        <v>0101B26S2621</v>
      </c>
    </row>
    <row r="1390" spans="3:7">
      <c r="C1390" t="s">
        <v>2790</v>
      </c>
      <c r="D1390" t="s">
        <v>1497</v>
      </c>
      <c r="E1390" t="s">
        <v>2901</v>
      </c>
      <c r="F1390">
        <v>2622</v>
      </c>
      <c r="G1390" t="str">
        <f t="shared" si="21"/>
        <v>0101A26B2622</v>
      </c>
    </row>
    <row r="1391" spans="3:7">
      <c r="C1391" t="s">
        <v>1381</v>
      </c>
      <c r="D1391" t="s">
        <v>1500</v>
      </c>
      <c r="E1391" t="s">
        <v>2901</v>
      </c>
      <c r="F1391">
        <v>2623</v>
      </c>
      <c r="G1391" t="str">
        <f t="shared" si="21"/>
        <v>0101S26B2623</v>
      </c>
    </row>
    <row r="1392" spans="3:7">
      <c r="C1392" t="s">
        <v>2791</v>
      </c>
      <c r="D1392" t="s">
        <v>1498</v>
      </c>
      <c r="E1392" t="s">
        <v>1498</v>
      </c>
      <c r="F1392">
        <v>2624</v>
      </c>
      <c r="G1392" t="str">
        <f t="shared" si="21"/>
        <v>0101K26K2624</v>
      </c>
    </row>
    <row r="1393" spans="3:7">
      <c r="C1393" t="s">
        <v>2792</v>
      </c>
      <c r="D1393" t="s">
        <v>1497</v>
      </c>
      <c r="E1393" t="s">
        <v>1500</v>
      </c>
      <c r="F1393">
        <v>2625</v>
      </c>
      <c r="G1393" t="str">
        <f t="shared" si="21"/>
        <v>0101A26S2625</v>
      </c>
    </row>
    <row r="1394" spans="3:7">
      <c r="C1394" t="s">
        <v>1384</v>
      </c>
      <c r="D1394" t="s">
        <v>1508</v>
      </c>
      <c r="E1394" t="s">
        <v>1497</v>
      </c>
      <c r="F1394">
        <v>2626</v>
      </c>
      <c r="G1394" t="str">
        <f t="shared" si="21"/>
        <v>0101M26A2626</v>
      </c>
    </row>
    <row r="1395" spans="3:7">
      <c r="C1395" t="s">
        <v>2793</v>
      </c>
      <c r="D1395" t="s">
        <v>1504</v>
      </c>
      <c r="E1395" t="s">
        <v>1502</v>
      </c>
      <c r="F1395">
        <v>2627</v>
      </c>
      <c r="G1395" t="str">
        <f t="shared" si="21"/>
        <v>0101P26D2627</v>
      </c>
    </row>
    <row r="1396" spans="3:7">
      <c r="C1396" t="s">
        <v>2355</v>
      </c>
      <c r="D1396" t="s">
        <v>1500</v>
      </c>
      <c r="E1396" t="s">
        <v>1500</v>
      </c>
      <c r="F1396">
        <v>2628</v>
      </c>
      <c r="G1396" t="str">
        <f t="shared" si="21"/>
        <v>0101S26S2628</v>
      </c>
    </row>
    <row r="1397" spans="3:7">
      <c r="C1397" t="s">
        <v>2794</v>
      </c>
      <c r="D1397" t="s">
        <v>1501</v>
      </c>
      <c r="E1397" t="s">
        <v>1498</v>
      </c>
      <c r="F1397">
        <v>2629</v>
      </c>
      <c r="G1397" t="str">
        <f t="shared" si="21"/>
        <v>0101R26K2629</v>
      </c>
    </row>
    <row r="1398" spans="3:7">
      <c r="C1398" t="s">
        <v>2795</v>
      </c>
      <c r="D1398" t="s">
        <v>1507</v>
      </c>
      <c r="E1398" t="s">
        <v>2901</v>
      </c>
      <c r="F1398">
        <v>2630</v>
      </c>
      <c r="G1398" t="str">
        <f t="shared" si="21"/>
        <v>0101T26B2630</v>
      </c>
    </row>
    <row r="1399" spans="3:7">
      <c r="C1399" t="s">
        <v>2796</v>
      </c>
      <c r="D1399" t="s">
        <v>1498</v>
      </c>
      <c r="E1399" t="s">
        <v>1505</v>
      </c>
      <c r="F1399">
        <v>2631</v>
      </c>
      <c r="G1399" t="str">
        <f t="shared" si="21"/>
        <v>0101K26J2631</v>
      </c>
    </row>
    <row r="1400" spans="3:7">
      <c r="C1400" t="s">
        <v>2797</v>
      </c>
      <c r="D1400" t="s">
        <v>1504</v>
      </c>
      <c r="E1400" t="s">
        <v>2906</v>
      </c>
      <c r="F1400">
        <v>2632</v>
      </c>
      <c r="G1400" t="str">
        <f t="shared" si="21"/>
        <v>0101P26G2632</v>
      </c>
    </row>
    <row r="1401" spans="3:7">
      <c r="C1401" t="s">
        <v>2798</v>
      </c>
      <c r="D1401" t="s">
        <v>1509</v>
      </c>
      <c r="E1401" t="s">
        <v>1504</v>
      </c>
      <c r="F1401">
        <v>2633</v>
      </c>
      <c r="G1401" t="str">
        <f t="shared" si="21"/>
        <v>0101H26P2633</v>
      </c>
    </row>
    <row r="1402" spans="3:7">
      <c r="C1402" t="s">
        <v>2799</v>
      </c>
      <c r="D1402" t="s">
        <v>1497</v>
      </c>
      <c r="E1402" t="s">
        <v>1500</v>
      </c>
      <c r="F1402">
        <v>2634</v>
      </c>
      <c r="G1402" t="str">
        <f t="shared" si="21"/>
        <v>0101A26S2634</v>
      </c>
    </row>
    <row r="1403" spans="3:7">
      <c r="C1403" t="s">
        <v>2800</v>
      </c>
      <c r="D1403" t="s">
        <v>1509</v>
      </c>
      <c r="E1403" t="s">
        <v>1497</v>
      </c>
      <c r="F1403">
        <v>2635</v>
      </c>
      <c r="G1403" t="str">
        <f t="shared" si="21"/>
        <v>0101H26A2635</v>
      </c>
    </row>
    <row r="1404" spans="3:7">
      <c r="C1404" t="s">
        <v>2551</v>
      </c>
      <c r="D1404" t="s">
        <v>1506</v>
      </c>
      <c r="E1404" t="s">
        <v>1497</v>
      </c>
      <c r="F1404">
        <v>2636</v>
      </c>
      <c r="G1404" t="str">
        <f t="shared" si="21"/>
        <v>0101N26A2636</v>
      </c>
    </row>
    <row r="1405" spans="3:7">
      <c r="C1405" t="s">
        <v>2801</v>
      </c>
      <c r="D1405" t="s">
        <v>1500</v>
      </c>
      <c r="E1405" t="s">
        <v>1497</v>
      </c>
      <c r="F1405">
        <v>2637</v>
      </c>
      <c r="G1405" t="str">
        <f t="shared" si="21"/>
        <v>0101S26A2637</v>
      </c>
    </row>
    <row r="1406" spans="3:7">
      <c r="C1406" t="s">
        <v>2802</v>
      </c>
      <c r="D1406" t="s">
        <v>1509</v>
      </c>
      <c r="E1406" t="s">
        <v>1509</v>
      </c>
      <c r="F1406">
        <v>2638</v>
      </c>
      <c r="G1406" t="str">
        <f t="shared" si="21"/>
        <v>0101H26H2638</v>
      </c>
    </row>
    <row r="1407" spans="3:7">
      <c r="C1407" t="s">
        <v>2803</v>
      </c>
      <c r="D1407" t="s">
        <v>1508</v>
      </c>
      <c r="E1407" t="s">
        <v>1508</v>
      </c>
      <c r="F1407">
        <v>2639</v>
      </c>
      <c r="G1407" t="str">
        <f t="shared" si="21"/>
        <v>0101M26M2639</v>
      </c>
    </row>
    <row r="1408" spans="3:7">
      <c r="C1408" t="s">
        <v>2804</v>
      </c>
      <c r="D1408" t="s">
        <v>1505</v>
      </c>
      <c r="E1408" t="s">
        <v>1506</v>
      </c>
      <c r="F1408">
        <v>2640</v>
      </c>
      <c r="G1408" t="str">
        <f t="shared" si="21"/>
        <v>0101J26N2640</v>
      </c>
    </row>
    <row r="1409" spans="3:7">
      <c r="C1409" t="s">
        <v>2805</v>
      </c>
      <c r="D1409" t="s">
        <v>1504</v>
      </c>
      <c r="E1409" t="s">
        <v>1508</v>
      </c>
      <c r="F1409">
        <v>2641</v>
      </c>
      <c r="G1409" t="str">
        <f t="shared" si="21"/>
        <v>0101P26M2641</v>
      </c>
    </row>
    <row r="1410" spans="3:7">
      <c r="C1410" t="s">
        <v>2806</v>
      </c>
      <c r="D1410" t="s">
        <v>1497</v>
      </c>
      <c r="E1410" t="s">
        <v>1503</v>
      </c>
      <c r="F1410">
        <v>2642</v>
      </c>
      <c r="G1410" t="str">
        <f t="shared" si="21"/>
        <v>0101A26I2642</v>
      </c>
    </row>
    <row r="1411" spans="3:7">
      <c r="C1411" t="s">
        <v>2807</v>
      </c>
      <c r="D1411" t="s">
        <v>1497</v>
      </c>
      <c r="E1411" t="s">
        <v>1501</v>
      </c>
      <c r="F1411">
        <v>2643</v>
      </c>
      <c r="G1411" t="str">
        <f t="shared" ref="G1411:G1474" si="22">_xlfn.CONCAT("0101",D1411,"26",E1411,F1411)</f>
        <v>0101A26R2643</v>
      </c>
    </row>
    <row r="1412" spans="3:7">
      <c r="C1412" t="s">
        <v>1401</v>
      </c>
      <c r="D1412" t="s">
        <v>1501</v>
      </c>
      <c r="E1412" t="s">
        <v>1499</v>
      </c>
      <c r="F1412">
        <v>2644</v>
      </c>
      <c r="G1412" t="str">
        <f t="shared" si="22"/>
        <v>0101R26C2644</v>
      </c>
    </row>
    <row r="1413" spans="3:7">
      <c r="C1413" t="s">
        <v>2808</v>
      </c>
      <c r="D1413" t="s">
        <v>1501</v>
      </c>
      <c r="E1413" t="s">
        <v>1500</v>
      </c>
      <c r="F1413">
        <v>2645</v>
      </c>
      <c r="G1413" t="str">
        <f t="shared" si="22"/>
        <v>0101R26S2645</v>
      </c>
    </row>
    <row r="1414" spans="3:7">
      <c r="C1414" t="s">
        <v>2517</v>
      </c>
      <c r="D1414" t="s">
        <v>2906</v>
      </c>
      <c r="E1414" t="s">
        <v>1498</v>
      </c>
      <c r="F1414">
        <v>2646</v>
      </c>
      <c r="G1414" t="str">
        <f t="shared" si="22"/>
        <v>0101G26K2646</v>
      </c>
    </row>
    <row r="1415" spans="3:7">
      <c r="C1415" t="s">
        <v>1403</v>
      </c>
      <c r="D1415" t="s">
        <v>1500</v>
      </c>
      <c r="E1415" t="s">
        <v>1503</v>
      </c>
      <c r="F1415">
        <v>2647</v>
      </c>
      <c r="G1415" t="str">
        <f t="shared" si="22"/>
        <v>0101S26I2647</v>
      </c>
    </row>
    <row r="1416" spans="3:7">
      <c r="C1416" t="s">
        <v>2809</v>
      </c>
      <c r="D1416" t="s">
        <v>1504</v>
      </c>
      <c r="E1416" t="s">
        <v>1508</v>
      </c>
      <c r="F1416">
        <v>2648</v>
      </c>
      <c r="G1416" t="str">
        <f t="shared" si="22"/>
        <v>0101P26M2648</v>
      </c>
    </row>
    <row r="1417" spans="3:7">
      <c r="C1417" t="s">
        <v>2810</v>
      </c>
      <c r="D1417" t="s">
        <v>1503</v>
      </c>
      <c r="E1417" t="s">
        <v>1498</v>
      </c>
      <c r="F1417">
        <v>2649</v>
      </c>
      <c r="G1417" t="str">
        <f t="shared" si="22"/>
        <v>0101I26K2649</v>
      </c>
    </row>
    <row r="1418" spans="3:7">
      <c r="C1418" t="s">
        <v>2811</v>
      </c>
      <c r="D1418" t="s">
        <v>1501</v>
      </c>
      <c r="E1418" t="s">
        <v>2906</v>
      </c>
      <c r="F1418">
        <v>2650</v>
      </c>
      <c r="G1418" t="str">
        <f t="shared" si="22"/>
        <v>0101R26G2650</v>
      </c>
    </row>
    <row r="1419" spans="3:7">
      <c r="C1419" t="s">
        <v>2812</v>
      </c>
      <c r="D1419" t="s">
        <v>1497</v>
      </c>
      <c r="E1419" t="s">
        <v>1497</v>
      </c>
      <c r="F1419">
        <v>2651</v>
      </c>
      <c r="G1419" t="str">
        <f t="shared" si="22"/>
        <v>0101A26A2651</v>
      </c>
    </row>
    <row r="1420" spans="3:7">
      <c r="C1420" t="s">
        <v>1408</v>
      </c>
      <c r="D1420" t="s">
        <v>1504</v>
      </c>
      <c r="E1420" t="s">
        <v>1497</v>
      </c>
      <c r="F1420">
        <v>2652</v>
      </c>
      <c r="G1420" t="str">
        <f t="shared" si="22"/>
        <v>0101P26A2652</v>
      </c>
    </row>
    <row r="1421" spans="3:7">
      <c r="C1421" t="s">
        <v>2813</v>
      </c>
      <c r="D1421" t="s">
        <v>1497</v>
      </c>
      <c r="E1421" t="s">
        <v>1505</v>
      </c>
      <c r="F1421">
        <v>2653</v>
      </c>
      <c r="G1421" t="str">
        <f t="shared" si="22"/>
        <v>0101A26J2653</v>
      </c>
    </row>
    <row r="1422" spans="3:7">
      <c r="C1422" t="s">
        <v>2814</v>
      </c>
      <c r="D1422" t="s">
        <v>1507</v>
      </c>
      <c r="E1422" t="s">
        <v>2901</v>
      </c>
      <c r="F1422">
        <v>2654</v>
      </c>
      <c r="G1422" t="str">
        <f t="shared" si="22"/>
        <v>0101T26B2654</v>
      </c>
    </row>
    <row r="1423" spans="3:7">
      <c r="C1423" t="s">
        <v>2815</v>
      </c>
      <c r="D1423" t="s">
        <v>1497</v>
      </c>
      <c r="E1423" t="s">
        <v>1498</v>
      </c>
      <c r="F1423">
        <v>2655</v>
      </c>
      <c r="G1423" t="str">
        <f t="shared" si="22"/>
        <v>0101A26K2655</v>
      </c>
    </row>
    <row r="1424" spans="3:7">
      <c r="C1424" t="s">
        <v>2816</v>
      </c>
      <c r="D1424" t="s">
        <v>1497</v>
      </c>
      <c r="E1424" t="s">
        <v>1500</v>
      </c>
      <c r="F1424">
        <v>2656</v>
      </c>
      <c r="G1424" t="str">
        <f t="shared" si="22"/>
        <v>0101A26S2656</v>
      </c>
    </row>
    <row r="1425" spans="3:7">
      <c r="C1425" t="s">
        <v>2817</v>
      </c>
      <c r="D1425" t="s">
        <v>1497</v>
      </c>
      <c r="E1425" t="s">
        <v>2901</v>
      </c>
      <c r="F1425">
        <v>2657</v>
      </c>
      <c r="G1425" t="str">
        <f t="shared" si="22"/>
        <v>0101A26B2657</v>
      </c>
    </row>
    <row r="1426" spans="3:7">
      <c r="C1426" t="s">
        <v>2818</v>
      </c>
      <c r="D1426" t="s">
        <v>1508</v>
      </c>
      <c r="E1426" t="s">
        <v>1499</v>
      </c>
      <c r="F1426">
        <v>2658</v>
      </c>
      <c r="G1426" t="str">
        <f t="shared" si="22"/>
        <v>0101M26C2658</v>
      </c>
    </row>
    <row r="1427" spans="3:7">
      <c r="C1427" t="s">
        <v>2819</v>
      </c>
      <c r="D1427" t="s">
        <v>1500</v>
      </c>
      <c r="E1427" t="s">
        <v>1500</v>
      </c>
      <c r="F1427">
        <v>2659</v>
      </c>
      <c r="G1427" t="str">
        <f t="shared" si="22"/>
        <v>0101S26S2659</v>
      </c>
    </row>
    <row r="1428" spans="3:7">
      <c r="C1428" t="s">
        <v>2820</v>
      </c>
      <c r="D1428" t="s">
        <v>1498</v>
      </c>
      <c r="E1428" t="s">
        <v>2906</v>
      </c>
      <c r="F1428">
        <v>2660</v>
      </c>
      <c r="G1428" t="str">
        <f t="shared" si="22"/>
        <v>0101K26G2660</v>
      </c>
    </row>
    <row r="1429" spans="3:7">
      <c r="C1429" t="s">
        <v>2821</v>
      </c>
      <c r="D1429" t="s">
        <v>1502</v>
      </c>
      <c r="E1429" t="s">
        <v>1504</v>
      </c>
      <c r="F1429">
        <v>2661</v>
      </c>
      <c r="G1429" t="str">
        <f t="shared" si="22"/>
        <v>0101D26P2661</v>
      </c>
    </row>
    <row r="1430" spans="3:7">
      <c r="C1430" t="s">
        <v>2822</v>
      </c>
      <c r="D1430" t="s">
        <v>1501</v>
      </c>
      <c r="E1430" t="s">
        <v>2906</v>
      </c>
      <c r="F1430">
        <v>2662</v>
      </c>
      <c r="G1430" t="str">
        <f t="shared" si="22"/>
        <v>0101R26G2662</v>
      </c>
    </row>
    <row r="1431" spans="3:7">
      <c r="C1431" t="s">
        <v>2823</v>
      </c>
      <c r="D1431" t="s">
        <v>1501</v>
      </c>
      <c r="E1431" t="s">
        <v>1500</v>
      </c>
      <c r="F1431">
        <v>2663</v>
      </c>
      <c r="G1431" t="str">
        <f t="shared" si="22"/>
        <v>0101R26S2663</v>
      </c>
    </row>
    <row r="1432" spans="3:7">
      <c r="C1432" t="s">
        <v>2824</v>
      </c>
      <c r="D1432" t="s">
        <v>1498</v>
      </c>
      <c r="E1432" t="s">
        <v>1498</v>
      </c>
      <c r="F1432">
        <v>2664</v>
      </c>
      <c r="G1432" t="str">
        <f t="shared" si="22"/>
        <v>0101K26K2664</v>
      </c>
    </row>
    <row r="1433" spans="3:7">
      <c r="C1433" t="s">
        <v>2825</v>
      </c>
      <c r="D1433" t="s">
        <v>1500</v>
      </c>
      <c r="E1433" t="s">
        <v>1508</v>
      </c>
      <c r="F1433">
        <v>2665</v>
      </c>
      <c r="G1433" t="str">
        <f t="shared" si="22"/>
        <v>0101S26M2665</v>
      </c>
    </row>
    <row r="1434" spans="3:7">
      <c r="C1434" t="s">
        <v>2826</v>
      </c>
      <c r="D1434" t="s">
        <v>1501</v>
      </c>
      <c r="E1434" t="s">
        <v>1508</v>
      </c>
      <c r="F1434">
        <v>2666</v>
      </c>
      <c r="G1434" t="str">
        <f t="shared" si="22"/>
        <v>0101R26M2666</v>
      </c>
    </row>
    <row r="1435" spans="3:7">
      <c r="C1435" t="s">
        <v>2827</v>
      </c>
      <c r="D1435" t="s">
        <v>1507</v>
      </c>
      <c r="E1435" t="s">
        <v>2899</v>
      </c>
      <c r="F1435">
        <v>2667</v>
      </c>
      <c r="G1435" t="str">
        <f t="shared" si="22"/>
        <v>0101T26V2667</v>
      </c>
    </row>
    <row r="1436" spans="3:7">
      <c r="C1436" t="s">
        <v>2828</v>
      </c>
      <c r="D1436" t="s">
        <v>1507</v>
      </c>
      <c r="E1436" t="s">
        <v>2906</v>
      </c>
      <c r="F1436">
        <v>2668</v>
      </c>
      <c r="G1436" t="str">
        <f t="shared" si="22"/>
        <v>0101T26G2668</v>
      </c>
    </row>
    <row r="1437" spans="3:7">
      <c r="C1437" t="s">
        <v>2829</v>
      </c>
      <c r="D1437" t="s">
        <v>1497</v>
      </c>
      <c r="E1437" t="s">
        <v>2906</v>
      </c>
      <c r="F1437">
        <v>2669</v>
      </c>
      <c r="G1437" t="str">
        <f t="shared" si="22"/>
        <v>0101A26G2669</v>
      </c>
    </row>
    <row r="1438" spans="3:7">
      <c r="C1438" t="s">
        <v>2830</v>
      </c>
      <c r="D1438" t="s">
        <v>1500</v>
      </c>
      <c r="E1438" t="s">
        <v>1508</v>
      </c>
      <c r="F1438">
        <v>2670</v>
      </c>
      <c r="G1438" t="str">
        <f t="shared" si="22"/>
        <v>0101S26M2670</v>
      </c>
    </row>
    <row r="1439" spans="3:7">
      <c r="C1439" t="s">
        <v>2831</v>
      </c>
      <c r="D1439" t="s">
        <v>1504</v>
      </c>
      <c r="E1439" t="s">
        <v>1498</v>
      </c>
      <c r="F1439">
        <v>2671</v>
      </c>
      <c r="G1439" t="str">
        <f t="shared" si="22"/>
        <v>0101P26K2671</v>
      </c>
    </row>
    <row r="1440" spans="3:7">
      <c r="C1440" t="s">
        <v>2832</v>
      </c>
      <c r="D1440" t="s">
        <v>2901</v>
      </c>
      <c r="E1440" t="s">
        <v>1498</v>
      </c>
      <c r="F1440">
        <v>2672</v>
      </c>
      <c r="G1440" t="str">
        <f t="shared" si="22"/>
        <v>0101B26K2672</v>
      </c>
    </row>
    <row r="1441" spans="3:7">
      <c r="C1441" t="s">
        <v>2833</v>
      </c>
      <c r="D1441" t="s">
        <v>1502</v>
      </c>
      <c r="E1441" t="s">
        <v>1502</v>
      </c>
      <c r="F1441">
        <v>2673</v>
      </c>
      <c r="G1441" t="str">
        <f t="shared" si="22"/>
        <v>0101D26D2673</v>
      </c>
    </row>
    <row r="1442" spans="3:7">
      <c r="C1442" t="s">
        <v>2834</v>
      </c>
      <c r="D1442" t="s">
        <v>2906</v>
      </c>
      <c r="E1442" t="s">
        <v>1500</v>
      </c>
      <c r="F1442">
        <v>2674</v>
      </c>
      <c r="G1442" t="str">
        <f t="shared" si="22"/>
        <v>0101G26S2674</v>
      </c>
    </row>
    <row r="1443" spans="3:7">
      <c r="C1443" t="s">
        <v>2835</v>
      </c>
      <c r="D1443" t="s">
        <v>1508</v>
      </c>
      <c r="E1443" t="s">
        <v>1498</v>
      </c>
      <c r="F1443">
        <v>2675</v>
      </c>
      <c r="G1443" t="str">
        <f t="shared" si="22"/>
        <v>0101M26K2675</v>
      </c>
    </row>
    <row r="1444" spans="3:7">
      <c r="C1444" t="s">
        <v>2836</v>
      </c>
      <c r="D1444" t="s">
        <v>1497</v>
      </c>
      <c r="E1444" t="s">
        <v>1505</v>
      </c>
      <c r="F1444">
        <v>2676</v>
      </c>
      <c r="G1444" t="str">
        <f t="shared" si="22"/>
        <v>0101A26J2676</v>
      </c>
    </row>
    <row r="1445" spans="3:7">
      <c r="C1445" t="s">
        <v>2837</v>
      </c>
      <c r="D1445" t="s">
        <v>2901</v>
      </c>
      <c r="E1445" t="s">
        <v>1505</v>
      </c>
      <c r="F1445">
        <v>2677</v>
      </c>
      <c r="G1445" t="str">
        <f t="shared" si="22"/>
        <v>0101B26J2677</v>
      </c>
    </row>
    <row r="1446" spans="3:7">
      <c r="C1446" t="s">
        <v>2838</v>
      </c>
      <c r="D1446" t="s">
        <v>1500</v>
      </c>
      <c r="E1446" t="s">
        <v>1497</v>
      </c>
      <c r="F1446">
        <v>2678</v>
      </c>
      <c r="G1446" t="str">
        <f t="shared" si="22"/>
        <v>0101S26A2678</v>
      </c>
    </row>
    <row r="1447" spans="3:7">
      <c r="C1447" t="s">
        <v>2839</v>
      </c>
      <c r="D1447" t="s">
        <v>1500</v>
      </c>
      <c r="E1447" t="s">
        <v>1507</v>
      </c>
      <c r="F1447">
        <v>2679</v>
      </c>
      <c r="G1447" t="str">
        <f t="shared" si="22"/>
        <v>0101S26T2679</v>
      </c>
    </row>
    <row r="1448" spans="3:7">
      <c r="C1448" t="s">
        <v>2840</v>
      </c>
      <c r="D1448" t="s">
        <v>1504</v>
      </c>
      <c r="E1448" t="s">
        <v>1501</v>
      </c>
      <c r="F1448">
        <v>2680</v>
      </c>
      <c r="G1448" t="str">
        <f t="shared" si="22"/>
        <v>0101P26R2680</v>
      </c>
    </row>
    <row r="1449" spans="3:7">
      <c r="C1449" t="s">
        <v>2841</v>
      </c>
      <c r="D1449" t="s">
        <v>1501</v>
      </c>
      <c r="E1449" t="s">
        <v>2901</v>
      </c>
      <c r="F1449">
        <v>2681</v>
      </c>
      <c r="G1449" t="str">
        <f t="shared" si="22"/>
        <v>0101R26B2681</v>
      </c>
    </row>
    <row r="1450" spans="3:7">
      <c r="C1450" t="s">
        <v>2842</v>
      </c>
      <c r="D1450" t="s">
        <v>1508</v>
      </c>
      <c r="E1450" t="s">
        <v>1498</v>
      </c>
      <c r="F1450">
        <v>2682</v>
      </c>
      <c r="G1450" t="str">
        <f t="shared" si="22"/>
        <v>0101M26K2682</v>
      </c>
    </row>
    <row r="1451" spans="3:7">
      <c r="C1451" t="s">
        <v>2843</v>
      </c>
      <c r="D1451" t="s">
        <v>1498</v>
      </c>
      <c r="E1451" t="s">
        <v>1497</v>
      </c>
      <c r="F1451">
        <v>2683</v>
      </c>
      <c r="G1451" t="str">
        <f t="shared" si="22"/>
        <v>0101K26A2683</v>
      </c>
    </row>
    <row r="1452" spans="3:7">
      <c r="C1452" t="s">
        <v>2844</v>
      </c>
      <c r="D1452" t="s">
        <v>1501</v>
      </c>
      <c r="E1452" t="s">
        <v>1497</v>
      </c>
      <c r="F1452">
        <v>2684</v>
      </c>
      <c r="G1452" t="str">
        <f t="shared" si="22"/>
        <v>0101R26A2684</v>
      </c>
    </row>
    <row r="1453" spans="3:7">
      <c r="C1453" t="s">
        <v>1441</v>
      </c>
      <c r="D1453" t="s">
        <v>1508</v>
      </c>
      <c r="E1453" t="s">
        <v>1500</v>
      </c>
      <c r="F1453">
        <v>2685</v>
      </c>
      <c r="G1453" t="str">
        <f t="shared" si="22"/>
        <v>0101M26S2685</v>
      </c>
    </row>
    <row r="1454" spans="3:7">
      <c r="C1454" t="s">
        <v>2845</v>
      </c>
      <c r="D1454" t="s">
        <v>2902</v>
      </c>
      <c r="E1454" t="s">
        <v>1498</v>
      </c>
      <c r="F1454">
        <v>2686</v>
      </c>
      <c r="G1454" t="str">
        <f t="shared" si="22"/>
        <v>0101E26K2686</v>
      </c>
    </row>
    <row r="1455" spans="3:7">
      <c r="C1455" t="s">
        <v>1443</v>
      </c>
      <c r="D1455" t="s">
        <v>1500</v>
      </c>
      <c r="E1455" t="s">
        <v>2899</v>
      </c>
      <c r="F1455">
        <v>2687</v>
      </c>
      <c r="G1455" t="str">
        <f t="shared" si="22"/>
        <v>0101S26V2687</v>
      </c>
    </row>
    <row r="1456" spans="3:7">
      <c r="C1456" t="s">
        <v>2846</v>
      </c>
      <c r="D1456" t="s">
        <v>1507</v>
      </c>
      <c r="E1456" t="s">
        <v>1501</v>
      </c>
      <c r="F1456">
        <v>2688</v>
      </c>
      <c r="G1456" t="str">
        <f t="shared" si="22"/>
        <v>0101T26R2688</v>
      </c>
    </row>
    <row r="1457" spans="3:7">
      <c r="C1457" t="s">
        <v>2847</v>
      </c>
      <c r="D1457" t="s">
        <v>1497</v>
      </c>
      <c r="E1457" t="s">
        <v>1508</v>
      </c>
      <c r="F1457">
        <v>2689</v>
      </c>
      <c r="G1457" t="str">
        <f t="shared" si="22"/>
        <v>0101A26M2689</v>
      </c>
    </row>
    <row r="1458" spans="3:7">
      <c r="C1458" t="s">
        <v>2848</v>
      </c>
      <c r="D1458" t="s">
        <v>1497</v>
      </c>
      <c r="E1458" t="s">
        <v>2901</v>
      </c>
      <c r="F1458">
        <v>2690</v>
      </c>
      <c r="G1458" t="str">
        <f t="shared" si="22"/>
        <v>0101A26B2690</v>
      </c>
    </row>
    <row r="1459" spans="3:7">
      <c r="C1459" t="s">
        <v>2849</v>
      </c>
      <c r="D1459" t="s">
        <v>1497</v>
      </c>
      <c r="E1459" t="s">
        <v>1497</v>
      </c>
      <c r="F1459">
        <v>2691</v>
      </c>
      <c r="G1459" t="str">
        <f t="shared" si="22"/>
        <v>0101A26A2691</v>
      </c>
    </row>
    <row r="1460" spans="3:7">
      <c r="C1460" t="s">
        <v>2850</v>
      </c>
      <c r="D1460" t="s">
        <v>1504</v>
      </c>
      <c r="E1460" t="s">
        <v>1508</v>
      </c>
      <c r="F1460">
        <v>2692</v>
      </c>
      <c r="G1460" t="str">
        <f t="shared" si="22"/>
        <v>0101P26M2692</v>
      </c>
    </row>
    <row r="1461" spans="3:7">
      <c r="C1461" t="s">
        <v>2851</v>
      </c>
      <c r="D1461" t="s">
        <v>1502</v>
      </c>
      <c r="E1461" t="s">
        <v>1509</v>
      </c>
      <c r="F1461">
        <v>2693</v>
      </c>
      <c r="G1461" t="str">
        <f t="shared" si="22"/>
        <v>0101D26H2693</v>
      </c>
    </row>
    <row r="1462" spans="3:7">
      <c r="C1462" t="s">
        <v>2852</v>
      </c>
      <c r="D1462" t="s">
        <v>2898</v>
      </c>
      <c r="E1462" t="s">
        <v>1509</v>
      </c>
      <c r="F1462">
        <v>2694</v>
      </c>
      <c r="G1462" t="str">
        <f t="shared" si="22"/>
        <v>0101U26H2694</v>
      </c>
    </row>
    <row r="1463" spans="3:7">
      <c r="C1463" t="s">
        <v>1451</v>
      </c>
      <c r="D1463" t="s">
        <v>1497</v>
      </c>
      <c r="E1463" t="s">
        <v>1497</v>
      </c>
      <c r="F1463">
        <v>2695</v>
      </c>
      <c r="G1463" t="str">
        <f t="shared" si="22"/>
        <v>0101A26A2695</v>
      </c>
    </row>
    <row r="1464" spans="3:7">
      <c r="C1464" t="s">
        <v>2853</v>
      </c>
      <c r="D1464" t="s">
        <v>1508</v>
      </c>
      <c r="E1464" t="s">
        <v>2901</v>
      </c>
      <c r="F1464">
        <v>2696</v>
      </c>
      <c r="G1464" t="str">
        <f t="shared" si="22"/>
        <v>0101M26B2696</v>
      </c>
    </row>
    <row r="1465" spans="3:7">
      <c r="C1465" t="s">
        <v>2854</v>
      </c>
      <c r="D1465" t="s">
        <v>2899</v>
      </c>
      <c r="E1465" t="s">
        <v>1497</v>
      </c>
      <c r="F1465">
        <v>2697</v>
      </c>
      <c r="G1465" t="str">
        <f t="shared" si="22"/>
        <v>0101V26A2697</v>
      </c>
    </row>
    <row r="1466" spans="3:7">
      <c r="C1466" t="s">
        <v>2855</v>
      </c>
      <c r="D1466" t="s">
        <v>1500</v>
      </c>
      <c r="E1466" t="s">
        <v>1497</v>
      </c>
      <c r="F1466">
        <v>2698</v>
      </c>
      <c r="G1466" t="str">
        <f t="shared" si="22"/>
        <v>0101S26A2698</v>
      </c>
    </row>
    <row r="1467" spans="3:7">
      <c r="C1467" t="s">
        <v>2856</v>
      </c>
      <c r="D1467" t="s">
        <v>2899</v>
      </c>
      <c r="E1467" t="s">
        <v>1497</v>
      </c>
      <c r="F1467">
        <v>2699</v>
      </c>
      <c r="G1467" t="str">
        <f t="shared" si="22"/>
        <v>0101V26A2699</v>
      </c>
    </row>
    <row r="1468" spans="3:7">
      <c r="C1468" t="s">
        <v>2857</v>
      </c>
      <c r="D1468" t="s">
        <v>1500</v>
      </c>
      <c r="E1468" t="s">
        <v>1505</v>
      </c>
      <c r="F1468">
        <v>2700</v>
      </c>
      <c r="G1468" t="str">
        <f t="shared" si="22"/>
        <v>0101S26J2700</v>
      </c>
    </row>
    <row r="1469" spans="3:7">
      <c r="C1469" t="s">
        <v>2858</v>
      </c>
      <c r="D1469" t="s">
        <v>2907</v>
      </c>
      <c r="E1469" t="s">
        <v>1500</v>
      </c>
      <c r="F1469">
        <v>2701</v>
      </c>
      <c r="G1469" t="str">
        <f t="shared" si="22"/>
        <v>0101Y26S2701</v>
      </c>
    </row>
    <row r="1470" spans="3:7">
      <c r="C1470" t="s">
        <v>2859</v>
      </c>
      <c r="D1470" t="s">
        <v>1497</v>
      </c>
      <c r="E1470" t="s">
        <v>1504</v>
      </c>
      <c r="F1470">
        <v>2702</v>
      </c>
      <c r="G1470" t="str">
        <f t="shared" si="22"/>
        <v>0101A26P2702</v>
      </c>
    </row>
    <row r="1471" spans="3:7">
      <c r="C1471" t="s">
        <v>2860</v>
      </c>
      <c r="D1471" t="s">
        <v>1505</v>
      </c>
      <c r="E1471" t="s">
        <v>1499</v>
      </c>
      <c r="F1471">
        <v>2703</v>
      </c>
      <c r="G1471" t="str">
        <f t="shared" si="22"/>
        <v>0101J26C2703</v>
      </c>
    </row>
    <row r="1472" spans="3:7">
      <c r="C1472" t="s">
        <v>2861</v>
      </c>
      <c r="D1472" t="s">
        <v>1497</v>
      </c>
      <c r="E1472" t="s">
        <v>1498</v>
      </c>
      <c r="F1472">
        <v>2704</v>
      </c>
      <c r="G1472" t="str">
        <f t="shared" si="22"/>
        <v>0101A26K2704</v>
      </c>
    </row>
    <row r="1473" spans="3:7">
      <c r="C1473" t="s">
        <v>2862</v>
      </c>
      <c r="D1473" t="s">
        <v>1501</v>
      </c>
      <c r="E1473" t="s">
        <v>1508</v>
      </c>
      <c r="F1473">
        <v>2705</v>
      </c>
      <c r="G1473" t="str">
        <f t="shared" si="22"/>
        <v>0101R26M2705</v>
      </c>
    </row>
    <row r="1474" spans="3:7">
      <c r="C1474" t="s">
        <v>2863</v>
      </c>
      <c r="D1474" t="s">
        <v>1504</v>
      </c>
      <c r="E1474" t="s">
        <v>1502</v>
      </c>
      <c r="F1474">
        <v>2706</v>
      </c>
      <c r="G1474" t="str">
        <f t="shared" si="22"/>
        <v>0101P26D2706</v>
      </c>
    </row>
    <row r="1475" spans="3:7">
      <c r="C1475" t="s">
        <v>2864</v>
      </c>
      <c r="D1475" t="s">
        <v>1497</v>
      </c>
      <c r="E1475" t="s">
        <v>1502</v>
      </c>
      <c r="F1475">
        <v>2707</v>
      </c>
      <c r="G1475" t="str">
        <f t="shared" ref="G1475:G1508" si="23">_xlfn.CONCAT("0101",D1475,"26",E1475,F1475)</f>
        <v>0101A26D2707</v>
      </c>
    </row>
    <row r="1476" spans="3:7">
      <c r="C1476" t="s">
        <v>2865</v>
      </c>
      <c r="D1476" t="s">
        <v>2901</v>
      </c>
      <c r="E1476" t="s">
        <v>2906</v>
      </c>
      <c r="F1476">
        <v>2708</v>
      </c>
      <c r="G1476" t="str">
        <f t="shared" si="23"/>
        <v>0101B26G2708</v>
      </c>
    </row>
    <row r="1477" spans="3:7">
      <c r="C1477" t="s">
        <v>2866</v>
      </c>
      <c r="D1477" t="s">
        <v>1498</v>
      </c>
      <c r="E1477" t="s">
        <v>1502</v>
      </c>
      <c r="F1477">
        <v>2709</v>
      </c>
      <c r="G1477" t="str">
        <f t="shared" si="23"/>
        <v>0101K26D2709</v>
      </c>
    </row>
    <row r="1478" spans="3:7">
      <c r="C1478" t="s">
        <v>2867</v>
      </c>
      <c r="D1478" t="s">
        <v>1509</v>
      </c>
      <c r="E1478" t="s">
        <v>1508</v>
      </c>
      <c r="F1478">
        <v>2710</v>
      </c>
      <c r="G1478" t="str">
        <f t="shared" si="23"/>
        <v>0101H26M2710</v>
      </c>
    </row>
    <row r="1479" spans="3:7">
      <c r="C1479" t="s">
        <v>2868</v>
      </c>
      <c r="D1479" t="s">
        <v>1501</v>
      </c>
      <c r="E1479" t="s">
        <v>2906</v>
      </c>
      <c r="F1479">
        <v>2711</v>
      </c>
      <c r="G1479" t="str">
        <f t="shared" si="23"/>
        <v>0101R26G2711</v>
      </c>
    </row>
    <row r="1480" spans="3:7">
      <c r="C1480" t="s">
        <v>2869</v>
      </c>
      <c r="D1480" t="s">
        <v>1503</v>
      </c>
      <c r="E1480" t="s">
        <v>1500</v>
      </c>
      <c r="F1480">
        <v>2712</v>
      </c>
      <c r="G1480" t="str">
        <f t="shared" si="23"/>
        <v>0101I26S2712</v>
      </c>
    </row>
    <row r="1481" spans="3:7">
      <c r="C1481" t="s">
        <v>2870</v>
      </c>
      <c r="D1481" t="s">
        <v>1497</v>
      </c>
      <c r="E1481" t="s">
        <v>2904</v>
      </c>
      <c r="F1481">
        <v>2713</v>
      </c>
      <c r="G1481" t="str">
        <f t="shared" si="23"/>
        <v>0101A26L2713</v>
      </c>
    </row>
    <row r="1482" spans="3:7">
      <c r="C1482" t="s">
        <v>2871</v>
      </c>
      <c r="D1482" t="s">
        <v>1501</v>
      </c>
      <c r="E1482" t="s">
        <v>1508</v>
      </c>
      <c r="F1482">
        <v>2714</v>
      </c>
      <c r="G1482" t="str">
        <f t="shared" si="23"/>
        <v>0101R26M2714</v>
      </c>
    </row>
    <row r="1483" spans="3:7">
      <c r="C1483" t="s">
        <v>2872</v>
      </c>
      <c r="D1483" t="s">
        <v>1504</v>
      </c>
      <c r="E1483" t="s">
        <v>1505</v>
      </c>
      <c r="F1483">
        <v>2715</v>
      </c>
      <c r="G1483" t="str">
        <f t="shared" si="23"/>
        <v>0101P26J2715</v>
      </c>
    </row>
    <row r="1484" spans="3:7">
      <c r="C1484" t="s">
        <v>2873</v>
      </c>
      <c r="D1484" t="s">
        <v>2899</v>
      </c>
      <c r="E1484" t="s">
        <v>2899</v>
      </c>
      <c r="F1484">
        <v>2716</v>
      </c>
      <c r="G1484" t="str">
        <f t="shared" si="23"/>
        <v>0101V26V2716</v>
      </c>
    </row>
    <row r="1485" spans="3:7">
      <c r="C1485" t="s">
        <v>2874</v>
      </c>
      <c r="D1485" t="s">
        <v>1509</v>
      </c>
      <c r="E1485" t="s">
        <v>1500</v>
      </c>
      <c r="F1485">
        <v>2717</v>
      </c>
      <c r="G1485" t="str">
        <f t="shared" si="23"/>
        <v>0101H26S2717</v>
      </c>
    </row>
    <row r="1486" spans="3:7">
      <c r="C1486" t="s">
        <v>2875</v>
      </c>
      <c r="D1486" t="s">
        <v>1506</v>
      </c>
      <c r="E1486" t="s">
        <v>1506</v>
      </c>
      <c r="F1486">
        <v>2718</v>
      </c>
      <c r="G1486" t="str">
        <f t="shared" si="23"/>
        <v>0101N26N2718</v>
      </c>
    </row>
    <row r="1487" spans="3:7">
      <c r="C1487" t="s">
        <v>2876</v>
      </c>
      <c r="D1487" t="s">
        <v>1497</v>
      </c>
      <c r="E1487" t="s">
        <v>1507</v>
      </c>
      <c r="F1487">
        <v>2719</v>
      </c>
      <c r="G1487" t="str">
        <f t="shared" si="23"/>
        <v>0101A26T2719</v>
      </c>
    </row>
    <row r="1488" spans="3:7">
      <c r="C1488" t="s">
        <v>2877</v>
      </c>
      <c r="D1488" t="s">
        <v>1501</v>
      </c>
      <c r="E1488" t="s">
        <v>1497</v>
      </c>
      <c r="F1488">
        <v>2720</v>
      </c>
      <c r="G1488" t="str">
        <f t="shared" si="23"/>
        <v>0101R26A2720</v>
      </c>
    </row>
    <row r="1489" spans="3:7">
      <c r="C1489" t="s">
        <v>2878</v>
      </c>
      <c r="D1489" t="s">
        <v>1500</v>
      </c>
      <c r="E1489" t="s">
        <v>1505</v>
      </c>
      <c r="F1489">
        <v>2721</v>
      </c>
      <c r="G1489" t="str">
        <f t="shared" si="23"/>
        <v>0101S26J2721</v>
      </c>
    </row>
    <row r="1490" spans="3:7">
      <c r="C1490" t="s">
        <v>2879</v>
      </c>
      <c r="D1490" t="s">
        <v>1500</v>
      </c>
      <c r="E1490" t="s">
        <v>1505</v>
      </c>
      <c r="F1490">
        <v>2722</v>
      </c>
      <c r="G1490" t="str">
        <f t="shared" si="23"/>
        <v>0101S26J2722</v>
      </c>
    </row>
    <row r="1491" spans="3:7">
      <c r="C1491" t="s">
        <v>2880</v>
      </c>
      <c r="D1491" t="s">
        <v>1497</v>
      </c>
      <c r="E1491" t="s">
        <v>2898</v>
      </c>
      <c r="F1491">
        <v>2723</v>
      </c>
      <c r="G1491" t="str">
        <f t="shared" si="23"/>
        <v>0101A26U2723</v>
      </c>
    </row>
    <row r="1492" spans="3:7">
      <c r="C1492" t="s">
        <v>2881</v>
      </c>
      <c r="D1492" t="s">
        <v>1497</v>
      </c>
      <c r="E1492" t="s">
        <v>1500</v>
      </c>
      <c r="F1492">
        <v>2724</v>
      </c>
      <c r="G1492" t="str">
        <f t="shared" si="23"/>
        <v>0101A26S2724</v>
      </c>
    </row>
    <row r="1493" spans="3:7">
      <c r="C1493" t="s">
        <v>2882</v>
      </c>
      <c r="D1493" t="s">
        <v>2907</v>
      </c>
      <c r="E1493" t="s">
        <v>1508</v>
      </c>
      <c r="F1493">
        <v>2725</v>
      </c>
      <c r="G1493" t="str">
        <f t="shared" si="23"/>
        <v>0101Y26M2725</v>
      </c>
    </row>
    <row r="1494" spans="3:7">
      <c r="C1494" t="s">
        <v>2883</v>
      </c>
      <c r="D1494" t="s">
        <v>1506</v>
      </c>
      <c r="E1494" t="s">
        <v>1497</v>
      </c>
      <c r="F1494">
        <v>2726</v>
      </c>
      <c r="G1494" t="str">
        <f t="shared" si="23"/>
        <v>0101N26A2726</v>
      </c>
    </row>
    <row r="1495" spans="3:7">
      <c r="C1495" t="s">
        <v>2884</v>
      </c>
      <c r="D1495" t="s">
        <v>1497</v>
      </c>
      <c r="E1495" t="s">
        <v>1500</v>
      </c>
      <c r="F1495">
        <v>2727</v>
      </c>
      <c r="G1495" t="str">
        <f t="shared" si="23"/>
        <v>0101A26S2727</v>
      </c>
    </row>
    <row r="1496" spans="3:7">
      <c r="C1496" t="s">
        <v>2885</v>
      </c>
      <c r="D1496" t="s">
        <v>1500</v>
      </c>
      <c r="E1496" t="s">
        <v>1500</v>
      </c>
      <c r="F1496">
        <v>2728</v>
      </c>
      <c r="G1496" t="str">
        <f t="shared" si="23"/>
        <v>0101S26S2728</v>
      </c>
    </row>
    <row r="1497" spans="3:7">
      <c r="C1497" t="s">
        <v>2886</v>
      </c>
      <c r="D1497" t="s">
        <v>1500</v>
      </c>
      <c r="E1497" t="s">
        <v>1502</v>
      </c>
      <c r="F1497">
        <v>2729</v>
      </c>
      <c r="G1497" t="str">
        <f t="shared" si="23"/>
        <v>0101S26D2729</v>
      </c>
    </row>
    <row r="1498" spans="3:7">
      <c r="C1498" t="s">
        <v>2887</v>
      </c>
      <c r="D1498" t="s">
        <v>1497</v>
      </c>
      <c r="E1498" t="s">
        <v>1505</v>
      </c>
      <c r="F1498">
        <v>2730</v>
      </c>
      <c r="G1498" t="str">
        <f t="shared" si="23"/>
        <v>0101A26J2730</v>
      </c>
    </row>
    <row r="1499" spans="3:7">
      <c r="C1499" t="s">
        <v>2888</v>
      </c>
      <c r="D1499" t="s">
        <v>1500</v>
      </c>
      <c r="E1499" t="s">
        <v>2901</v>
      </c>
      <c r="F1499">
        <v>2731</v>
      </c>
      <c r="G1499" t="str">
        <f t="shared" si="23"/>
        <v>0101S26B2731</v>
      </c>
    </row>
    <row r="1500" spans="3:7">
      <c r="C1500" t="s">
        <v>2889</v>
      </c>
      <c r="D1500" t="s">
        <v>1500</v>
      </c>
      <c r="E1500" t="s">
        <v>1499</v>
      </c>
      <c r="F1500">
        <v>2732</v>
      </c>
      <c r="G1500" t="str">
        <f t="shared" si="23"/>
        <v>0101S26C2732</v>
      </c>
    </row>
    <row r="1501" spans="3:7">
      <c r="C1501" t="s">
        <v>2890</v>
      </c>
      <c r="D1501" t="s">
        <v>1508</v>
      </c>
      <c r="E1501" t="s">
        <v>1498</v>
      </c>
      <c r="F1501">
        <v>2733</v>
      </c>
      <c r="G1501" t="str">
        <f t="shared" si="23"/>
        <v>0101M26K2733</v>
      </c>
    </row>
    <row r="1502" spans="3:7">
      <c r="C1502" t="s">
        <v>2891</v>
      </c>
      <c r="D1502" t="s">
        <v>1501</v>
      </c>
      <c r="E1502" t="s">
        <v>1497</v>
      </c>
      <c r="F1502">
        <v>2734</v>
      </c>
      <c r="G1502" t="str">
        <f t="shared" si="23"/>
        <v>0101R26A2734</v>
      </c>
    </row>
    <row r="1503" spans="3:7">
      <c r="C1503" t="s">
        <v>2892</v>
      </c>
      <c r="D1503" t="s">
        <v>1500</v>
      </c>
      <c r="E1503" t="s">
        <v>1500</v>
      </c>
      <c r="F1503">
        <v>2735</v>
      </c>
      <c r="G1503" t="str">
        <f t="shared" si="23"/>
        <v>0101S26S2735</v>
      </c>
    </row>
    <row r="1504" spans="3:7">
      <c r="C1504" t="s">
        <v>2893</v>
      </c>
      <c r="D1504" t="s">
        <v>2898</v>
      </c>
      <c r="E1504" t="s">
        <v>1497</v>
      </c>
      <c r="F1504">
        <v>2736</v>
      </c>
      <c r="G1504" t="str">
        <f t="shared" si="23"/>
        <v>0101U26A2736</v>
      </c>
    </row>
    <row r="1505" spans="3:7">
      <c r="C1505" t="s">
        <v>2894</v>
      </c>
      <c r="D1505" t="s">
        <v>2899</v>
      </c>
      <c r="E1505" t="s">
        <v>1505</v>
      </c>
      <c r="F1505">
        <v>2737</v>
      </c>
      <c r="G1505" t="str">
        <f t="shared" si="23"/>
        <v>0101V26J2737</v>
      </c>
    </row>
    <row r="1506" spans="3:7">
      <c r="C1506" t="s">
        <v>2895</v>
      </c>
      <c r="D1506" t="s">
        <v>1505</v>
      </c>
      <c r="E1506" t="s">
        <v>1506</v>
      </c>
      <c r="F1506">
        <v>2738</v>
      </c>
      <c r="G1506" t="str">
        <f t="shared" si="23"/>
        <v>0101J26N2738</v>
      </c>
    </row>
    <row r="1507" spans="3:7">
      <c r="C1507" t="s">
        <v>2896</v>
      </c>
      <c r="D1507" t="s">
        <v>1500</v>
      </c>
      <c r="E1507" t="s">
        <v>1498</v>
      </c>
      <c r="F1507">
        <v>2739</v>
      </c>
      <c r="G1507" t="str">
        <f t="shared" si="23"/>
        <v>0101S26K2739</v>
      </c>
    </row>
    <row r="1508" spans="3:7">
      <c r="C1508" t="s">
        <v>2897</v>
      </c>
      <c r="D1508" t="s">
        <v>1500</v>
      </c>
      <c r="E1508" t="s">
        <v>1508</v>
      </c>
      <c r="F1508">
        <v>2740</v>
      </c>
      <c r="G1508" t="str">
        <f t="shared" si="23"/>
        <v>0101S26M2740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08"/>
  <sheetViews>
    <sheetView zoomScale="85" zoomScaleNormal="85" workbookViewId="0">
      <selection activeCell="K5" sqref="K5"/>
    </sheetView>
  </sheetViews>
  <sheetFormatPr defaultColWidth="12.59765625" defaultRowHeight="15" customHeight="1"/>
  <cols>
    <col min="1" max="1" width="6.796875" bestFit="1" customWidth="1"/>
    <col min="2" max="2" width="22.59765625" customWidth="1"/>
    <col min="3" max="3" width="26.296875" bestFit="1" customWidth="1"/>
    <col min="4" max="4" width="13" bestFit="1" customWidth="1"/>
    <col min="5" max="5" width="12.3984375" customWidth="1"/>
    <col min="6" max="9" width="8.59765625" customWidth="1"/>
  </cols>
  <sheetData>
    <row r="1" spans="1:12" ht="14.25" customHeight="1">
      <c r="A1" s="2" t="s">
        <v>0</v>
      </c>
      <c r="B1" s="2" t="s">
        <v>2</v>
      </c>
      <c r="C1" s="2" t="s">
        <v>1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4427</v>
      </c>
      <c r="K1" s="2" t="s">
        <v>4428</v>
      </c>
      <c r="L1" s="2" t="s">
        <v>4429</v>
      </c>
    </row>
    <row r="2" spans="1:12" ht="14.25" customHeight="1">
      <c r="A2" s="3">
        <v>1</v>
      </c>
      <c r="B2" s="3" t="s">
        <v>3007</v>
      </c>
      <c r="C2" s="3" t="s">
        <v>105</v>
      </c>
      <c r="D2" s="3">
        <v>9876543306</v>
      </c>
      <c r="E2" s="3" t="s">
        <v>4420</v>
      </c>
      <c r="F2" s="3" t="str" cm="1">
        <f t="array" ref="F2">IF(E2="","",_xlfn.XLOOKUP(E2,{"FIRST","SECOND","THIRD","FOURTH"},{"SEM-1","SEM-2","SEM-3","SEM-4"},""))</f>
        <v>SEM-3</v>
      </c>
      <c r="G2" s="3">
        <v>3</v>
      </c>
      <c r="H2" s="3">
        <v>73</v>
      </c>
      <c r="I2" s="3">
        <v>98</v>
      </c>
      <c r="J2" s="3">
        <f t="shared" ref="J2:J65" si="0">SUM(G2:I2)</f>
        <v>174</v>
      </c>
      <c r="K2" s="3" t="str">
        <f t="shared" ref="K2:K65" si="1">IF(OR(G2&gt;=70,H2&gt;=70,I2&gt;=70,J2&gt;=120),"P","F")</f>
        <v>P</v>
      </c>
      <c r="L2" s="3" t="str">
        <f t="shared" ref="L2:L65" si="2">IF(J2&gt;=190,"A",IF(J2&gt;=150,"B",IF(J2&gt;=120,"C","FAIL")))</f>
        <v>B</v>
      </c>
    </row>
    <row r="3" spans="1:12" ht="14.25" customHeight="1">
      <c r="A3" s="3">
        <v>2</v>
      </c>
      <c r="B3" s="3" t="s">
        <v>3670</v>
      </c>
      <c r="C3" s="3" t="s">
        <v>763</v>
      </c>
      <c r="D3" s="3">
        <v>9876543969</v>
      </c>
      <c r="E3" s="3" t="s">
        <v>4420</v>
      </c>
      <c r="F3" s="3" t="str" cm="1">
        <f t="array" ref="F3">IF(E3="","",_xlfn.XLOOKUP(E3,{"FIRST","SECOND","THIRD","FOURTH"},{"SEM-1","SEM-2","SEM-3","SEM-4"},""))</f>
        <v>SEM-3</v>
      </c>
      <c r="G3" s="3">
        <v>99</v>
      </c>
      <c r="H3" s="3">
        <v>39</v>
      </c>
      <c r="I3" s="3">
        <v>84</v>
      </c>
      <c r="J3" s="3">
        <f t="shared" si="0"/>
        <v>222</v>
      </c>
      <c r="K3" s="3" t="str">
        <f t="shared" si="1"/>
        <v>P</v>
      </c>
      <c r="L3" s="3" t="str">
        <f t="shared" si="2"/>
        <v>A</v>
      </c>
    </row>
    <row r="4" spans="1:12" ht="14.25" customHeight="1">
      <c r="A4" s="3">
        <v>3</v>
      </c>
      <c r="B4" s="3" t="s">
        <v>4311</v>
      </c>
      <c r="C4" s="3" t="s">
        <v>1391</v>
      </c>
      <c r="D4" s="3">
        <v>9876544610</v>
      </c>
      <c r="E4" s="3" t="s">
        <v>4419</v>
      </c>
      <c r="F4" s="3" t="str" cm="1">
        <f t="array" ref="F4">IF(E4="","",_xlfn.XLOOKUP(E4,{"FIRST","SECOND","THIRD","FOURTH"},{"SEM-1","SEM-2","SEM-3","SEM-4"},""))</f>
        <v>SEM-2</v>
      </c>
      <c r="G4" s="3">
        <v>79</v>
      </c>
      <c r="H4" s="3">
        <v>22</v>
      </c>
      <c r="I4" s="3">
        <v>36</v>
      </c>
      <c r="J4" s="3">
        <f t="shared" si="0"/>
        <v>137</v>
      </c>
      <c r="K4" s="3" t="str">
        <f t="shared" si="1"/>
        <v>P</v>
      </c>
      <c r="L4" s="3" t="str">
        <f t="shared" si="2"/>
        <v>C</v>
      </c>
    </row>
    <row r="5" spans="1:12" ht="14.25" customHeight="1">
      <c r="A5" s="3">
        <v>4</v>
      </c>
      <c r="B5" s="3" t="s">
        <v>3873</v>
      </c>
      <c r="C5" s="3" t="s">
        <v>964</v>
      </c>
      <c r="D5" s="3">
        <v>9876544172</v>
      </c>
      <c r="E5" s="3" t="s">
        <v>4418</v>
      </c>
      <c r="F5" s="3" t="str" cm="1">
        <f t="array" ref="F5">IF(E5="","",_xlfn.XLOOKUP(E5,{"FIRST","SECOND","THIRD","FOURTH"},{"SEM-1","SEM-2","SEM-3","SEM-4"},""))</f>
        <v>SEM-1</v>
      </c>
      <c r="G5" s="3">
        <v>100</v>
      </c>
      <c r="H5" s="3">
        <v>39</v>
      </c>
      <c r="I5" s="3">
        <v>99</v>
      </c>
      <c r="J5" s="3">
        <f t="shared" si="0"/>
        <v>238</v>
      </c>
      <c r="K5" s="3" t="str">
        <f t="shared" si="1"/>
        <v>P</v>
      </c>
      <c r="L5" s="3" t="str">
        <f t="shared" si="2"/>
        <v>A</v>
      </c>
    </row>
    <row r="6" spans="1:12" ht="14.25" customHeight="1">
      <c r="A6" s="3">
        <v>5</v>
      </c>
      <c r="B6" s="3" t="s">
        <v>4076</v>
      </c>
      <c r="C6" s="3" t="s">
        <v>1162</v>
      </c>
      <c r="D6" s="3">
        <v>9876544375</v>
      </c>
      <c r="E6" s="3" t="s">
        <v>4420</v>
      </c>
      <c r="F6" s="3" t="str" cm="1">
        <f t="array" ref="F6">IF(E6="","",_xlfn.XLOOKUP(E6,{"FIRST","SECOND","THIRD","FOURTH"},{"SEM-1","SEM-2","SEM-3","SEM-4"},""))</f>
        <v>SEM-3</v>
      </c>
      <c r="G6" s="3">
        <v>35</v>
      </c>
      <c r="H6" s="3">
        <v>61</v>
      </c>
      <c r="I6" s="3">
        <v>19</v>
      </c>
      <c r="J6" s="3">
        <f t="shared" si="0"/>
        <v>115</v>
      </c>
      <c r="K6" s="3" t="str">
        <f t="shared" si="1"/>
        <v>F</v>
      </c>
      <c r="L6" s="3" t="str">
        <f t="shared" si="2"/>
        <v>FAIL</v>
      </c>
    </row>
    <row r="7" spans="1:12" ht="14.25" customHeight="1">
      <c r="A7" s="3">
        <v>6</v>
      </c>
      <c r="B7" s="3" t="s">
        <v>4148</v>
      </c>
      <c r="C7" s="3" t="s">
        <v>1233</v>
      </c>
      <c r="D7" s="3">
        <v>9876544447</v>
      </c>
      <c r="E7" s="3" t="s">
        <v>4420</v>
      </c>
      <c r="F7" s="3" t="str" cm="1">
        <f t="array" ref="F7">IF(E7="","",_xlfn.XLOOKUP(E7,{"FIRST","SECOND","THIRD","FOURTH"},{"SEM-1","SEM-2","SEM-3","SEM-4"},""))</f>
        <v>SEM-3</v>
      </c>
      <c r="G7" s="3">
        <v>21</v>
      </c>
      <c r="H7" s="3">
        <v>61</v>
      </c>
      <c r="I7" s="3">
        <v>75</v>
      </c>
      <c r="J7" s="3">
        <f t="shared" si="0"/>
        <v>157</v>
      </c>
      <c r="K7" s="3" t="str">
        <f t="shared" si="1"/>
        <v>P</v>
      </c>
      <c r="L7" s="3" t="str">
        <f t="shared" si="2"/>
        <v>B</v>
      </c>
    </row>
    <row r="8" spans="1:12" ht="14.25" customHeight="1">
      <c r="A8" s="3">
        <v>7</v>
      </c>
      <c r="B8" s="3" t="s">
        <v>3515</v>
      </c>
      <c r="C8" s="3" t="s">
        <v>610</v>
      </c>
      <c r="D8" s="3">
        <v>9876543814</v>
      </c>
      <c r="E8" s="3" t="s">
        <v>4418</v>
      </c>
      <c r="F8" s="3" t="str" cm="1">
        <f t="array" ref="F8">IF(E8="","",_xlfn.XLOOKUP(E8,{"FIRST","SECOND","THIRD","FOURTH"},{"SEM-1","SEM-2","SEM-3","SEM-4"},""))</f>
        <v>SEM-1</v>
      </c>
      <c r="G8" s="3">
        <v>54</v>
      </c>
      <c r="H8" s="3">
        <v>13</v>
      </c>
      <c r="I8" s="3">
        <v>23</v>
      </c>
      <c r="J8" s="3">
        <f t="shared" si="0"/>
        <v>90</v>
      </c>
      <c r="K8" s="3" t="str">
        <f t="shared" si="1"/>
        <v>F</v>
      </c>
      <c r="L8" s="3" t="str">
        <f t="shared" si="2"/>
        <v>FAIL</v>
      </c>
    </row>
    <row r="9" spans="1:12" ht="14.25" customHeight="1">
      <c r="A9" s="3">
        <v>8</v>
      </c>
      <c r="B9" s="3" t="s">
        <v>3807</v>
      </c>
      <c r="C9" s="3" t="s">
        <v>899</v>
      </c>
      <c r="D9" s="3">
        <v>9876544106</v>
      </c>
      <c r="E9" s="3" t="s">
        <v>4420</v>
      </c>
      <c r="F9" s="3" t="str" cm="1">
        <f t="array" ref="F9">IF(E9="","",_xlfn.XLOOKUP(E9,{"FIRST","SECOND","THIRD","FOURTH"},{"SEM-1","SEM-2","SEM-3","SEM-4"},""))</f>
        <v>SEM-3</v>
      </c>
      <c r="G9" s="3">
        <v>69</v>
      </c>
      <c r="H9" s="3">
        <v>77</v>
      </c>
      <c r="I9" s="3">
        <v>0</v>
      </c>
      <c r="J9" s="3">
        <f t="shared" si="0"/>
        <v>146</v>
      </c>
      <c r="K9" s="3" t="str">
        <f t="shared" si="1"/>
        <v>P</v>
      </c>
      <c r="L9" s="3" t="str">
        <f t="shared" si="2"/>
        <v>C</v>
      </c>
    </row>
    <row r="10" spans="1:12" ht="14.25" customHeight="1">
      <c r="A10" s="3">
        <v>9</v>
      </c>
      <c r="B10" s="3" t="s">
        <v>3149</v>
      </c>
      <c r="C10" s="3" t="s">
        <v>247</v>
      </c>
      <c r="D10" s="3">
        <v>9876543448</v>
      </c>
      <c r="E10" s="3" t="s">
        <v>4420</v>
      </c>
      <c r="F10" s="3" t="str" cm="1">
        <f t="array" ref="F10">IF(E10="","",_xlfn.XLOOKUP(E10,{"FIRST","SECOND","THIRD","FOURTH"},{"SEM-1","SEM-2","SEM-3","SEM-4"},""))</f>
        <v>SEM-3</v>
      </c>
      <c r="G10" s="3">
        <v>93</v>
      </c>
      <c r="H10" s="3">
        <v>33</v>
      </c>
      <c r="I10" s="3">
        <v>87</v>
      </c>
      <c r="J10" s="3">
        <f t="shared" si="0"/>
        <v>213</v>
      </c>
      <c r="K10" s="3" t="str">
        <f t="shared" si="1"/>
        <v>P</v>
      </c>
      <c r="L10" s="3" t="str">
        <f t="shared" si="2"/>
        <v>A</v>
      </c>
    </row>
    <row r="11" spans="1:12" ht="14.25" customHeight="1">
      <c r="A11" s="3">
        <v>10</v>
      </c>
      <c r="B11" s="3" t="s">
        <v>3146</v>
      </c>
      <c r="C11" s="3" t="s">
        <v>244</v>
      </c>
      <c r="D11" s="3">
        <v>9876543445</v>
      </c>
      <c r="E11" s="3" t="s">
        <v>4419</v>
      </c>
      <c r="F11" s="3" t="str" cm="1">
        <f t="array" ref="F11">IF(E11="","",_xlfn.XLOOKUP(E11,{"FIRST","SECOND","THIRD","FOURTH"},{"SEM-1","SEM-2","SEM-3","SEM-4"},""))</f>
        <v>SEM-2</v>
      </c>
      <c r="G11" s="3">
        <v>97</v>
      </c>
      <c r="H11" s="3">
        <v>42</v>
      </c>
      <c r="I11" s="3">
        <v>74</v>
      </c>
      <c r="J11" s="3">
        <f t="shared" si="0"/>
        <v>213</v>
      </c>
      <c r="K11" s="3" t="str">
        <f t="shared" si="1"/>
        <v>P</v>
      </c>
      <c r="L11" s="3" t="str">
        <f t="shared" si="2"/>
        <v>A</v>
      </c>
    </row>
    <row r="12" spans="1:12" ht="14.25" customHeight="1">
      <c r="A12" s="3">
        <v>11</v>
      </c>
      <c r="B12" s="3" t="s">
        <v>3625</v>
      </c>
      <c r="C12" s="3" t="s">
        <v>719</v>
      </c>
      <c r="D12" s="3">
        <v>9876543924</v>
      </c>
      <c r="E12" s="3" t="s">
        <v>4418</v>
      </c>
      <c r="F12" s="3" t="str" cm="1">
        <f t="array" ref="F12">IF(E12="","",_xlfn.XLOOKUP(E12,{"FIRST","SECOND","THIRD","FOURTH"},{"SEM-1","SEM-2","SEM-3","SEM-4"},""))</f>
        <v>SEM-1</v>
      </c>
      <c r="G12" s="3">
        <v>86</v>
      </c>
      <c r="H12" s="3">
        <v>45</v>
      </c>
      <c r="I12" s="3">
        <v>95</v>
      </c>
      <c r="J12" s="3">
        <f t="shared" si="0"/>
        <v>226</v>
      </c>
      <c r="K12" s="3" t="str">
        <f t="shared" si="1"/>
        <v>P</v>
      </c>
      <c r="L12" s="3" t="str">
        <f t="shared" si="2"/>
        <v>A</v>
      </c>
    </row>
    <row r="13" spans="1:12" ht="14.25" customHeight="1">
      <c r="A13" s="3">
        <v>12</v>
      </c>
      <c r="B13" s="3" t="s">
        <v>3752</v>
      </c>
      <c r="C13" s="3" t="s">
        <v>845</v>
      </c>
      <c r="D13" s="3">
        <v>9876544051</v>
      </c>
      <c r="E13" s="3" t="s">
        <v>4418</v>
      </c>
      <c r="F13" s="3" t="str" cm="1">
        <f t="array" ref="F13">IF(E13="","",_xlfn.XLOOKUP(E13,{"FIRST","SECOND","THIRD","FOURTH"},{"SEM-1","SEM-2","SEM-3","SEM-4"},""))</f>
        <v>SEM-1</v>
      </c>
      <c r="G13" s="3">
        <v>16</v>
      </c>
      <c r="H13" s="3">
        <v>4</v>
      </c>
      <c r="I13" s="3">
        <v>53</v>
      </c>
      <c r="J13" s="3">
        <f t="shared" si="0"/>
        <v>73</v>
      </c>
      <c r="K13" s="3" t="str">
        <f t="shared" si="1"/>
        <v>F</v>
      </c>
      <c r="L13" s="3" t="str">
        <f t="shared" si="2"/>
        <v>FAIL</v>
      </c>
    </row>
    <row r="14" spans="1:12" ht="14.25" customHeight="1">
      <c r="A14" s="3">
        <v>13</v>
      </c>
      <c r="B14" s="3" t="s">
        <v>3011</v>
      </c>
      <c r="C14" s="3" t="s">
        <v>109</v>
      </c>
      <c r="D14" s="3">
        <v>9876543310</v>
      </c>
      <c r="E14" s="3" t="s">
        <v>4420</v>
      </c>
      <c r="F14" s="3" t="str" cm="1">
        <f t="array" ref="F14">IF(E14="","",_xlfn.XLOOKUP(E14,{"FIRST","SECOND","THIRD","FOURTH"},{"SEM-1","SEM-2","SEM-3","SEM-4"},""))</f>
        <v>SEM-3</v>
      </c>
      <c r="G14" s="3">
        <v>29</v>
      </c>
      <c r="H14" s="3">
        <v>32</v>
      </c>
      <c r="I14" s="3">
        <v>90</v>
      </c>
      <c r="J14" s="3">
        <f t="shared" si="0"/>
        <v>151</v>
      </c>
      <c r="K14" s="3" t="str">
        <f t="shared" si="1"/>
        <v>P</v>
      </c>
      <c r="L14" s="3" t="str">
        <f t="shared" si="2"/>
        <v>B</v>
      </c>
    </row>
    <row r="15" spans="1:12" ht="14.25" customHeight="1">
      <c r="A15" s="3">
        <v>14</v>
      </c>
      <c r="B15" s="3" t="s">
        <v>3920</v>
      </c>
      <c r="C15" s="3" t="s">
        <v>1010</v>
      </c>
      <c r="D15" s="3">
        <v>9876544219</v>
      </c>
      <c r="E15" s="3" t="s">
        <v>4418</v>
      </c>
      <c r="F15" s="3" t="str" cm="1">
        <f t="array" ref="F15">IF(E15="","",_xlfn.XLOOKUP(E15,{"FIRST","SECOND","THIRD","FOURTH"},{"SEM-1","SEM-2","SEM-3","SEM-4"},""))</f>
        <v>SEM-1</v>
      </c>
      <c r="G15" s="3">
        <v>13</v>
      </c>
      <c r="H15" s="3">
        <v>18</v>
      </c>
      <c r="I15" s="3">
        <v>65</v>
      </c>
      <c r="J15" s="3">
        <f t="shared" si="0"/>
        <v>96</v>
      </c>
      <c r="K15" s="3" t="str">
        <f t="shared" si="1"/>
        <v>F</v>
      </c>
      <c r="L15" s="3" t="str">
        <f t="shared" si="2"/>
        <v>FAIL</v>
      </c>
    </row>
    <row r="16" spans="1:12" ht="14.25" customHeight="1">
      <c r="A16" s="3">
        <v>15</v>
      </c>
      <c r="B16" s="3" t="s">
        <v>3744</v>
      </c>
      <c r="C16" s="3" t="s">
        <v>837</v>
      </c>
      <c r="D16" s="3">
        <v>9876544043</v>
      </c>
      <c r="E16" s="3" t="s">
        <v>4420</v>
      </c>
      <c r="F16" s="3" t="str" cm="1">
        <f t="array" ref="F16">IF(E16="","",_xlfn.XLOOKUP(E16,{"FIRST","SECOND","THIRD","FOURTH"},{"SEM-1","SEM-2","SEM-3","SEM-4"},""))</f>
        <v>SEM-3</v>
      </c>
      <c r="G16" s="3">
        <v>5</v>
      </c>
      <c r="H16" s="3">
        <v>65</v>
      </c>
      <c r="I16" s="3">
        <v>58</v>
      </c>
      <c r="J16" s="3">
        <f t="shared" si="0"/>
        <v>128</v>
      </c>
      <c r="K16" s="3" t="str">
        <f t="shared" si="1"/>
        <v>P</v>
      </c>
      <c r="L16" s="3" t="str">
        <f t="shared" si="2"/>
        <v>C</v>
      </c>
    </row>
    <row r="17" spans="1:12" ht="14.25" customHeight="1">
      <c r="A17" s="3">
        <v>16</v>
      </c>
      <c r="B17" s="3" t="s">
        <v>3247</v>
      </c>
      <c r="C17" s="3" t="s">
        <v>344</v>
      </c>
      <c r="D17" s="3">
        <v>9876543546</v>
      </c>
      <c r="E17" s="3" t="s">
        <v>4419</v>
      </c>
      <c r="F17" s="3" t="str" cm="1">
        <f t="array" ref="F17">IF(E17="","",_xlfn.XLOOKUP(E17,{"FIRST","SECOND","THIRD","FOURTH"},{"SEM-1","SEM-2","SEM-3","SEM-4"},""))</f>
        <v>SEM-2</v>
      </c>
      <c r="G17" s="3">
        <v>64</v>
      </c>
      <c r="H17" s="3">
        <v>95</v>
      </c>
      <c r="I17" s="3">
        <v>7</v>
      </c>
      <c r="J17" s="3">
        <f t="shared" si="0"/>
        <v>166</v>
      </c>
      <c r="K17" s="3" t="str">
        <f t="shared" si="1"/>
        <v>P</v>
      </c>
      <c r="L17" s="3" t="str">
        <f t="shared" si="2"/>
        <v>B</v>
      </c>
    </row>
    <row r="18" spans="1:12" ht="14.25" customHeight="1">
      <c r="A18" s="3">
        <v>17</v>
      </c>
      <c r="B18" s="3" t="s">
        <v>3188</v>
      </c>
      <c r="C18" s="3" t="s">
        <v>286</v>
      </c>
      <c r="D18" s="3">
        <v>9876543487</v>
      </c>
      <c r="E18" s="3" t="s">
        <v>4419</v>
      </c>
      <c r="F18" s="3" t="str" cm="1">
        <f t="array" ref="F18">IF(E18="","",_xlfn.XLOOKUP(E18,{"FIRST","SECOND","THIRD","FOURTH"},{"SEM-1","SEM-2","SEM-3","SEM-4"},""))</f>
        <v>SEM-2</v>
      </c>
      <c r="G18" s="3">
        <v>66</v>
      </c>
      <c r="H18" s="3">
        <v>35</v>
      </c>
      <c r="I18" s="3">
        <v>47</v>
      </c>
      <c r="J18" s="3">
        <f t="shared" si="0"/>
        <v>148</v>
      </c>
      <c r="K18" s="3" t="str">
        <f t="shared" si="1"/>
        <v>P</v>
      </c>
      <c r="L18" s="3" t="str">
        <f t="shared" si="2"/>
        <v>C</v>
      </c>
    </row>
    <row r="19" spans="1:12" ht="14.25" customHeight="1">
      <c r="A19" s="3">
        <v>18</v>
      </c>
      <c r="B19" s="3" t="s">
        <v>4328</v>
      </c>
      <c r="C19" s="3" t="s">
        <v>1407</v>
      </c>
      <c r="D19" s="3">
        <v>9876544627</v>
      </c>
      <c r="E19" s="3" t="s">
        <v>4419</v>
      </c>
      <c r="F19" s="3" t="str" cm="1">
        <f t="array" ref="F19">IF(E19="","",_xlfn.XLOOKUP(E19,{"FIRST","SECOND","THIRD","FOURTH"},{"SEM-1","SEM-2","SEM-3","SEM-4"},""))</f>
        <v>SEM-2</v>
      </c>
      <c r="G19" s="3">
        <v>79</v>
      </c>
      <c r="H19" s="3">
        <v>64</v>
      </c>
      <c r="I19" s="3">
        <v>1</v>
      </c>
      <c r="J19" s="3">
        <f t="shared" si="0"/>
        <v>144</v>
      </c>
      <c r="K19" s="3" t="str">
        <f t="shared" si="1"/>
        <v>P</v>
      </c>
      <c r="L19" s="3" t="str">
        <f t="shared" si="2"/>
        <v>C</v>
      </c>
    </row>
    <row r="20" spans="1:12" ht="14.25" customHeight="1">
      <c r="A20" s="3">
        <v>19</v>
      </c>
      <c r="B20" s="3" t="s">
        <v>3023</v>
      </c>
      <c r="C20" s="3" t="s">
        <v>121</v>
      </c>
      <c r="D20" s="3">
        <v>9876543322</v>
      </c>
      <c r="E20" s="3" t="s">
        <v>4420</v>
      </c>
      <c r="F20" s="3" t="str" cm="1">
        <f t="array" ref="F20">IF(E20="","",_xlfn.XLOOKUP(E20,{"FIRST","SECOND","THIRD","FOURTH"},{"SEM-1","SEM-2","SEM-3","SEM-4"},""))</f>
        <v>SEM-3</v>
      </c>
      <c r="G20" s="3">
        <v>31</v>
      </c>
      <c r="H20" s="3">
        <v>38</v>
      </c>
      <c r="I20" s="3">
        <v>47</v>
      </c>
      <c r="J20" s="3">
        <f t="shared" si="0"/>
        <v>116</v>
      </c>
      <c r="K20" s="3" t="str">
        <f t="shared" si="1"/>
        <v>F</v>
      </c>
      <c r="L20" s="3" t="str">
        <f t="shared" si="2"/>
        <v>FAIL</v>
      </c>
    </row>
    <row r="21" spans="1:12" ht="14.25" customHeight="1">
      <c r="A21" s="3">
        <v>20</v>
      </c>
      <c r="B21" s="3" t="s">
        <v>3525</v>
      </c>
      <c r="C21" s="3" t="s">
        <v>620</v>
      </c>
      <c r="D21" s="3">
        <v>9876543824</v>
      </c>
      <c r="E21" s="3" t="s">
        <v>4419</v>
      </c>
      <c r="F21" s="3" t="str" cm="1">
        <f t="array" ref="F21">IF(E21="","",_xlfn.XLOOKUP(E21,{"FIRST","SECOND","THIRD","FOURTH"},{"SEM-1","SEM-2","SEM-3","SEM-4"},""))</f>
        <v>SEM-2</v>
      </c>
      <c r="G21" s="3">
        <v>40</v>
      </c>
      <c r="H21" s="3">
        <v>76</v>
      </c>
      <c r="I21" s="3">
        <v>65</v>
      </c>
      <c r="J21" s="3">
        <f t="shared" si="0"/>
        <v>181</v>
      </c>
      <c r="K21" s="3" t="str">
        <f t="shared" si="1"/>
        <v>P</v>
      </c>
      <c r="L21" s="3" t="str">
        <f t="shared" si="2"/>
        <v>B</v>
      </c>
    </row>
    <row r="22" spans="1:12" ht="14.25" customHeight="1">
      <c r="A22" s="3">
        <v>21</v>
      </c>
      <c r="B22" s="3" t="s">
        <v>2961</v>
      </c>
      <c r="C22" s="3" t="s">
        <v>59</v>
      </c>
      <c r="D22" s="3">
        <v>9876543260</v>
      </c>
      <c r="E22" s="3" t="s">
        <v>4418</v>
      </c>
      <c r="F22" s="3" t="str" cm="1">
        <f t="array" ref="F22">IF(E22="","",_xlfn.XLOOKUP(E22,{"FIRST","SECOND","THIRD","FOURTH"},{"SEM-1","SEM-2","SEM-3","SEM-4"},""))</f>
        <v>SEM-1</v>
      </c>
      <c r="G22" s="3">
        <v>92</v>
      </c>
      <c r="H22" s="3">
        <v>39</v>
      </c>
      <c r="I22" s="3">
        <v>14</v>
      </c>
      <c r="J22" s="3">
        <f t="shared" si="0"/>
        <v>145</v>
      </c>
      <c r="K22" s="3" t="str">
        <f t="shared" si="1"/>
        <v>P</v>
      </c>
      <c r="L22" s="3" t="str">
        <f t="shared" si="2"/>
        <v>C</v>
      </c>
    </row>
    <row r="23" spans="1:12" ht="14.25" customHeight="1">
      <c r="A23" s="3">
        <v>22</v>
      </c>
      <c r="B23" s="3" t="s">
        <v>3015</v>
      </c>
      <c r="C23" s="3" t="s">
        <v>113</v>
      </c>
      <c r="D23" s="3">
        <v>9876543314</v>
      </c>
      <c r="E23" s="3" t="s">
        <v>4419</v>
      </c>
      <c r="F23" s="3" t="str" cm="1">
        <f t="array" ref="F23">IF(E23="","",_xlfn.XLOOKUP(E23,{"FIRST","SECOND","THIRD","FOURTH"},{"SEM-1","SEM-2","SEM-3","SEM-4"},""))</f>
        <v>SEM-2</v>
      </c>
      <c r="G23" s="3">
        <v>58</v>
      </c>
      <c r="H23" s="3">
        <v>15</v>
      </c>
      <c r="I23" s="3">
        <v>3</v>
      </c>
      <c r="J23" s="3">
        <f t="shared" si="0"/>
        <v>76</v>
      </c>
      <c r="K23" s="3" t="str">
        <f t="shared" si="1"/>
        <v>F</v>
      </c>
      <c r="L23" s="3" t="str">
        <f t="shared" si="2"/>
        <v>FAIL</v>
      </c>
    </row>
    <row r="24" spans="1:12" ht="14.25" customHeight="1">
      <c r="A24" s="3">
        <v>23</v>
      </c>
      <c r="B24" s="3" t="s">
        <v>2969</v>
      </c>
      <c r="C24" s="3" t="s">
        <v>67</v>
      </c>
      <c r="D24" s="3">
        <v>9876543268</v>
      </c>
      <c r="E24" s="3" t="s">
        <v>4420</v>
      </c>
      <c r="F24" s="3" t="str" cm="1">
        <f t="array" ref="F24">IF(E24="","",_xlfn.XLOOKUP(E24,{"FIRST","SECOND","THIRD","FOURTH"},{"SEM-1","SEM-2","SEM-3","SEM-4"},""))</f>
        <v>SEM-3</v>
      </c>
      <c r="G24" s="3">
        <v>96</v>
      </c>
      <c r="H24" s="3">
        <v>45</v>
      </c>
      <c r="I24" s="3">
        <v>69</v>
      </c>
      <c r="J24" s="3">
        <f t="shared" si="0"/>
        <v>210</v>
      </c>
      <c r="K24" s="3" t="str">
        <f t="shared" si="1"/>
        <v>P</v>
      </c>
      <c r="L24" s="3" t="str">
        <f t="shared" si="2"/>
        <v>A</v>
      </c>
    </row>
    <row r="25" spans="1:12" ht="14.25" customHeight="1">
      <c r="A25" s="3">
        <v>24</v>
      </c>
      <c r="B25" s="3" t="s">
        <v>4151</v>
      </c>
      <c r="C25" s="3" t="s">
        <v>1236</v>
      </c>
      <c r="D25" s="3">
        <v>9876544450</v>
      </c>
      <c r="E25" s="3" t="s">
        <v>4419</v>
      </c>
      <c r="F25" s="3" t="str" cm="1">
        <f t="array" ref="F25">IF(E25="","",_xlfn.XLOOKUP(E25,{"FIRST","SECOND","THIRD","FOURTH"},{"SEM-1","SEM-2","SEM-3","SEM-4"},""))</f>
        <v>SEM-2</v>
      </c>
      <c r="G25" s="3">
        <v>89</v>
      </c>
      <c r="H25" s="3">
        <v>51</v>
      </c>
      <c r="I25" s="3">
        <v>84</v>
      </c>
      <c r="J25" s="3">
        <f t="shared" si="0"/>
        <v>224</v>
      </c>
      <c r="K25" s="3" t="str">
        <f t="shared" si="1"/>
        <v>P</v>
      </c>
      <c r="L25" s="3" t="str">
        <f t="shared" si="2"/>
        <v>A</v>
      </c>
    </row>
    <row r="26" spans="1:12" ht="14.25" customHeight="1">
      <c r="A26" s="3">
        <v>25</v>
      </c>
      <c r="B26" s="3" t="s">
        <v>2914</v>
      </c>
      <c r="C26" s="3" t="s">
        <v>12</v>
      </c>
      <c r="D26" s="3">
        <v>9876543213</v>
      </c>
      <c r="E26" s="3" t="s">
        <v>4419</v>
      </c>
      <c r="F26" s="3" t="str" cm="1">
        <f t="array" ref="F26">IF(E26="","",_xlfn.XLOOKUP(E26,{"FIRST","SECOND","THIRD","FOURTH"},{"SEM-1","SEM-2","SEM-3","SEM-4"},""))</f>
        <v>SEM-2</v>
      </c>
      <c r="G26" s="3">
        <v>35</v>
      </c>
      <c r="H26" s="3">
        <v>17</v>
      </c>
      <c r="I26" s="3">
        <v>15</v>
      </c>
      <c r="J26" s="3">
        <f t="shared" si="0"/>
        <v>67</v>
      </c>
      <c r="K26" s="3" t="str">
        <f t="shared" si="1"/>
        <v>F</v>
      </c>
      <c r="L26" s="3" t="str">
        <f t="shared" si="2"/>
        <v>FAIL</v>
      </c>
    </row>
    <row r="27" spans="1:12" ht="14.25" customHeight="1">
      <c r="A27" s="3">
        <v>26</v>
      </c>
      <c r="B27" s="3" t="s">
        <v>4250</v>
      </c>
      <c r="C27" s="3" t="s">
        <v>1333</v>
      </c>
      <c r="D27" s="3">
        <v>9876544549</v>
      </c>
      <c r="E27" s="3" t="s">
        <v>4420</v>
      </c>
      <c r="F27" s="3" t="str" cm="1">
        <f t="array" ref="F27">IF(E27="","",_xlfn.XLOOKUP(E27,{"FIRST","SECOND","THIRD","FOURTH"},{"SEM-1","SEM-2","SEM-3","SEM-4"},""))</f>
        <v>SEM-3</v>
      </c>
      <c r="G27" s="3">
        <v>70</v>
      </c>
      <c r="H27" s="3">
        <v>51</v>
      </c>
      <c r="I27" s="3">
        <v>82</v>
      </c>
      <c r="J27" s="3">
        <f t="shared" si="0"/>
        <v>203</v>
      </c>
      <c r="K27" s="3" t="str">
        <f t="shared" si="1"/>
        <v>P</v>
      </c>
      <c r="L27" s="3" t="str">
        <f t="shared" si="2"/>
        <v>A</v>
      </c>
    </row>
    <row r="28" spans="1:12" ht="14.25" customHeight="1">
      <c r="A28" s="3">
        <v>27</v>
      </c>
      <c r="B28" s="3" t="s">
        <v>4130</v>
      </c>
      <c r="C28" s="3" t="s">
        <v>1215</v>
      </c>
      <c r="D28" s="3">
        <v>9876544429</v>
      </c>
      <c r="E28" s="3" t="s">
        <v>4420</v>
      </c>
      <c r="F28" s="3" t="str" cm="1">
        <f t="array" ref="F28">IF(E28="","",_xlfn.XLOOKUP(E28,{"FIRST","SECOND","THIRD","FOURTH"},{"SEM-1","SEM-2","SEM-3","SEM-4"},""))</f>
        <v>SEM-3</v>
      </c>
      <c r="G28" s="3">
        <v>7</v>
      </c>
      <c r="H28" s="3">
        <v>83</v>
      </c>
      <c r="I28" s="3">
        <v>86</v>
      </c>
      <c r="J28" s="3">
        <f t="shared" si="0"/>
        <v>176</v>
      </c>
      <c r="K28" s="3" t="str">
        <f t="shared" si="1"/>
        <v>P</v>
      </c>
      <c r="L28" s="3" t="str">
        <f t="shared" si="2"/>
        <v>B</v>
      </c>
    </row>
    <row r="29" spans="1:12" ht="14.25" customHeight="1">
      <c r="A29" s="3">
        <v>28</v>
      </c>
      <c r="B29" s="3" t="s">
        <v>3695</v>
      </c>
      <c r="C29" s="3" t="s">
        <v>788</v>
      </c>
      <c r="D29" s="3">
        <v>9876543994</v>
      </c>
      <c r="E29" s="3" t="s">
        <v>4419</v>
      </c>
      <c r="F29" s="3" t="str" cm="1">
        <f t="array" ref="F29">IF(E29="","",_xlfn.XLOOKUP(E29,{"FIRST","SECOND","THIRD","FOURTH"},{"SEM-1","SEM-2","SEM-3","SEM-4"},""))</f>
        <v>SEM-2</v>
      </c>
      <c r="G29" s="3">
        <v>51</v>
      </c>
      <c r="H29" s="3">
        <v>0</v>
      </c>
      <c r="I29" s="3">
        <v>17</v>
      </c>
      <c r="J29" s="3">
        <f t="shared" si="0"/>
        <v>68</v>
      </c>
      <c r="K29" s="3" t="str">
        <f t="shared" si="1"/>
        <v>F</v>
      </c>
      <c r="L29" s="3" t="str">
        <f t="shared" si="2"/>
        <v>FAIL</v>
      </c>
    </row>
    <row r="30" spans="1:12" ht="14.25" customHeight="1">
      <c r="A30" s="3">
        <v>29</v>
      </c>
      <c r="B30" s="3" t="s">
        <v>3134</v>
      </c>
      <c r="C30" s="3" t="s">
        <v>232</v>
      </c>
      <c r="D30" s="3">
        <v>9876543433</v>
      </c>
      <c r="E30" s="3" t="s">
        <v>4420</v>
      </c>
      <c r="F30" s="3" t="str" cm="1">
        <f t="array" ref="F30">IF(E30="","",_xlfn.XLOOKUP(E30,{"FIRST","SECOND","THIRD","FOURTH"},{"SEM-1","SEM-2","SEM-3","SEM-4"},""))</f>
        <v>SEM-3</v>
      </c>
      <c r="G30" s="3">
        <v>5</v>
      </c>
      <c r="H30" s="3">
        <v>52</v>
      </c>
      <c r="I30" s="3">
        <v>26</v>
      </c>
      <c r="J30" s="3">
        <f t="shared" si="0"/>
        <v>83</v>
      </c>
      <c r="K30" s="3" t="str">
        <f t="shared" si="1"/>
        <v>F</v>
      </c>
      <c r="L30" s="3" t="str">
        <f t="shared" si="2"/>
        <v>FAIL</v>
      </c>
    </row>
    <row r="31" spans="1:12" ht="14.25" customHeight="1">
      <c r="A31" s="3">
        <v>30</v>
      </c>
      <c r="B31" s="3" t="s">
        <v>3315</v>
      </c>
      <c r="C31" s="3" t="s">
        <v>411</v>
      </c>
      <c r="D31" s="3">
        <v>9876543614</v>
      </c>
      <c r="E31" s="3" t="s">
        <v>4419</v>
      </c>
      <c r="F31" s="3" t="str" cm="1">
        <f t="array" ref="F31">IF(E31="","",_xlfn.XLOOKUP(E31,{"FIRST","SECOND","THIRD","FOURTH"},{"SEM-1","SEM-2","SEM-3","SEM-4"},""))</f>
        <v>SEM-2</v>
      </c>
      <c r="G31" s="3">
        <v>49</v>
      </c>
      <c r="H31" s="3">
        <v>66</v>
      </c>
      <c r="I31" s="3">
        <v>36</v>
      </c>
      <c r="J31" s="3">
        <f t="shared" si="0"/>
        <v>151</v>
      </c>
      <c r="K31" s="3" t="str">
        <f t="shared" si="1"/>
        <v>P</v>
      </c>
      <c r="L31" s="3" t="str">
        <f t="shared" si="2"/>
        <v>B</v>
      </c>
    </row>
    <row r="32" spans="1:12" ht="14.25" customHeight="1">
      <c r="A32" s="3">
        <v>31</v>
      </c>
      <c r="B32" s="3" t="s">
        <v>4333</v>
      </c>
      <c r="C32" s="3" t="s">
        <v>1412</v>
      </c>
      <c r="D32" s="3">
        <v>9876544632</v>
      </c>
      <c r="E32" s="3" t="s">
        <v>4418</v>
      </c>
      <c r="F32" s="3" t="str" cm="1">
        <f t="array" ref="F32">IF(E32="","",_xlfn.XLOOKUP(E32,{"FIRST","SECOND","THIRD","FOURTH"},{"SEM-1","SEM-2","SEM-3","SEM-4"},""))</f>
        <v>SEM-1</v>
      </c>
      <c r="G32" s="3">
        <v>53</v>
      </c>
      <c r="H32" s="3">
        <v>100</v>
      </c>
      <c r="I32" s="3">
        <v>44</v>
      </c>
      <c r="J32" s="3">
        <f t="shared" si="0"/>
        <v>197</v>
      </c>
      <c r="K32" s="3" t="str">
        <f t="shared" si="1"/>
        <v>P</v>
      </c>
      <c r="L32" s="3" t="str">
        <f t="shared" si="2"/>
        <v>A</v>
      </c>
    </row>
    <row r="33" spans="1:12" ht="14.25" customHeight="1">
      <c r="A33" s="3">
        <v>32</v>
      </c>
      <c r="B33" s="3" t="s">
        <v>3884</v>
      </c>
      <c r="C33" s="3" t="s">
        <v>975</v>
      </c>
      <c r="D33" s="3">
        <v>9876544183</v>
      </c>
      <c r="E33" s="3" t="s">
        <v>4420</v>
      </c>
      <c r="F33" s="3" t="str" cm="1">
        <f t="array" ref="F33">IF(E33="","",_xlfn.XLOOKUP(E33,{"FIRST","SECOND","THIRD","FOURTH"},{"SEM-1","SEM-2","SEM-3","SEM-4"},""))</f>
        <v>SEM-3</v>
      </c>
      <c r="G33" s="3">
        <v>39</v>
      </c>
      <c r="H33" s="3">
        <v>80</v>
      </c>
      <c r="I33" s="3">
        <v>98</v>
      </c>
      <c r="J33" s="3">
        <f t="shared" si="0"/>
        <v>217</v>
      </c>
      <c r="K33" s="3" t="str">
        <f t="shared" si="1"/>
        <v>P</v>
      </c>
      <c r="L33" s="3" t="str">
        <f t="shared" si="2"/>
        <v>A</v>
      </c>
    </row>
    <row r="34" spans="1:12" ht="14.25" customHeight="1">
      <c r="A34" s="3">
        <v>33</v>
      </c>
      <c r="B34" s="3" t="s">
        <v>4400</v>
      </c>
      <c r="C34" s="3" t="s">
        <v>1479</v>
      </c>
      <c r="D34" s="3">
        <v>9876544699</v>
      </c>
      <c r="E34" s="3" t="s">
        <v>4420</v>
      </c>
      <c r="F34" s="3" t="str" cm="1">
        <f t="array" ref="F34">IF(E34="","",_xlfn.XLOOKUP(E34,{"FIRST","SECOND","THIRD","FOURTH"},{"SEM-1","SEM-2","SEM-3","SEM-4"},""))</f>
        <v>SEM-3</v>
      </c>
      <c r="G34" s="3">
        <v>65</v>
      </c>
      <c r="H34" s="3">
        <v>77</v>
      </c>
      <c r="I34" s="3">
        <v>94</v>
      </c>
      <c r="J34" s="3">
        <f t="shared" si="0"/>
        <v>236</v>
      </c>
      <c r="K34" s="3" t="str">
        <f t="shared" si="1"/>
        <v>P</v>
      </c>
      <c r="L34" s="3" t="str">
        <f t="shared" si="2"/>
        <v>A</v>
      </c>
    </row>
    <row r="35" spans="1:12" ht="14.25" customHeight="1">
      <c r="A35" s="3">
        <v>34</v>
      </c>
      <c r="B35" s="3" t="s">
        <v>3042</v>
      </c>
      <c r="C35" s="3" t="s">
        <v>140</v>
      </c>
      <c r="D35" s="3">
        <v>9876543341</v>
      </c>
      <c r="E35" s="3" t="s">
        <v>4418</v>
      </c>
      <c r="F35" s="3" t="str" cm="1">
        <f t="array" ref="F35">IF(E35="","",_xlfn.XLOOKUP(E35,{"FIRST","SECOND","THIRD","FOURTH"},{"SEM-1","SEM-2","SEM-3","SEM-4"},""))</f>
        <v>SEM-1</v>
      </c>
      <c r="G35" s="3">
        <v>30</v>
      </c>
      <c r="H35" s="3">
        <v>36</v>
      </c>
      <c r="I35" s="3">
        <v>91</v>
      </c>
      <c r="J35" s="3">
        <f t="shared" si="0"/>
        <v>157</v>
      </c>
      <c r="K35" s="3" t="str">
        <f t="shared" si="1"/>
        <v>P</v>
      </c>
      <c r="L35" s="3" t="str">
        <f t="shared" si="2"/>
        <v>B</v>
      </c>
    </row>
    <row r="36" spans="1:12" ht="14.25" customHeight="1">
      <c r="A36" s="3">
        <v>35</v>
      </c>
      <c r="B36" s="3" t="s">
        <v>3429</v>
      </c>
      <c r="C36" s="3" t="s">
        <v>525</v>
      </c>
      <c r="D36" s="3">
        <v>9876543728</v>
      </c>
      <c r="E36" s="3" t="s">
        <v>4420</v>
      </c>
      <c r="F36" s="3" t="str" cm="1">
        <f t="array" ref="F36">IF(E36="","",_xlfn.XLOOKUP(E36,{"FIRST","SECOND","THIRD","FOURTH"},{"SEM-1","SEM-2","SEM-3","SEM-4"},""))</f>
        <v>SEM-3</v>
      </c>
      <c r="G36" s="3">
        <v>34</v>
      </c>
      <c r="H36" s="3">
        <v>87</v>
      </c>
      <c r="I36" s="3">
        <v>52</v>
      </c>
      <c r="J36" s="3">
        <f t="shared" si="0"/>
        <v>173</v>
      </c>
      <c r="K36" s="3" t="str">
        <f t="shared" si="1"/>
        <v>P</v>
      </c>
      <c r="L36" s="3" t="str">
        <f t="shared" si="2"/>
        <v>B</v>
      </c>
    </row>
    <row r="37" spans="1:12" ht="14.25" customHeight="1">
      <c r="A37" s="3">
        <v>36</v>
      </c>
      <c r="B37" s="3" t="s">
        <v>3189</v>
      </c>
      <c r="C37" s="3" t="s">
        <v>287</v>
      </c>
      <c r="D37" s="3">
        <v>9876543488</v>
      </c>
      <c r="E37" s="3" t="s">
        <v>4418</v>
      </c>
      <c r="F37" s="3" t="str" cm="1">
        <f t="array" ref="F37">IF(E37="","",_xlfn.XLOOKUP(E37,{"FIRST","SECOND","THIRD","FOURTH"},{"SEM-1","SEM-2","SEM-3","SEM-4"},""))</f>
        <v>SEM-1</v>
      </c>
      <c r="G37" s="3">
        <v>25</v>
      </c>
      <c r="H37" s="3">
        <v>50</v>
      </c>
      <c r="I37" s="3">
        <v>27</v>
      </c>
      <c r="J37" s="3">
        <f t="shared" si="0"/>
        <v>102</v>
      </c>
      <c r="K37" s="3" t="str">
        <f t="shared" si="1"/>
        <v>F</v>
      </c>
      <c r="L37" s="3" t="str">
        <f t="shared" si="2"/>
        <v>FAIL</v>
      </c>
    </row>
    <row r="38" spans="1:12" ht="14.25" customHeight="1">
      <c r="A38" s="3">
        <v>37</v>
      </c>
      <c r="B38" s="3" t="s">
        <v>3691</v>
      </c>
      <c r="C38" s="3" t="s">
        <v>784</v>
      </c>
      <c r="D38" s="3">
        <v>9876543990</v>
      </c>
      <c r="E38" s="3" t="s">
        <v>4419</v>
      </c>
      <c r="F38" s="3" t="str" cm="1">
        <f t="array" ref="F38">IF(E38="","",_xlfn.XLOOKUP(E38,{"FIRST","SECOND","THIRD","FOURTH"},{"SEM-1","SEM-2","SEM-3","SEM-4"},""))</f>
        <v>SEM-2</v>
      </c>
      <c r="G38" s="3">
        <v>81</v>
      </c>
      <c r="H38" s="3">
        <v>70</v>
      </c>
      <c r="I38" s="3">
        <v>21</v>
      </c>
      <c r="J38" s="3">
        <f t="shared" si="0"/>
        <v>172</v>
      </c>
      <c r="K38" s="3" t="str">
        <f t="shared" si="1"/>
        <v>P</v>
      </c>
      <c r="L38" s="3" t="str">
        <f t="shared" si="2"/>
        <v>B</v>
      </c>
    </row>
    <row r="39" spans="1:12" ht="14.25" customHeight="1">
      <c r="A39" s="3">
        <v>38</v>
      </c>
      <c r="B39" s="3" t="s">
        <v>4111</v>
      </c>
      <c r="C39" s="3" t="s">
        <v>1196</v>
      </c>
      <c r="D39" s="3">
        <v>9876544410</v>
      </c>
      <c r="E39" s="3" t="s">
        <v>4418</v>
      </c>
      <c r="F39" s="3" t="str" cm="1">
        <f t="array" ref="F39">IF(E39="","",_xlfn.XLOOKUP(E39,{"FIRST","SECOND","THIRD","FOURTH"},{"SEM-1","SEM-2","SEM-3","SEM-4"},""))</f>
        <v>SEM-1</v>
      </c>
      <c r="G39" s="3">
        <v>72</v>
      </c>
      <c r="H39" s="3">
        <v>77</v>
      </c>
      <c r="I39" s="3">
        <v>35</v>
      </c>
      <c r="J39" s="3">
        <f t="shared" si="0"/>
        <v>184</v>
      </c>
      <c r="K39" s="3" t="str">
        <f t="shared" si="1"/>
        <v>P</v>
      </c>
      <c r="L39" s="3" t="str">
        <f t="shared" si="2"/>
        <v>B</v>
      </c>
    </row>
    <row r="40" spans="1:12" ht="14.25" customHeight="1">
      <c r="A40" s="3">
        <v>39</v>
      </c>
      <c r="B40" s="3" t="s">
        <v>4404</v>
      </c>
      <c r="C40" s="3" t="s">
        <v>1483</v>
      </c>
      <c r="D40" s="3">
        <v>9876544703</v>
      </c>
      <c r="E40" s="3" t="s">
        <v>4420</v>
      </c>
      <c r="F40" s="3" t="str" cm="1">
        <f t="array" ref="F40">IF(E40="","",_xlfn.XLOOKUP(E40,{"FIRST","SECOND","THIRD","FOURTH"},{"SEM-1","SEM-2","SEM-3","SEM-4"},""))</f>
        <v>SEM-3</v>
      </c>
      <c r="G40" s="3">
        <v>9</v>
      </c>
      <c r="H40" s="3">
        <v>29</v>
      </c>
      <c r="I40" s="3">
        <v>56</v>
      </c>
      <c r="J40" s="3">
        <f t="shared" si="0"/>
        <v>94</v>
      </c>
      <c r="K40" s="3" t="str">
        <f t="shared" si="1"/>
        <v>F</v>
      </c>
      <c r="L40" s="3" t="str">
        <f t="shared" si="2"/>
        <v>FAIL</v>
      </c>
    </row>
    <row r="41" spans="1:12" ht="14.25" customHeight="1">
      <c r="A41" s="3">
        <v>40</v>
      </c>
      <c r="B41" s="3" t="s">
        <v>3977</v>
      </c>
      <c r="C41" s="3" t="s">
        <v>1067</v>
      </c>
      <c r="D41" s="3">
        <v>9876544276</v>
      </c>
      <c r="E41" s="3" t="s">
        <v>4420</v>
      </c>
      <c r="F41" s="3" t="str" cm="1">
        <f t="array" ref="F41">IF(E41="","",_xlfn.XLOOKUP(E41,{"FIRST","SECOND","THIRD","FOURTH"},{"SEM-1","SEM-2","SEM-3","SEM-4"},""))</f>
        <v>SEM-3</v>
      </c>
      <c r="G41" s="3">
        <v>59</v>
      </c>
      <c r="H41" s="3">
        <v>25</v>
      </c>
      <c r="I41" s="3">
        <v>99</v>
      </c>
      <c r="J41" s="3">
        <f t="shared" si="0"/>
        <v>183</v>
      </c>
      <c r="K41" s="3" t="str">
        <f t="shared" si="1"/>
        <v>P</v>
      </c>
      <c r="L41" s="3" t="str">
        <f t="shared" si="2"/>
        <v>B</v>
      </c>
    </row>
    <row r="42" spans="1:12" ht="14.25" customHeight="1">
      <c r="A42" s="3">
        <v>41</v>
      </c>
      <c r="B42" s="3" t="s">
        <v>3585</v>
      </c>
      <c r="C42" s="3" t="s">
        <v>679</v>
      </c>
      <c r="D42" s="3">
        <v>9876543884</v>
      </c>
      <c r="E42" s="3" t="s">
        <v>4420</v>
      </c>
      <c r="F42" s="3" t="str" cm="1">
        <f t="array" ref="F42">IF(E42="","",_xlfn.XLOOKUP(E42,{"FIRST","SECOND","THIRD","FOURTH"},{"SEM-1","SEM-2","SEM-3","SEM-4"},""))</f>
        <v>SEM-3</v>
      </c>
      <c r="G42" s="3">
        <v>99</v>
      </c>
      <c r="H42" s="3">
        <v>80</v>
      </c>
      <c r="I42" s="3">
        <v>38</v>
      </c>
      <c r="J42" s="3">
        <f t="shared" si="0"/>
        <v>217</v>
      </c>
      <c r="K42" s="3" t="str">
        <f t="shared" si="1"/>
        <v>P</v>
      </c>
      <c r="L42" s="3" t="str">
        <f t="shared" si="2"/>
        <v>A</v>
      </c>
    </row>
    <row r="43" spans="1:12" ht="14.25" customHeight="1">
      <c r="A43" s="3">
        <v>42</v>
      </c>
      <c r="B43" s="3" t="s">
        <v>3430</v>
      </c>
      <c r="C43" s="3" t="s">
        <v>526</v>
      </c>
      <c r="D43" s="3">
        <v>9876543729</v>
      </c>
      <c r="E43" s="3" t="s">
        <v>4418</v>
      </c>
      <c r="F43" s="3" t="str" cm="1">
        <f t="array" ref="F43">IF(E43="","",_xlfn.XLOOKUP(E43,{"FIRST","SECOND","THIRD","FOURTH"},{"SEM-1","SEM-2","SEM-3","SEM-4"},""))</f>
        <v>SEM-1</v>
      </c>
      <c r="G43" s="3">
        <v>90</v>
      </c>
      <c r="H43" s="3">
        <v>81</v>
      </c>
      <c r="I43" s="3">
        <v>12</v>
      </c>
      <c r="J43" s="3">
        <f t="shared" si="0"/>
        <v>183</v>
      </c>
      <c r="K43" s="3" t="str">
        <f t="shared" si="1"/>
        <v>P</v>
      </c>
      <c r="L43" s="3" t="str">
        <f t="shared" si="2"/>
        <v>B</v>
      </c>
    </row>
    <row r="44" spans="1:12" ht="14.25" customHeight="1">
      <c r="A44" s="3">
        <v>43</v>
      </c>
      <c r="B44" s="3" t="s">
        <v>3191</v>
      </c>
      <c r="C44" s="3" t="s">
        <v>289</v>
      </c>
      <c r="D44" s="3">
        <v>9876543490</v>
      </c>
      <c r="E44" s="3" t="s">
        <v>4418</v>
      </c>
      <c r="F44" s="3" t="str" cm="1">
        <f t="array" ref="F44">IF(E44="","",_xlfn.XLOOKUP(E44,{"FIRST","SECOND","THIRD","FOURTH"},{"SEM-1","SEM-2","SEM-3","SEM-4"},""))</f>
        <v>SEM-1</v>
      </c>
      <c r="G44" s="3">
        <v>91</v>
      </c>
      <c r="H44" s="3">
        <v>60</v>
      </c>
      <c r="I44" s="3">
        <v>84</v>
      </c>
      <c r="J44" s="3">
        <f t="shared" si="0"/>
        <v>235</v>
      </c>
      <c r="K44" s="3" t="str">
        <f t="shared" si="1"/>
        <v>P</v>
      </c>
      <c r="L44" s="3" t="str">
        <f t="shared" si="2"/>
        <v>A</v>
      </c>
    </row>
    <row r="45" spans="1:12" ht="14.25" customHeight="1">
      <c r="A45" s="3">
        <v>44</v>
      </c>
      <c r="B45" s="3" t="s">
        <v>3743</v>
      </c>
      <c r="C45" s="3" t="s">
        <v>836</v>
      </c>
      <c r="D45" s="3">
        <v>9876544042</v>
      </c>
      <c r="E45" s="3" t="s">
        <v>4419</v>
      </c>
      <c r="F45" s="3" t="str" cm="1">
        <f t="array" ref="F45">IF(E45="","",_xlfn.XLOOKUP(E45,{"FIRST","SECOND","THIRD","FOURTH"},{"SEM-1","SEM-2","SEM-3","SEM-4"},""))</f>
        <v>SEM-2</v>
      </c>
      <c r="G45" s="3">
        <v>12</v>
      </c>
      <c r="H45" s="3">
        <v>53</v>
      </c>
      <c r="I45" s="3">
        <v>71</v>
      </c>
      <c r="J45" s="3">
        <f t="shared" si="0"/>
        <v>136</v>
      </c>
      <c r="K45" s="3" t="str">
        <f t="shared" si="1"/>
        <v>P</v>
      </c>
      <c r="L45" s="3" t="str">
        <f t="shared" si="2"/>
        <v>C</v>
      </c>
    </row>
    <row r="46" spans="1:12" ht="14.25" customHeight="1">
      <c r="A46" s="3">
        <v>45</v>
      </c>
      <c r="B46" s="3" t="s">
        <v>3081</v>
      </c>
      <c r="C46" s="3" t="s">
        <v>179</v>
      </c>
      <c r="D46" s="3">
        <v>9876543380</v>
      </c>
      <c r="E46" s="3" t="s">
        <v>4420</v>
      </c>
      <c r="F46" s="3" t="str" cm="1">
        <f t="array" ref="F46">IF(E46="","",_xlfn.XLOOKUP(E46,{"FIRST","SECOND","THIRD","FOURTH"},{"SEM-1","SEM-2","SEM-3","SEM-4"},""))</f>
        <v>SEM-3</v>
      </c>
      <c r="G46" s="3">
        <v>32</v>
      </c>
      <c r="H46" s="3">
        <v>23</v>
      </c>
      <c r="I46" s="3">
        <v>19</v>
      </c>
      <c r="J46" s="3">
        <f t="shared" si="0"/>
        <v>74</v>
      </c>
      <c r="K46" s="3" t="str">
        <f t="shared" si="1"/>
        <v>F</v>
      </c>
      <c r="L46" s="3" t="str">
        <f t="shared" si="2"/>
        <v>FAIL</v>
      </c>
    </row>
    <row r="47" spans="1:12" ht="14.25" customHeight="1">
      <c r="A47" s="3">
        <v>46</v>
      </c>
      <c r="B47" s="3" t="s">
        <v>3854</v>
      </c>
      <c r="C47" s="3" t="s">
        <v>946</v>
      </c>
      <c r="D47" s="3">
        <v>9876544153</v>
      </c>
      <c r="E47" s="3" t="s">
        <v>4418</v>
      </c>
      <c r="F47" s="3" t="str" cm="1">
        <f t="array" ref="F47">IF(E47="","",_xlfn.XLOOKUP(E47,{"FIRST","SECOND","THIRD","FOURTH"},{"SEM-1","SEM-2","SEM-3","SEM-4"},""))</f>
        <v>SEM-1</v>
      </c>
      <c r="G47" s="3">
        <v>77</v>
      </c>
      <c r="H47" s="3">
        <v>65</v>
      </c>
      <c r="I47" s="3">
        <v>19</v>
      </c>
      <c r="J47" s="3">
        <f t="shared" si="0"/>
        <v>161</v>
      </c>
      <c r="K47" s="3" t="str">
        <f t="shared" si="1"/>
        <v>P</v>
      </c>
      <c r="L47" s="3" t="str">
        <f t="shared" si="2"/>
        <v>B</v>
      </c>
    </row>
    <row r="48" spans="1:12" ht="14.25" customHeight="1">
      <c r="A48" s="3">
        <v>47</v>
      </c>
      <c r="B48" s="3" t="s">
        <v>3403</v>
      </c>
      <c r="C48" s="3" t="s">
        <v>499</v>
      </c>
      <c r="D48" s="3">
        <v>9876543702</v>
      </c>
      <c r="E48" s="3" t="s">
        <v>4420</v>
      </c>
      <c r="F48" s="3" t="str" cm="1">
        <f t="array" ref="F48">IF(E48="","",_xlfn.XLOOKUP(E48,{"FIRST","SECOND","THIRD","FOURTH"},{"SEM-1","SEM-2","SEM-3","SEM-4"},""))</f>
        <v>SEM-3</v>
      </c>
      <c r="G48" s="3">
        <v>60</v>
      </c>
      <c r="H48" s="3">
        <v>82</v>
      </c>
      <c r="I48" s="3">
        <v>26</v>
      </c>
      <c r="J48" s="3">
        <f t="shared" si="0"/>
        <v>168</v>
      </c>
      <c r="K48" s="3" t="str">
        <f t="shared" si="1"/>
        <v>P</v>
      </c>
      <c r="L48" s="3" t="str">
        <f t="shared" si="2"/>
        <v>B</v>
      </c>
    </row>
    <row r="49" spans="1:12" ht="14.25" customHeight="1">
      <c r="A49" s="3">
        <v>48</v>
      </c>
      <c r="B49" s="3" t="s">
        <v>4212</v>
      </c>
      <c r="C49" s="3" t="s">
        <v>1295</v>
      </c>
      <c r="D49" s="3">
        <v>9876544511</v>
      </c>
      <c r="E49" s="3" t="s">
        <v>4418</v>
      </c>
      <c r="F49" s="3" t="str" cm="1">
        <f t="array" ref="F49">IF(E49="","",_xlfn.XLOOKUP(E49,{"FIRST","SECOND","THIRD","FOURTH"},{"SEM-1","SEM-2","SEM-3","SEM-4"},""))</f>
        <v>SEM-1</v>
      </c>
      <c r="G49" s="3">
        <v>77</v>
      </c>
      <c r="H49" s="3">
        <v>60</v>
      </c>
      <c r="I49" s="3">
        <v>8</v>
      </c>
      <c r="J49" s="3">
        <f t="shared" si="0"/>
        <v>145</v>
      </c>
      <c r="K49" s="3" t="str">
        <f t="shared" si="1"/>
        <v>P</v>
      </c>
      <c r="L49" s="3" t="str">
        <f t="shared" si="2"/>
        <v>C</v>
      </c>
    </row>
    <row r="50" spans="1:12" ht="14.25" customHeight="1">
      <c r="A50" s="3">
        <v>49</v>
      </c>
      <c r="B50" s="3" t="s">
        <v>3446</v>
      </c>
      <c r="C50" s="3" t="s">
        <v>542</v>
      </c>
      <c r="D50" s="3">
        <v>9876543745</v>
      </c>
      <c r="E50" s="3" t="s">
        <v>4420</v>
      </c>
      <c r="F50" s="3" t="str" cm="1">
        <f t="array" ref="F50">IF(E50="","",_xlfn.XLOOKUP(E50,{"FIRST","SECOND","THIRD","FOURTH"},{"SEM-1","SEM-2","SEM-3","SEM-4"},""))</f>
        <v>SEM-3</v>
      </c>
      <c r="G50" s="3">
        <v>66</v>
      </c>
      <c r="H50" s="3">
        <v>97</v>
      </c>
      <c r="I50" s="3">
        <v>34</v>
      </c>
      <c r="J50" s="3">
        <f t="shared" si="0"/>
        <v>197</v>
      </c>
      <c r="K50" s="3" t="str">
        <f t="shared" si="1"/>
        <v>P</v>
      </c>
      <c r="L50" s="3" t="str">
        <f t="shared" si="2"/>
        <v>A</v>
      </c>
    </row>
    <row r="51" spans="1:12" ht="14.25" customHeight="1">
      <c r="A51" s="3">
        <v>50</v>
      </c>
      <c r="B51" s="3" t="s">
        <v>3501</v>
      </c>
      <c r="C51" s="3" t="s">
        <v>596</v>
      </c>
      <c r="D51" s="3">
        <v>9876543800</v>
      </c>
      <c r="E51" s="3" t="s">
        <v>4420</v>
      </c>
      <c r="F51" s="3" t="str" cm="1">
        <f t="array" ref="F51">IF(E51="","",_xlfn.XLOOKUP(E51,{"FIRST","SECOND","THIRD","FOURTH"},{"SEM-1","SEM-2","SEM-3","SEM-4"},""))</f>
        <v>SEM-3</v>
      </c>
      <c r="G51" s="3">
        <v>61</v>
      </c>
      <c r="H51" s="3">
        <v>38</v>
      </c>
      <c r="I51" s="3">
        <v>11</v>
      </c>
      <c r="J51" s="3">
        <f t="shared" si="0"/>
        <v>110</v>
      </c>
      <c r="K51" s="3" t="str">
        <f t="shared" si="1"/>
        <v>F</v>
      </c>
      <c r="L51" s="3" t="str">
        <f t="shared" si="2"/>
        <v>FAIL</v>
      </c>
    </row>
    <row r="52" spans="1:12" ht="14.25" customHeight="1">
      <c r="A52" s="3">
        <v>51</v>
      </c>
      <c r="B52" s="3" t="s">
        <v>3123</v>
      </c>
      <c r="C52" s="3" t="s">
        <v>221</v>
      </c>
      <c r="D52" s="3">
        <v>9876543422</v>
      </c>
      <c r="E52" s="3" t="s">
        <v>4418</v>
      </c>
      <c r="F52" s="3" t="str" cm="1">
        <f t="array" ref="F52">IF(E52="","",_xlfn.XLOOKUP(E52,{"FIRST","SECOND","THIRD","FOURTH"},{"SEM-1","SEM-2","SEM-3","SEM-4"},""))</f>
        <v>SEM-1</v>
      </c>
      <c r="G52" s="3">
        <v>32</v>
      </c>
      <c r="H52" s="3">
        <v>9</v>
      </c>
      <c r="I52" s="3">
        <v>28</v>
      </c>
      <c r="J52" s="3">
        <f t="shared" si="0"/>
        <v>69</v>
      </c>
      <c r="K52" s="3" t="str">
        <f t="shared" si="1"/>
        <v>F</v>
      </c>
      <c r="L52" s="3" t="str">
        <f t="shared" si="2"/>
        <v>FAIL</v>
      </c>
    </row>
    <row r="53" spans="1:12" ht="14.25" customHeight="1">
      <c r="A53" s="3">
        <v>52</v>
      </c>
      <c r="B53" s="3" t="s">
        <v>3959</v>
      </c>
      <c r="C53" s="3" t="s">
        <v>1049</v>
      </c>
      <c r="D53" s="3">
        <v>9876544258</v>
      </c>
      <c r="E53" s="3" t="s">
        <v>4419</v>
      </c>
      <c r="F53" s="3" t="str" cm="1">
        <f t="array" ref="F53">IF(E53="","",_xlfn.XLOOKUP(E53,{"FIRST","SECOND","THIRD","FOURTH"},{"SEM-1","SEM-2","SEM-3","SEM-4"},""))</f>
        <v>SEM-2</v>
      </c>
      <c r="G53" s="3">
        <v>77</v>
      </c>
      <c r="H53" s="3">
        <v>20</v>
      </c>
      <c r="I53" s="3">
        <v>80</v>
      </c>
      <c r="J53" s="3">
        <f t="shared" si="0"/>
        <v>177</v>
      </c>
      <c r="K53" s="3" t="str">
        <f t="shared" si="1"/>
        <v>P</v>
      </c>
      <c r="L53" s="3" t="str">
        <f t="shared" si="2"/>
        <v>B</v>
      </c>
    </row>
    <row r="54" spans="1:12" ht="14.25" customHeight="1">
      <c r="A54" s="3">
        <v>53</v>
      </c>
      <c r="B54" s="3" t="s">
        <v>3778</v>
      </c>
      <c r="C54" s="3" t="s">
        <v>870</v>
      </c>
      <c r="D54" s="3">
        <v>9876544077</v>
      </c>
      <c r="E54" s="3" t="s">
        <v>4420</v>
      </c>
      <c r="F54" s="3" t="str" cm="1">
        <f t="array" ref="F54">IF(E54="","",_xlfn.XLOOKUP(E54,{"FIRST","SECOND","THIRD","FOURTH"},{"SEM-1","SEM-2","SEM-3","SEM-4"},""))</f>
        <v>SEM-3</v>
      </c>
      <c r="G54" s="3">
        <v>41</v>
      </c>
      <c r="H54" s="3">
        <v>61</v>
      </c>
      <c r="I54" s="3">
        <v>69</v>
      </c>
      <c r="J54" s="3">
        <f t="shared" si="0"/>
        <v>171</v>
      </c>
      <c r="K54" s="3" t="str">
        <f t="shared" si="1"/>
        <v>P</v>
      </c>
      <c r="L54" s="3" t="str">
        <f t="shared" si="2"/>
        <v>B</v>
      </c>
    </row>
    <row r="55" spans="1:12" ht="14.25" customHeight="1">
      <c r="A55" s="3">
        <v>54</v>
      </c>
      <c r="B55" s="3" t="s">
        <v>3586</v>
      </c>
      <c r="C55" s="3" t="s">
        <v>680</v>
      </c>
      <c r="D55" s="3">
        <v>9876543885</v>
      </c>
      <c r="E55" s="3" t="s">
        <v>4420</v>
      </c>
      <c r="F55" s="3" t="str" cm="1">
        <f t="array" ref="F55">IF(E55="","",_xlfn.XLOOKUP(E55,{"FIRST","SECOND","THIRD","FOURTH"},{"SEM-1","SEM-2","SEM-3","SEM-4"},""))</f>
        <v>SEM-3</v>
      </c>
      <c r="G55" s="3">
        <v>94</v>
      </c>
      <c r="H55" s="3">
        <v>77</v>
      </c>
      <c r="I55" s="3">
        <v>51</v>
      </c>
      <c r="J55" s="3">
        <f t="shared" si="0"/>
        <v>222</v>
      </c>
      <c r="K55" s="3" t="str">
        <f t="shared" si="1"/>
        <v>P</v>
      </c>
      <c r="L55" s="3" t="str">
        <f t="shared" si="2"/>
        <v>A</v>
      </c>
    </row>
    <row r="56" spans="1:12" ht="14.25" customHeight="1">
      <c r="A56" s="3">
        <v>55</v>
      </c>
      <c r="B56" s="3" t="s">
        <v>3689</v>
      </c>
      <c r="C56" s="3" t="s">
        <v>782</v>
      </c>
      <c r="D56" s="3">
        <v>9876543988</v>
      </c>
      <c r="E56" s="3" t="s">
        <v>4418</v>
      </c>
      <c r="F56" s="3" t="str" cm="1">
        <f t="array" ref="F56">IF(E56="","",_xlfn.XLOOKUP(E56,{"FIRST","SECOND","THIRD","FOURTH"},{"SEM-1","SEM-2","SEM-3","SEM-4"},""))</f>
        <v>SEM-1</v>
      </c>
      <c r="G56" s="3">
        <v>36</v>
      </c>
      <c r="H56" s="3">
        <v>1</v>
      </c>
      <c r="I56" s="3">
        <v>99</v>
      </c>
      <c r="J56" s="3">
        <f t="shared" si="0"/>
        <v>136</v>
      </c>
      <c r="K56" s="3" t="str">
        <f t="shared" si="1"/>
        <v>P</v>
      </c>
      <c r="L56" s="3" t="str">
        <f t="shared" si="2"/>
        <v>C</v>
      </c>
    </row>
    <row r="57" spans="1:12" ht="14.25" customHeight="1">
      <c r="A57" s="3">
        <v>56</v>
      </c>
      <c r="B57" s="3" t="s">
        <v>3747</v>
      </c>
      <c r="C57" s="3" t="s">
        <v>840</v>
      </c>
      <c r="D57" s="3">
        <v>9876544046</v>
      </c>
      <c r="E57" s="3" t="s">
        <v>4419</v>
      </c>
      <c r="F57" s="3" t="str" cm="1">
        <f t="array" ref="F57">IF(E57="","",_xlfn.XLOOKUP(E57,{"FIRST","SECOND","THIRD","FOURTH"},{"SEM-1","SEM-2","SEM-3","SEM-4"},""))</f>
        <v>SEM-2</v>
      </c>
      <c r="G57" s="3">
        <v>41</v>
      </c>
      <c r="H57" s="3">
        <v>4</v>
      </c>
      <c r="I57" s="3">
        <v>92</v>
      </c>
      <c r="J57" s="3">
        <f t="shared" si="0"/>
        <v>137</v>
      </c>
      <c r="K57" s="3" t="str">
        <f t="shared" si="1"/>
        <v>P</v>
      </c>
      <c r="L57" s="3" t="str">
        <f t="shared" si="2"/>
        <v>C</v>
      </c>
    </row>
    <row r="58" spans="1:12" ht="14.25" customHeight="1">
      <c r="A58" s="3">
        <v>57</v>
      </c>
      <c r="B58" s="3" t="s">
        <v>3690</v>
      </c>
      <c r="C58" s="3" t="s">
        <v>783</v>
      </c>
      <c r="D58" s="3">
        <v>9876543989</v>
      </c>
      <c r="E58" s="3" t="s">
        <v>4419</v>
      </c>
      <c r="F58" s="3" t="str" cm="1">
        <f t="array" ref="F58">IF(E58="","",_xlfn.XLOOKUP(E58,{"FIRST","SECOND","THIRD","FOURTH"},{"SEM-1","SEM-2","SEM-3","SEM-4"},""))</f>
        <v>SEM-2</v>
      </c>
      <c r="G58" s="3">
        <v>33</v>
      </c>
      <c r="H58" s="3">
        <v>5</v>
      </c>
      <c r="I58" s="3">
        <v>61</v>
      </c>
      <c r="J58" s="3">
        <f t="shared" si="0"/>
        <v>99</v>
      </c>
      <c r="K58" s="3" t="str">
        <f t="shared" si="1"/>
        <v>F</v>
      </c>
      <c r="L58" s="3" t="str">
        <f t="shared" si="2"/>
        <v>FAIL</v>
      </c>
    </row>
    <row r="59" spans="1:12" ht="14.25" customHeight="1">
      <c r="A59" s="3">
        <v>58</v>
      </c>
      <c r="B59" s="3" t="s">
        <v>3795</v>
      </c>
      <c r="C59" s="3" t="s">
        <v>887</v>
      </c>
      <c r="D59" s="3">
        <v>9876544094</v>
      </c>
      <c r="E59" s="3" t="s">
        <v>4420</v>
      </c>
      <c r="F59" s="3" t="str" cm="1">
        <f t="array" ref="F59">IF(E59="","",_xlfn.XLOOKUP(E59,{"FIRST","SECOND","THIRD","FOURTH"},{"SEM-1","SEM-2","SEM-3","SEM-4"},""))</f>
        <v>SEM-3</v>
      </c>
      <c r="G59" s="3">
        <v>59</v>
      </c>
      <c r="H59" s="3">
        <v>64</v>
      </c>
      <c r="I59" s="3">
        <v>81</v>
      </c>
      <c r="J59" s="3">
        <f t="shared" si="0"/>
        <v>204</v>
      </c>
      <c r="K59" s="3" t="str">
        <f t="shared" si="1"/>
        <v>P</v>
      </c>
      <c r="L59" s="3" t="str">
        <f t="shared" si="2"/>
        <v>A</v>
      </c>
    </row>
    <row r="60" spans="1:12" ht="14.25" customHeight="1">
      <c r="A60" s="3">
        <v>59</v>
      </c>
      <c r="B60" s="3" t="s">
        <v>4159</v>
      </c>
      <c r="C60" s="3" t="s">
        <v>1244</v>
      </c>
      <c r="D60" s="3">
        <v>9876544458</v>
      </c>
      <c r="E60" s="3" t="s">
        <v>4418</v>
      </c>
      <c r="F60" s="3" t="str" cm="1">
        <f t="array" ref="F60">IF(E60="","",_xlfn.XLOOKUP(E60,{"FIRST","SECOND","THIRD","FOURTH"},{"SEM-1","SEM-2","SEM-3","SEM-4"},""))</f>
        <v>SEM-1</v>
      </c>
      <c r="G60" s="3">
        <v>34</v>
      </c>
      <c r="H60" s="3">
        <v>30</v>
      </c>
      <c r="I60" s="3">
        <v>85</v>
      </c>
      <c r="J60" s="3">
        <f t="shared" si="0"/>
        <v>149</v>
      </c>
      <c r="K60" s="3" t="str">
        <f t="shared" si="1"/>
        <v>P</v>
      </c>
      <c r="L60" s="3" t="str">
        <f t="shared" si="2"/>
        <v>C</v>
      </c>
    </row>
    <row r="61" spans="1:12" ht="14.25" customHeight="1">
      <c r="A61" s="3">
        <v>60</v>
      </c>
      <c r="B61" s="3" t="s">
        <v>3809</v>
      </c>
      <c r="C61" s="3" t="s">
        <v>901</v>
      </c>
      <c r="D61" s="3">
        <v>9876544108</v>
      </c>
      <c r="E61" s="3" t="s">
        <v>4418</v>
      </c>
      <c r="F61" s="3" t="str" cm="1">
        <f t="array" ref="F61">IF(E61="","",_xlfn.XLOOKUP(E61,{"FIRST","SECOND","THIRD","FOURTH"},{"SEM-1","SEM-2","SEM-3","SEM-4"},""))</f>
        <v>SEM-1</v>
      </c>
      <c r="G61" s="3">
        <v>35</v>
      </c>
      <c r="H61" s="3">
        <v>63</v>
      </c>
      <c r="I61" s="3">
        <v>30</v>
      </c>
      <c r="J61" s="3">
        <f t="shared" si="0"/>
        <v>128</v>
      </c>
      <c r="K61" s="3" t="str">
        <f t="shared" si="1"/>
        <v>P</v>
      </c>
      <c r="L61" s="3" t="str">
        <f t="shared" si="2"/>
        <v>C</v>
      </c>
    </row>
    <row r="62" spans="1:12" ht="14.25" customHeight="1">
      <c r="A62" s="3">
        <v>61</v>
      </c>
      <c r="B62" s="3" t="s">
        <v>4098</v>
      </c>
      <c r="C62" s="3" t="s">
        <v>1183</v>
      </c>
      <c r="D62" s="3">
        <v>9876544397</v>
      </c>
      <c r="E62" s="3" t="s">
        <v>4418</v>
      </c>
      <c r="F62" s="3" t="str" cm="1">
        <f t="array" ref="F62">IF(E62="","",_xlfn.XLOOKUP(E62,{"FIRST","SECOND","THIRD","FOURTH"},{"SEM-1","SEM-2","SEM-3","SEM-4"},""))</f>
        <v>SEM-1</v>
      </c>
      <c r="G62" s="3">
        <v>29</v>
      </c>
      <c r="H62" s="3">
        <v>94</v>
      </c>
      <c r="I62" s="3">
        <v>53</v>
      </c>
      <c r="J62" s="3">
        <f t="shared" si="0"/>
        <v>176</v>
      </c>
      <c r="K62" s="3" t="str">
        <f t="shared" si="1"/>
        <v>P</v>
      </c>
      <c r="L62" s="3" t="str">
        <f t="shared" si="2"/>
        <v>B</v>
      </c>
    </row>
    <row r="63" spans="1:12" ht="14.25" customHeight="1">
      <c r="A63" s="3">
        <v>62</v>
      </c>
      <c r="B63" s="3" t="s">
        <v>3253</v>
      </c>
      <c r="C63" s="3" t="s">
        <v>350</v>
      </c>
      <c r="D63" s="3">
        <v>9876543552</v>
      </c>
      <c r="E63" s="3" t="s">
        <v>4419</v>
      </c>
      <c r="F63" s="3" t="str" cm="1">
        <f t="array" ref="F63">IF(E63="","",_xlfn.XLOOKUP(E63,{"FIRST","SECOND","THIRD","FOURTH"},{"SEM-1","SEM-2","SEM-3","SEM-4"},""))</f>
        <v>SEM-2</v>
      </c>
      <c r="G63" s="3">
        <v>36</v>
      </c>
      <c r="H63" s="3">
        <v>76</v>
      </c>
      <c r="I63" s="3">
        <v>85</v>
      </c>
      <c r="J63" s="3">
        <f t="shared" si="0"/>
        <v>197</v>
      </c>
      <c r="K63" s="3" t="str">
        <f t="shared" si="1"/>
        <v>P</v>
      </c>
      <c r="L63" s="3" t="str">
        <f t="shared" si="2"/>
        <v>A</v>
      </c>
    </row>
    <row r="64" spans="1:12" ht="14.25" customHeight="1">
      <c r="A64" s="3">
        <v>63</v>
      </c>
      <c r="B64" s="3" t="s">
        <v>3875</v>
      </c>
      <c r="C64" s="3" t="s">
        <v>966</v>
      </c>
      <c r="D64" s="3">
        <v>9876544174</v>
      </c>
      <c r="E64" s="3" t="s">
        <v>4420</v>
      </c>
      <c r="F64" s="3" t="str" cm="1">
        <f t="array" ref="F64">IF(E64="","",_xlfn.XLOOKUP(E64,{"FIRST","SECOND","THIRD","FOURTH"},{"SEM-1","SEM-2","SEM-3","SEM-4"},""))</f>
        <v>SEM-3</v>
      </c>
      <c r="G64" s="3">
        <v>21</v>
      </c>
      <c r="H64" s="3">
        <v>35</v>
      </c>
      <c r="I64" s="3">
        <v>72</v>
      </c>
      <c r="J64" s="3">
        <f t="shared" si="0"/>
        <v>128</v>
      </c>
      <c r="K64" s="3" t="str">
        <f t="shared" si="1"/>
        <v>P</v>
      </c>
      <c r="L64" s="3" t="str">
        <f t="shared" si="2"/>
        <v>C</v>
      </c>
    </row>
    <row r="65" spans="1:12" ht="14.25" customHeight="1">
      <c r="A65" s="3">
        <v>64</v>
      </c>
      <c r="B65" s="3" t="s">
        <v>4379</v>
      </c>
      <c r="C65" s="3" t="s">
        <v>1458</v>
      </c>
      <c r="D65" s="3">
        <v>9876544678</v>
      </c>
      <c r="E65" s="3" t="s">
        <v>4419</v>
      </c>
      <c r="F65" s="3" t="str" cm="1">
        <f t="array" ref="F65">IF(E65="","",_xlfn.XLOOKUP(E65,{"FIRST","SECOND","THIRD","FOURTH"},{"SEM-1","SEM-2","SEM-3","SEM-4"},""))</f>
        <v>SEM-2</v>
      </c>
      <c r="G65" s="3">
        <v>83</v>
      </c>
      <c r="H65" s="3">
        <v>22</v>
      </c>
      <c r="I65" s="3">
        <v>36</v>
      </c>
      <c r="J65" s="3">
        <f t="shared" si="0"/>
        <v>141</v>
      </c>
      <c r="K65" s="3" t="str">
        <f t="shared" si="1"/>
        <v>P</v>
      </c>
      <c r="L65" s="3" t="str">
        <f t="shared" si="2"/>
        <v>C</v>
      </c>
    </row>
    <row r="66" spans="1:12" ht="14.25" customHeight="1">
      <c r="A66" s="3">
        <v>65</v>
      </c>
      <c r="B66" s="3" t="s">
        <v>3070</v>
      </c>
      <c r="C66" s="3" t="s">
        <v>168</v>
      </c>
      <c r="D66" s="3">
        <v>9876543369</v>
      </c>
      <c r="E66" s="3" t="s">
        <v>4418</v>
      </c>
      <c r="F66" s="3" t="str" cm="1">
        <f t="array" ref="F66">IF(E66="","",_xlfn.XLOOKUP(E66,{"FIRST","SECOND","THIRD","FOURTH"},{"SEM-1","SEM-2","SEM-3","SEM-4"},""))</f>
        <v>SEM-1</v>
      </c>
      <c r="G66" s="3">
        <v>16</v>
      </c>
      <c r="H66" s="3">
        <v>7</v>
      </c>
      <c r="I66" s="3">
        <v>96</v>
      </c>
      <c r="J66" s="3">
        <f t="shared" ref="J66:J129" si="3">SUM(G66:I66)</f>
        <v>119</v>
      </c>
      <c r="K66" s="3" t="str">
        <f t="shared" ref="K66:K129" si="4">IF(OR(G66&gt;=70,H66&gt;=70,I66&gt;=70,J66&gt;=120),"P","F")</f>
        <v>P</v>
      </c>
      <c r="L66" s="3" t="str">
        <f t="shared" ref="L66:L129" si="5">IF(J66&gt;=190,"A",IF(J66&gt;=150,"B",IF(J66&gt;=120,"C","FAIL")))</f>
        <v>FAIL</v>
      </c>
    </row>
    <row r="67" spans="1:12" ht="14.25" customHeight="1">
      <c r="A67" s="3">
        <v>66</v>
      </c>
      <c r="B67" s="3" t="s">
        <v>3214</v>
      </c>
      <c r="C67" s="3" t="s">
        <v>311</v>
      </c>
      <c r="D67" s="3">
        <v>9876543513</v>
      </c>
      <c r="E67" s="3" t="s">
        <v>4419</v>
      </c>
      <c r="F67" s="3" t="str" cm="1">
        <f t="array" ref="F67">IF(E67="","",_xlfn.XLOOKUP(E67,{"FIRST","SECOND","THIRD","FOURTH"},{"SEM-1","SEM-2","SEM-3","SEM-4"},""))</f>
        <v>SEM-2</v>
      </c>
      <c r="G67" s="3">
        <v>16</v>
      </c>
      <c r="H67" s="3">
        <v>7</v>
      </c>
      <c r="I67" s="3">
        <v>60</v>
      </c>
      <c r="J67" s="3">
        <f t="shared" si="3"/>
        <v>83</v>
      </c>
      <c r="K67" s="3" t="str">
        <f t="shared" si="4"/>
        <v>F</v>
      </c>
      <c r="L67" s="3" t="str">
        <f t="shared" si="5"/>
        <v>FAIL</v>
      </c>
    </row>
    <row r="68" spans="1:12" ht="14.25" customHeight="1">
      <c r="A68" s="3">
        <v>67</v>
      </c>
      <c r="B68" s="3" t="s">
        <v>3842</v>
      </c>
      <c r="C68" s="3" t="s">
        <v>934</v>
      </c>
      <c r="D68" s="3">
        <v>9876544141</v>
      </c>
      <c r="E68" s="3" t="s">
        <v>4420</v>
      </c>
      <c r="F68" s="3" t="str" cm="1">
        <f t="array" ref="F68">IF(E68="","",_xlfn.XLOOKUP(E68,{"FIRST","SECOND","THIRD","FOURTH"},{"SEM-1","SEM-2","SEM-3","SEM-4"},""))</f>
        <v>SEM-3</v>
      </c>
      <c r="G68" s="3">
        <v>53</v>
      </c>
      <c r="H68" s="3">
        <v>15</v>
      </c>
      <c r="I68" s="3">
        <v>73</v>
      </c>
      <c r="J68" s="3">
        <f t="shared" si="3"/>
        <v>141</v>
      </c>
      <c r="K68" s="3" t="str">
        <f t="shared" si="4"/>
        <v>P</v>
      </c>
      <c r="L68" s="3" t="str">
        <f t="shared" si="5"/>
        <v>C</v>
      </c>
    </row>
    <row r="69" spans="1:12" ht="14.25" customHeight="1">
      <c r="A69" s="3">
        <v>68</v>
      </c>
      <c r="B69" s="3" t="s">
        <v>3273</v>
      </c>
      <c r="C69" s="3" t="s">
        <v>370</v>
      </c>
      <c r="D69" s="3">
        <v>9876543572</v>
      </c>
      <c r="E69" s="3" t="s">
        <v>4418</v>
      </c>
      <c r="F69" s="3" t="str" cm="1">
        <f t="array" ref="F69">IF(E69="","",_xlfn.XLOOKUP(E69,{"FIRST","SECOND","THIRD","FOURTH"},{"SEM-1","SEM-2","SEM-3","SEM-4"},""))</f>
        <v>SEM-1</v>
      </c>
      <c r="G69" s="3">
        <v>99</v>
      </c>
      <c r="H69" s="3">
        <v>7</v>
      </c>
      <c r="I69" s="3">
        <v>83</v>
      </c>
      <c r="J69" s="3">
        <f t="shared" si="3"/>
        <v>189</v>
      </c>
      <c r="K69" s="3" t="str">
        <f t="shared" si="4"/>
        <v>P</v>
      </c>
      <c r="L69" s="3" t="str">
        <f t="shared" si="5"/>
        <v>B</v>
      </c>
    </row>
    <row r="70" spans="1:12" ht="14.25" customHeight="1">
      <c r="A70" s="3">
        <v>69</v>
      </c>
      <c r="B70" s="3" t="s">
        <v>3538</v>
      </c>
      <c r="C70" s="3" t="s">
        <v>632</v>
      </c>
      <c r="D70" s="3">
        <v>9876543837</v>
      </c>
      <c r="E70" s="3" t="s">
        <v>4419</v>
      </c>
      <c r="F70" s="3" t="str" cm="1">
        <f t="array" ref="F70">IF(E70="","",_xlfn.XLOOKUP(E70,{"FIRST","SECOND","THIRD","FOURTH"},{"SEM-1","SEM-2","SEM-3","SEM-4"},""))</f>
        <v>SEM-2</v>
      </c>
      <c r="G70" s="3">
        <v>31</v>
      </c>
      <c r="H70" s="3">
        <v>33</v>
      </c>
      <c r="I70" s="3">
        <v>75</v>
      </c>
      <c r="J70" s="3">
        <f t="shared" si="3"/>
        <v>139</v>
      </c>
      <c r="K70" s="3" t="str">
        <f t="shared" si="4"/>
        <v>P</v>
      </c>
      <c r="L70" s="3" t="str">
        <f t="shared" si="5"/>
        <v>C</v>
      </c>
    </row>
    <row r="71" spans="1:12" ht="14.25" customHeight="1">
      <c r="A71" s="3">
        <v>70</v>
      </c>
      <c r="B71" s="3" t="s">
        <v>4384</v>
      </c>
      <c r="C71" s="3" t="s">
        <v>1463</v>
      </c>
      <c r="D71" s="3">
        <v>9876544683</v>
      </c>
      <c r="E71" s="3" t="s">
        <v>4418</v>
      </c>
      <c r="F71" s="3" t="str" cm="1">
        <f t="array" ref="F71">IF(E71="","",_xlfn.XLOOKUP(E71,{"FIRST","SECOND","THIRD","FOURTH"},{"SEM-1","SEM-2","SEM-3","SEM-4"},""))</f>
        <v>SEM-1</v>
      </c>
      <c r="G71" s="3">
        <v>85</v>
      </c>
      <c r="H71" s="3">
        <v>93</v>
      </c>
      <c r="I71" s="3">
        <v>6</v>
      </c>
      <c r="J71" s="3">
        <f t="shared" si="3"/>
        <v>184</v>
      </c>
      <c r="K71" s="3" t="str">
        <f t="shared" si="4"/>
        <v>P</v>
      </c>
      <c r="L71" s="3" t="str">
        <f t="shared" si="5"/>
        <v>B</v>
      </c>
    </row>
    <row r="72" spans="1:12" ht="14.25" customHeight="1">
      <c r="A72" s="3">
        <v>71</v>
      </c>
      <c r="B72" s="3" t="s">
        <v>3621</v>
      </c>
      <c r="C72" s="3" t="s">
        <v>715</v>
      </c>
      <c r="D72" s="3">
        <v>9876543920</v>
      </c>
      <c r="E72" s="3" t="s">
        <v>4418</v>
      </c>
      <c r="F72" s="3" t="str" cm="1">
        <f t="array" ref="F72">IF(E72="","",_xlfn.XLOOKUP(E72,{"FIRST","SECOND","THIRD","FOURTH"},{"SEM-1","SEM-2","SEM-3","SEM-4"},""))</f>
        <v>SEM-1</v>
      </c>
      <c r="G72" s="3">
        <v>65</v>
      </c>
      <c r="H72" s="3">
        <v>19</v>
      </c>
      <c r="I72" s="3">
        <v>92</v>
      </c>
      <c r="J72" s="3">
        <f t="shared" si="3"/>
        <v>176</v>
      </c>
      <c r="K72" s="3" t="str">
        <f t="shared" si="4"/>
        <v>P</v>
      </c>
      <c r="L72" s="3" t="str">
        <f t="shared" si="5"/>
        <v>B</v>
      </c>
    </row>
    <row r="73" spans="1:12" ht="14.25" customHeight="1">
      <c r="A73" s="3">
        <v>72</v>
      </c>
      <c r="B73" s="3" t="s">
        <v>3057</v>
      </c>
      <c r="C73" s="3" t="s">
        <v>155</v>
      </c>
      <c r="D73" s="3">
        <v>9876543356</v>
      </c>
      <c r="E73" s="3" t="s">
        <v>4420</v>
      </c>
      <c r="F73" s="3" t="str" cm="1">
        <f t="array" ref="F73">IF(E73="","",_xlfn.XLOOKUP(E73,{"FIRST","SECOND","THIRD","FOURTH"},{"SEM-1","SEM-2","SEM-3","SEM-4"},""))</f>
        <v>SEM-3</v>
      </c>
      <c r="G73" s="3">
        <v>97</v>
      </c>
      <c r="H73" s="3">
        <v>3</v>
      </c>
      <c r="I73" s="3">
        <v>100</v>
      </c>
      <c r="J73" s="3">
        <f t="shared" si="3"/>
        <v>200</v>
      </c>
      <c r="K73" s="3" t="str">
        <f t="shared" si="4"/>
        <v>P</v>
      </c>
      <c r="L73" s="3" t="str">
        <f t="shared" si="5"/>
        <v>A</v>
      </c>
    </row>
    <row r="74" spans="1:12" ht="14.25" customHeight="1">
      <c r="A74" s="3">
        <v>73</v>
      </c>
      <c r="B74" s="3" t="s">
        <v>4005</v>
      </c>
      <c r="C74" s="3" t="s">
        <v>1094</v>
      </c>
      <c r="D74" s="3">
        <v>9876544304</v>
      </c>
      <c r="E74" s="3" t="s">
        <v>4418</v>
      </c>
      <c r="F74" s="3" t="str" cm="1">
        <f t="array" ref="F74">IF(E74="","",_xlfn.XLOOKUP(E74,{"FIRST","SECOND","THIRD","FOURTH"},{"SEM-1","SEM-2","SEM-3","SEM-4"},""))</f>
        <v>SEM-1</v>
      </c>
      <c r="G74" s="3">
        <v>100</v>
      </c>
      <c r="H74" s="3">
        <v>32</v>
      </c>
      <c r="I74" s="3">
        <v>94</v>
      </c>
      <c r="J74" s="3">
        <f t="shared" si="3"/>
        <v>226</v>
      </c>
      <c r="K74" s="3" t="str">
        <f t="shared" si="4"/>
        <v>P</v>
      </c>
      <c r="L74" s="3" t="str">
        <f t="shared" si="5"/>
        <v>A</v>
      </c>
    </row>
    <row r="75" spans="1:12" ht="14.25" customHeight="1">
      <c r="A75" s="3">
        <v>74</v>
      </c>
      <c r="B75" s="3" t="s">
        <v>3684</v>
      </c>
      <c r="C75" s="3" t="s">
        <v>777</v>
      </c>
      <c r="D75" s="3">
        <v>9876543983</v>
      </c>
      <c r="E75" s="3" t="s">
        <v>4420</v>
      </c>
      <c r="F75" s="3" t="str" cm="1">
        <f t="array" ref="F75">IF(E75="","",_xlfn.XLOOKUP(E75,{"FIRST","SECOND","THIRD","FOURTH"},{"SEM-1","SEM-2","SEM-3","SEM-4"},""))</f>
        <v>SEM-3</v>
      </c>
      <c r="G75" s="3">
        <v>88</v>
      </c>
      <c r="H75" s="3">
        <v>71</v>
      </c>
      <c r="I75" s="3">
        <v>66</v>
      </c>
      <c r="J75" s="3">
        <f t="shared" si="3"/>
        <v>225</v>
      </c>
      <c r="K75" s="3" t="str">
        <f t="shared" si="4"/>
        <v>P</v>
      </c>
      <c r="L75" s="3" t="str">
        <f t="shared" si="5"/>
        <v>A</v>
      </c>
    </row>
    <row r="76" spans="1:12" ht="14.25" customHeight="1">
      <c r="A76" s="3">
        <v>75</v>
      </c>
      <c r="B76" s="3" t="s">
        <v>3025</v>
      </c>
      <c r="C76" s="3" t="s">
        <v>123</v>
      </c>
      <c r="D76" s="3">
        <v>9876543324</v>
      </c>
      <c r="E76" s="3" t="s">
        <v>4418</v>
      </c>
      <c r="F76" s="3" t="str" cm="1">
        <f t="array" ref="F76">IF(E76="","",_xlfn.XLOOKUP(E76,{"FIRST","SECOND","THIRD","FOURTH"},{"SEM-1","SEM-2","SEM-3","SEM-4"},""))</f>
        <v>SEM-1</v>
      </c>
      <c r="G76" s="3">
        <v>47</v>
      </c>
      <c r="H76" s="3">
        <v>59</v>
      </c>
      <c r="I76" s="3">
        <v>7</v>
      </c>
      <c r="J76" s="3">
        <f t="shared" si="3"/>
        <v>113</v>
      </c>
      <c r="K76" s="3" t="str">
        <f t="shared" si="4"/>
        <v>F</v>
      </c>
      <c r="L76" s="3" t="str">
        <f t="shared" si="5"/>
        <v>FAIL</v>
      </c>
    </row>
    <row r="77" spans="1:12" ht="14.25" customHeight="1">
      <c r="A77" s="3">
        <v>76</v>
      </c>
      <c r="B77" s="3" t="s">
        <v>2912</v>
      </c>
      <c r="C77" s="3" t="s">
        <v>10</v>
      </c>
      <c r="D77" s="3">
        <v>9876543211</v>
      </c>
      <c r="E77" s="3" t="s">
        <v>4419</v>
      </c>
      <c r="F77" s="3" t="str" cm="1">
        <f t="array" ref="F77">IF(E77="","",_xlfn.XLOOKUP(E77,{"FIRST","SECOND","THIRD","FOURTH"},{"SEM-1","SEM-2","SEM-3","SEM-4"},""))</f>
        <v>SEM-2</v>
      </c>
      <c r="G77" s="3">
        <v>95</v>
      </c>
      <c r="H77" s="3">
        <v>83</v>
      </c>
      <c r="I77" s="3">
        <v>58</v>
      </c>
      <c r="J77" s="3">
        <f t="shared" si="3"/>
        <v>236</v>
      </c>
      <c r="K77" s="3" t="str">
        <f t="shared" si="4"/>
        <v>P</v>
      </c>
      <c r="L77" s="3" t="str">
        <f t="shared" si="5"/>
        <v>A</v>
      </c>
    </row>
    <row r="78" spans="1:12" ht="14.25" customHeight="1">
      <c r="A78" s="3">
        <v>77</v>
      </c>
      <c r="B78" s="3" t="s">
        <v>4273</v>
      </c>
      <c r="C78" s="3" t="s">
        <v>1354</v>
      </c>
      <c r="D78" s="3">
        <v>9876544572</v>
      </c>
      <c r="E78" s="3" t="s">
        <v>4418</v>
      </c>
      <c r="F78" s="3" t="str" cm="1">
        <f t="array" ref="F78">IF(E78="","",_xlfn.XLOOKUP(E78,{"FIRST","SECOND","THIRD","FOURTH"},{"SEM-1","SEM-2","SEM-3","SEM-4"},""))</f>
        <v>SEM-1</v>
      </c>
      <c r="G78" s="3">
        <v>90</v>
      </c>
      <c r="H78" s="3">
        <v>32</v>
      </c>
      <c r="I78" s="3">
        <v>86</v>
      </c>
      <c r="J78" s="3">
        <f t="shared" si="3"/>
        <v>208</v>
      </c>
      <c r="K78" s="3" t="str">
        <f t="shared" si="4"/>
        <v>P</v>
      </c>
      <c r="L78" s="3" t="str">
        <f t="shared" si="5"/>
        <v>A</v>
      </c>
    </row>
    <row r="79" spans="1:12" ht="14.25" customHeight="1">
      <c r="A79" s="3">
        <v>78</v>
      </c>
      <c r="B79" s="3" t="s">
        <v>3738</v>
      </c>
      <c r="C79" s="3" t="s">
        <v>831</v>
      </c>
      <c r="D79" s="3">
        <v>9876544037</v>
      </c>
      <c r="E79" s="3" t="s">
        <v>4419</v>
      </c>
      <c r="F79" s="3" t="str" cm="1">
        <f t="array" ref="F79">IF(E79="","",_xlfn.XLOOKUP(E79,{"FIRST","SECOND","THIRD","FOURTH"},{"SEM-1","SEM-2","SEM-3","SEM-4"},""))</f>
        <v>SEM-2</v>
      </c>
      <c r="G79" s="3">
        <v>54</v>
      </c>
      <c r="H79" s="3">
        <v>22</v>
      </c>
      <c r="I79" s="3">
        <v>77</v>
      </c>
      <c r="J79" s="3">
        <f t="shared" si="3"/>
        <v>153</v>
      </c>
      <c r="K79" s="3" t="str">
        <f t="shared" si="4"/>
        <v>P</v>
      </c>
      <c r="L79" s="3" t="str">
        <f t="shared" si="5"/>
        <v>B</v>
      </c>
    </row>
    <row r="80" spans="1:12" ht="14.25" customHeight="1">
      <c r="A80" s="3">
        <v>79</v>
      </c>
      <c r="B80" s="3" t="s">
        <v>3425</v>
      </c>
      <c r="C80" s="3" t="s">
        <v>521</v>
      </c>
      <c r="D80" s="3">
        <v>9876543724</v>
      </c>
      <c r="E80" s="3" t="s">
        <v>4418</v>
      </c>
      <c r="F80" s="3" t="str" cm="1">
        <f t="array" ref="F80">IF(E80="","",_xlfn.XLOOKUP(E80,{"FIRST","SECOND","THIRD","FOURTH"},{"SEM-1","SEM-2","SEM-3","SEM-4"},""))</f>
        <v>SEM-1</v>
      </c>
      <c r="G80" s="3">
        <v>92</v>
      </c>
      <c r="H80" s="3">
        <v>27</v>
      </c>
      <c r="I80" s="3">
        <v>71</v>
      </c>
      <c r="J80" s="3">
        <f t="shared" si="3"/>
        <v>190</v>
      </c>
      <c r="K80" s="3" t="str">
        <f t="shared" si="4"/>
        <v>P</v>
      </c>
      <c r="L80" s="3" t="str">
        <f t="shared" si="5"/>
        <v>A</v>
      </c>
    </row>
    <row r="81" spans="1:12" ht="14.25" customHeight="1">
      <c r="A81" s="3">
        <v>80</v>
      </c>
      <c r="B81" s="3" t="s">
        <v>4085</v>
      </c>
      <c r="C81" s="3" t="s">
        <v>1171</v>
      </c>
      <c r="D81" s="3">
        <v>9876544384</v>
      </c>
      <c r="E81" s="3" t="s">
        <v>4418</v>
      </c>
      <c r="F81" s="3" t="str" cm="1">
        <f t="array" ref="F81">IF(E81="","",_xlfn.XLOOKUP(E81,{"FIRST","SECOND","THIRD","FOURTH"},{"SEM-1","SEM-2","SEM-3","SEM-4"},""))</f>
        <v>SEM-1</v>
      </c>
      <c r="G81" s="3">
        <v>43</v>
      </c>
      <c r="H81" s="3">
        <v>94</v>
      </c>
      <c r="I81" s="3">
        <v>98</v>
      </c>
      <c r="J81" s="3">
        <f t="shared" si="3"/>
        <v>235</v>
      </c>
      <c r="K81" s="3" t="str">
        <f t="shared" si="4"/>
        <v>P</v>
      </c>
      <c r="L81" s="3" t="str">
        <f t="shared" si="5"/>
        <v>A</v>
      </c>
    </row>
    <row r="82" spans="1:12" ht="14.25" customHeight="1">
      <c r="A82" s="3">
        <v>81</v>
      </c>
      <c r="B82" s="3" t="s">
        <v>3155</v>
      </c>
      <c r="C82" s="3" t="s">
        <v>253</v>
      </c>
      <c r="D82" s="3">
        <v>9876543454</v>
      </c>
      <c r="E82" s="3" t="s">
        <v>4418</v>
      </c>
      <c r="F82" s="3" t="str" cm="1">
        <f t="array" ref="F82">IF(E82="","",_xlfn.XLOOKUP(E82,{"FIRST","SECOND","THIRD","FOURTH"},{"SEM-1","SEM-2","SEM-3","SEM-4"},""))</f>
        <v>SEM-1</v>
      </c>
      <c r="G82" s="3">
        <v>45</v>
      </c>
      <c r="H82" s="3">
        <v>45</v>
      </c>
      <c r="I82" s="3">
        <v>1</v>
      </c>
      <c r="J82" s="3">
        <f t="shared" si="3"/>
        <v>91</v>
      </c>
      <c r="K82" s="3" t="str">
        <f t="shared" si="4"/>
        <v>F</v>
      </c>
      <c r="L82" s="3" t="str">
        <f t="shared" si="5"/>
        <v>FAIL</v>
      </c>
    </row>
    <row r="83" spans="1:12" ht="14.25" customHeight="1">
      <c r="A83" s="3">
        <v>82</v>
      </c>
      <c r="B83" s="3" t="s">
        <v>3900</v>
      </c>
      <c r="C83" s="3" t="s">
        <v>991</v>
      </c>
      <c r="D83" s="3">
        <v>9876544199</v>
      </c>
      <c r="E83" s="3" t="s">
        <v>4419</v>
      </c>
      <c r="F83" s="3" t="str" cm="1">
        <f t="array" ref="F83">IF(E83="","",_xlfn.XLOOKUP(E83,{"FIRST","SECOND","THIRD","FOURTH"},{"SEM-1","SEM-2","SEM-3","SEM-4"},""))</f>
        <v>SEM-2</v>
      </c>
      <c r="G83" s="3">
        <v>46</v>
      </c>
      <c r="H83" s="3">
        <v>91</v>
      </c>
      <c r="I83" s="3">
        <v>77</v>
      </c>
      <c r="J83" s="3">
        <f t="shared" si="3"/>
        <v>214</v>
      </c>
      <c r="K83" s="3" t="str">
        <f t="shared" si="4"/>
        <v>P</v>
      </c>
      <c r="L83" s="3" t="str">
        <f t="shared" si="5"/>
        <v>A</v>
      </c>
    </row>
    <row r="84" spans="1:12" ht="14.25" customHeight="1">
      <c r="A84" s="3">
        <v>83</v>
      </c>
      <c r="B84" s="3" t="s">
        <v>3156</v>
      </c>
      <c r="C84" s="3" t="s">
        <v>254</v>
      </c>
      <c r="D84" s="3">
        <v>9876543455</v>
      </c>
      <c r="E84" s="3" t="s">
        <v>4420</v>
      </c>
      <c r="F84" s="3" t="str" cm="1">
        <f t="array" ref="F84">IF(E84="","",_xlfn.XLOOKUP(E84,{"FIRST","SECOND","THIRD","FOURTH"},{"SEM-1","SEM-2","SEM-3","SEM-4"},""))</f>
        <v>SEM-3</v>
      </c>
      <c r="G84" s="3">
        <v>15</v>
      </c>
      <c r="H84" s="3">
        <v>95</v>
      </c>
      <c r="I84" s="3">
        <v>36</v>
      </c>
      <c r="J84" s="3">
        <f t="shared" si="3"/>
        <v>146</v>
      </c>
      <c r="K84" s="3" t="str">
        <f t="shared" si="4"/>
        <v>P</v>
      </c>
      <c r="L84" s="3" t="str">
        <f t="shared" si="5"/>
        <v>C</v>
      </c>
    </row>
    <row r="85" spans="1:12" ht="14.25" customHeight="1">
      <c r="A85" s="3">
        <v>84</v>
      </c>
      <c r="B85" s="3" t="s">
        <v>3958</v>
      </c>
      <c r="C85" s="3" t="s">
        <v>1048</v>
      </c>
      <c r="D85" s="3">
        <v>9876544257</v>
      </c>
      <c r="E85" s="3" t="s">
        <v>4418</v>
      </c>
      <c r="F85" s="3" t="str" cm="1">
        <f t="array" ref="F85">IF(E85="","",_xlfn.XLOOKUP(E85,{"FIRST","SECOND","THIRD","FOURTH"},{"SEM-1","SEM-2","SEM-3","SEM-4"},""))</f>
        <v>SEM-1</v>
      </c>
      <c r="G85" s="3">
        <v>95</v>
      </c>
      <c r="H85" s="3">
        <v>3</v>
      </c>
      <c r="I85" s="3">
        <v>73</v>
      </c>
      <c r="J85" s="3">
        <f t="shared" si="3"/>
        <v>171</v>
      </c>
      <c r="K85" s="3" t="str">
        <f t="shared" si="4"/>
        <v>P</v>
      </c>
      <c r="L85" s="3" t="str">
        <f t="shared" si="5"/>
        <v>B</v>
      </c>
    </row>
    <row r="86" spans="1:12" ht="14.25" customHeight="1">
      <c r="A86" s="3">
        <v>85</v>
      </c>
      <c r="B86" s="3" t="s">
        <v>3936</v>
      </c>
      <c r="C86" s="3" t="s">
        <v>1026</v>
      </c>
      <c r="D86" s="3">
        <v>9876544235</v>
      </c>
      <c r="E86" s="3" t="s">
        <v>4419</v>
      </c>
      <c r="F86" s="3" t="str" cm="1">
        <f t="array" ref="F86">IF(E86="","",_xlfn.XLOOKUP(E86,{"FIRST","SECOND","THIRD","FOURTH"},{"SEM-1","SEM-2","SEM-3","SEM-4"},""))</f>
        <v>SEM-2</v>
      </c>
      <c r="G86" s="3">
        <v>21</v>
      </c>
      <c r="H86" s="3">
        <v>95</v>
      </c>
      <c r="I86" s="3">
        <v>70</v>
      </c>
      <c r="J86" s="3">
        <f t="shared" si="3"/>
        <v>186</v>
      </c>
      <c r="K86" s="3" t="str">
        <f t="shared" si="4"/>
        <v>P</v>
      </c>
      <c r="L86" s="3" t="str">
        <f t="shared" si="5"/>
        <v>B</v>
      </c>
    </row>
    <row r="87" spans="1:12" ht="14.25" customHeight="1">
      <c r="A87" s="3">
        <v>86</v>
      </c>
      <c r="B87" s="3" t="s">
        <v>3926</v>
      </c>
      <c r="C87" s="3" t="s">
        <v>1016</v>
      </c>
      <c r="D87" s="3">
        <v>9876544225</v>
      </c>
      <c r="E87" s="3" t="s">
        <v>4420</v>
      </c>
      <c r="F87" s="3" t="str" cm="1">
        <f t="array" ref="F87">IF(E87="","",_xlfn.XLOOKUP(E87,{"FIRST","SECOND","THIRD","FOURTH"},{"SEM-1","SEM-2","SEM-3","SEM-4"},""))</f>
        <v>SEM-3</v>
      </c>
      <c r="G87" s="3">
        <v>47</v>
      </c>
      <c r="H87" s="3">
        <v>13</v>
      </c>
      <c r="I87" s="3">
        <v>73</v>
      </c>
      <c r="J87" s="3">
        <f t="shared" si="3"/>
        <v>133</v>
      </c>
      <c r="K87" s="3" t="str">
        <f t="shared" si="4"/>
        <v>P</v>
      </c>
      <c r="L87" s="3" t="str">
        <f t="shared" si="5"/>
        <v>C</v>
      </c>
    </row>
    <row r="88" spans="1:12" ht="14.25" customHeight="1">
      <c r="A88" s="3">
        <v>87</v>
      </c>
      <c r="B88" s="3" t="s">
        <v>3399</v>
      </c>
      <c r="C88" s="3" t="s">
        <v>495</v>
      </c>
      <c r="D88" s="3">
        <v>9876543698</v>
      </c>
      <c r="E88" s="3" t="s">
        <v>4420</v>
      </c>
      <c r="F88" s="3" t="str" cm="1">
        <f t="array" ref="F88">IF(E88="","",_xlfn.XLOOKUP(E88,{"FIRST","SECOND","THIRD","FOURTH"},{"SEM-1","SEM-2","SEM-3","SEM-4"},""))</f>
        <v>SEM-3</v>
      </c>
      <c r="G88" s="3">
        <v>36</v>
      </c>
      <c r="H88" s="3">
        <v>72</v>
      </c>
      <c r="I88" s="3">
        <v>66</v>
      </c>
      <c r="J88" s="3">
        <f t="shared" si="3"/>
        <v>174</v>
      </c>
      <c r="K88" s="3" t="str">
        <f t="shared" si="4"/>
        <v>P</v>
      </c>
      <c r="L88" s="3" t="str">
        <f t="shared" si="5"/>
        <v>B</v>
      </c>
    </row>
    <row r="89" spans="1:12" ht="14.25" customHeight="1">
      <c r="A89" s="3">
        <v>88</v>
      </c>
      <c r="B89" s="3" t="s">
        <v>3932</v>
      </c>
      <c r="C89" s="3" t="s">
        <v>1022</v>
      </c>
      <c r="D89" s="3">
        <v>9876544231</v>
      </c>
      <c r="E89" s="3" t="s">
        <v>4418</v>
      </c>
      <c r="F89" s="3" t="str" cm="1">
        <f t="array" ref="F89">IF(E89="","",_xlfn.XLOOKUP(E89,{"FIRST","SECOND","THIRD","FOURTH"},{"SEM-1","SEM-2","SEM-3","SEM-4"},""))</f>
        <v>SEM-1</v>
      </c>
      <c r="G89" s="3">
        <v>15</v>
      </c>
      <c r="H89" s="3">
        <v>75</v>
      </c>
      <c r="I89" s="3">
        <v>85</v>
      </c>
      <c r="J89" s="3">
        <f t="shared" si="3"/>
        <v>175</v>
      </c>
      <c r="K89" s="3" t="str">
        <f t="shared" si="4"/>
        <v>P</v>
      </c>
      <c r="L89" s="3" t="str">
        <f t="shared" si="5"/>
        <v>B</v>
      </c>
    </row>
    <row r="90" spans="1:12" ht="14.25" customHeight="1">
      <c r="A90" s="3">
        <v>89</v>
      </c>
      <c r="B90" s="3" t="s">
        <v>4280</v>
      </c>
      <c r="C90" s="3" t="s">
        <v>1361</v>
      </c>
      <c r="D90" s="3">
        <v>9876544579</v>
      </c>
      <c r="E90" s="3" t="s">
        <v>4418</v>
      </c>
      <c r="F90" s="3" t="str" cm="1">
        <f t="array" ref="F90">IF(E90="","",_xlfn.XLOOKUP(E90,{"FIRST","SECOND","THIRD","FOURTH"},{"SEM-1","SEM-2","SEM-3","SEM-4"},""))</f>
        <v>SEM-1</v>
      </c>
      <c r="G90" s="3">
        <v>86</v>
      </c>
      <c r="H90" s="3">
        <v>74</v>
      </c>
      <c r="I90" s="3">
        <v>6</v>
      </c>
      <c r="J90" s="3">
        <f t="shared" si="3"/>
        <v>166</v>
      </c>
      <c r="K90" s="3" t="str">
        <f t="shared" si="4"/>
        <v>P</v>
      </c>
      <c r="L90" s="3" t="str">
        <f t="shared" si="5"/>
        <v>B</v>
      </c>
    </row>
    <row r="91" spans="1:12" ht="14.25" customHeight="1">
      <c r="A91" s="3">
        <v>90</v>
      </c>
      <c r="B91" s="3" t="s">
        <v>3911</v>
      </c>
      <c r="C91" s="3" t="s">
        <v>1002</v>
      </c>
      <c r="D91" s="3">
        <v>9876544210</v>
      </c>
      <c r="E91" s="3" t="s">
        <v>4418</v>
      </c>
      <c r="F91" s="3" t="str" cm="1">
        <f t="array" ref="F91">IF(E91="","",_xlfn.XLOOKUP(E91,{"FIRST","SECOND","THIRD","FOURTH"},{"SEM-1","SEM-2","SEM-3","SEM-4"},""))</f>
        <v>SEM-1</v>
      </c>
      <c r="G91" s="3">
        <v>9</v>
      </c>
      <c r="H91" s="3">
        <v>26</v>
      </c>
      <c r="I91" s="3">
        <v>17</v>
      </c>
      <c r="J91" s="3">
        <f t="shared" si="3"/>
        <v>52</v>
      </c>
      <c r="K91" s="3" t="str">
        <f t="shared" si="4"/>
        <v>F</v>
      </c>
      <c r="L91" s="3" t="str">
        <f t="shared" si="5"/>
        <v>FAIL</v>
      </c>
    </row>
    <row r="92" spans="1:12" ht="14.25" customHeight="1">
      <c r="A92" s="3">
        <v>91</v>
      </c>
      <c r="B92" s="3" t="s">
        <v>4319</v>
      </c>
      <c r="C92" s="3" t="s">
        <v>1399</v>
      </c>
      <c r="D92" s="3">
        <v>9876544618</v>
      </c>
      <c r="E92" s="3" t="s">
        <v>4420</v>
      </c>
      <c r="F92" s="3" t="str" cm="1">
        <f t="array" ref="F92">IF(E92="","",_xlfn.XLOOKUP(E92,{"FIRST","SECOND","THIRD","FOURTH"},{"SEM-1","SEM-2","SEM-3","SEM-4"},""))</f>
        <v>SEM-3</v>
      </c>
      <c r="G92" s="3">
        <v>67</v>
      </c>
      <c r="H92" s="3">
        <v>77</v>
      </c>
      <c r="I92" s="3">
        <v>85</v>
      </c>
      <c r="J92" s="3">
        <f t="shared" si="3"/>
        <v>229</v>
      </c>
      <c r="K92" s="3" t="str">
        <f t="shared" si="4"/>
        <v>P</v>
      </c>
      <c r="L92" s="3" t="str">
        <f t="shared" si="5"/>
        <v>A</v>
      </c>
    </row>
    <row r="93" spans="1:12" ht="14.25" customHeight="1">
      <c r="A93" s="3">
        <v>92</v>
      </c>
      <c r="B93" s="3" t="s">
        <v>3555</v>
      </c>
      <c r="C93" s="3" t="s">
        <v>649</v>
      </c>
      <c r="D93" s="3">
        <v>9876543854</v>
      </c>
      <c r="E93" s="3" t="s">
        <v>4419</v>
      </c>
      <c r="F93" s="3" t="str" cm="1">
        <f t="array" ref="F93">IF(E93="","",_xlfn.XLOOKUP(E93,{"FIRST","SECOND","THIRD","FOURTH"},{"SEM-1","SEM-2","SEM-3","SEM-4"},""))</f>
        <v>SEM-2</v>
      </c>
      <c r="G93" s="3">
        <v>27</v>
      </c>
      <c r="H93" s="3">
        <v>77</v>
      </c>
      <c r="I93" s="3">
        <v>88</v>
      </c>
      <c r="J93" s="3">
        <f t="shared" si="3"/>
        <v>192</v>
      </c>
      <c r="K93" s="3" t="str">
        <f t="shared" si="4"/>
        <v>P</v>
      </c>
      <c r="L93" s="3" t="str">
        <f t="shared" si="5"/>
        <v>A</v>
      </c>
    </row>
    <row r="94" spans="1:12" ht="14.25" customHeight="1">
      <c r="A94" s="3">
        <v>93</v>
      </c>
      <c r="B94" s="3" t="s">
        <v>2988</v>
      </c>
      <c r="C94" s="3" t="s">
        <v>86</v>
      </c>
      <c r="D94" s="3">
        <v>9876543287</v>
      </c>
      <c r="E94" s="3" t="s">
        <v>4419</v>
      </c>
      <c r="F94" s="3" t="str" cm="1">
        <f t="array" ref="F94">IF(E94="","",_xlfn.XLOOKUP(E94,{"FIRST","SECOND","THIRD","FOURTH"},{"SEM-1","SEM-2","SEM-3","SEM-4"},""))</f>
        <v>SEM-2</v>
      </c>
      <c r="G94" s="3">
        <v>74</v>
      </c>
      <c r="H94" s="3">
        <v>51</v>
      </c>
      <c r="I94" s="3">
        <v>50</v>
      </c>
      <c r="J94" s="3">
        <f t="shared" si="3"/>
        <v>175</v>
      </c>
      <c r="K94" s="3" t="str">
        <f t="shared" si="4"/>
        <v>P</v>
      </c>
      <c r="L94" s="3" t="str">
        <f t="shared" si="5"/>
        <v>B</v>
      </c>
    </row>
    <row r="95" spans="1:12" ht="14.25" customHeight="1">
      <c r="A95" s="3">
        <v>94</v>
      </c>
      <c r="B95" s="3" t="s">
        <v>4236</v>
      </c>
      <c r="C95" s="3" t="s">
        <v>1319</v>
      </c>
      <c r="D95" s="3">
        <v>9876544535</v>
      </c>
      <c r="E95" s="3" t="s">
        <v>4419</v>
      </c>
      <c r="F95" s="3" t="str" cm="1">
        <f t="array" ref="F95">IF(E95="","",_xlfn.XLOOKUP(E95,{"FIRST","SECOND","THIRD","FOURTH"},{"SEM-1","SEM-2","SEM-3","SEM-4"},""))</f>
        <v>SEM-2</v>
      </c>
      <c r="G95" s="3">
        <v>38</v>
      </c>
      <c r="H95" s="3">
        <v>36</v>
      </c>
      <c r="I95" s="3">
        <v>75</v>
      </c>
      <c r="J95" s="3">
        <f t="shared" si="3"/>
        <v>149</v>
      </c>
      <c r="K95" s="3" t="str">
        <f t="shared" si="4"/>
        <v>P</v>
      </c>
      <c r="L95" s="3" t="str">
        <f t="shared" si="5"/>
        <v>C</v>
      </c>
    </row>
    <row r="96" spans="1:12" ht="14.25" customHeight="1">
      <c r="A96" s="3">
        <v>95</v>
      </c>
      <c r="B96" s="3" t="s">
        <v>3361</v>
      </c>
      <c r="C96" s="3" t="s">
        <v>457</v>
      </c>
      <c r="D96" s="3">
        <v>9876543660</v>
      </c>
      <c r="E96" s="3" t="s">
        <v>4420</v>
      </c>
      <c r="F96" s="3" t="str" cm="1">
        <f t="array" ref="F96">IF(E96="","",_xlfn.XLOOKUP(E96,{"FIRST","SECOND","THIRD","FOURTH"},{"SEM-1","SEM-2","SEM-3","SEM-4"},""))</f>
        <v>SEM-3</v>
      </c>
      <c r="G96" s="3">
        <v>1</v>
      </c>
      <c r="H96" s="3">
        <v>39</v>
      </c>
      <c r="I96" s="3">
        <v>5</v>
      </c>
      <c r="J96" s="3">
        <f t="shared" si="3"/>
        <v>45</v>
      </c>
      <c r="K96" s="3" t="str">
        <f t="shared" si="4"/>
        <v>F</v>
      </c>
      <c r="L96" s="3" t="str">
        <f t="shared" si="5"/>
        <v>FAIL</v>
      </c>
    </row>
    <row r="97" spans="1:12" ht="14.25" customHeight="1">
      <c r="A97" s="3">
        <v>96</v>
      </c>
      <c r="B97" s="3" t="s">
        <v>4197</v>
      </c>
      <c r="C97" s="3" t="s">
        <v>1281</v>
      </c>
      <c r="D97" s="3">
        <v>9876544496</v>
      </c>
      <c r="E97" s="3" t="s">
        <v>4418</v>
      </c>
      <c r="F97" s="3" t="str" cm="1">
        <f t="array" ref="F97">IF(E97="","",_xlfn.XLOOKUP(E97,{"FIRST","SECOND","THIRD","FOURTH"},{"SEM-1","SEM-2","SEM-3","SEM-4"},""))</f>
        <v>SEM-1</v>
      </c>
      <c r="G97" s="3">
        <v>93</v>
      </c>
      <c r="H97" s="3">
        <v>25</v>
      </c>
      <c r="I97" s="3">
        <v>75</v>
      </c>
      <c r="J97" s="3">
        <f t="shared" si="3"/>
        <v>193</v>
      </c>
      <c r="K97" s="3" t="str">
        <f t="shared" si="4"/>
        <v>P</v>
      </c>
      <c r="L97" s="3" t="str">
        <f t="shared" si="5"/>
        <v>A</v>
      </c>
    </row>
    <row r="98" spans="1:12" ht="14.25" customHeight="1">
      <c r="A98" s="3">
        <v>97</v>
      </c>
      <c r="B98" s="3" t="s">
        <v>3553</v>
      </c>
      <c r="C98" s="3" t="s">
        <v>647</v>
      </c>
      <c r="D98" s="3">
        <v>9876543852</v>
      </c>
      <c r="E98" s="3" t="s">
        <v>4418</v>
      </c>
      <c r="F98" s="3" t="str" cm="1">
        <f t="array" ref="F98">IF(E98="","",_xlfn.XLOOKUP(E98,{"FIRST","SECOND","THIRD","FOURTH"},{"SEM-1","SEM-2","SEM-3","SEM-4"},""))</f>
        <v>SEM-1</v>
      </c>
      <c r="G98" s="3">
        <v>55</v>
      </c>
      <c r="H98" s="3">
        <v>33</v>
      </c>
      <c r="I98" s="3">
        <v>49</v>
      </c>
      <c r="J98" s="3">
        <f t="shared" si="3"/>
        <v>137</v>
      </c>
      <c r="K98" s="3" t="str">
        <f t="shared" si="4"/>
        <v>P</v>
      </c>
      <c r="L98" s="3" t="str">
        <f t="shared" si="5"/>
        <v>C</v>
      </c>
    </row>
    <row r="99" spans="1:12" ht="14.25" customHeight="1">
      <c r="A99" s="3">
        <v>98</v>
      </c>
      <c r="B99" s="3" t="s">
        <v>3851</v>
      </c>
      <c r="C99" s="3" t="s">
        <v>943</v>
      </c>
      <c r="D99" s="3">
        <v>9876544150</v>
      </c>
      <c r="E99" s="3" t="s">
        <v>4419</v>
      </c>
      <c r="F99" s="3" t="str" cm="1">
        <f t="array" ref="F99">IF(E99="","",_xlfn.XLOOKUP(E99,{"FIRST","SECOND","THIRD","FOURTH"},{"SEM-1","SEM-2","SEM-3","SEM-4"},""))</f>
        <v>SEM-2</v>
      </c>
      <c r="G99" s="3">
        <v>10</v>
      </c>
      <c r="H99" s="3">
        <v>60</v>
      </c>
      <c r="I99" s="3">
        <v>53</v>
      </c>
      <c r="J99" s="3">
        <f t="shared" si="3"/>
        <v>123</v>
      </c>
      <c r="K99" s="3" t="str">
        <f t="shared" si="4"/>
        <v>P</v>
      </c>
      <c r="L99" s="3" t="str">
        <f t="shared" si="5"/>
        <v>C</v>
      </c>
    </row>
    <row r="100" spans="1:12" ht="14.25" customHeight="1">
      <c r="A100" s="3">
        <v>99</v>
      </c>
      <c r="B100" s="3" t="s">
        <v>3824</v>
      </c>
      <c r="C100" s="3" t="s">
        <v>916</v>
      </c>
      <c r="D100" s="3">
        <v>9876544123</v>
      </c>
      <c r="E100" s="3" t="s">
        <v>4420</v>
      </c>
      <c r="F100" s="3" t="str" cm="1">
        <f t="array" ref="F100">IF(E100="","",_xlfn.XLOOKUP(E100,{"FIRST","SECOND","THIRD","FOURTH"},{"SEM-1","SEM-2","SEM-3","SEM-4"},""))</f>
        <v>SEM-3</v>
      </c>
      <c r="G100" s="3">
        <v>77</v>
      </c>
      <c r="H100" s="3">
        <v>17</v>
      </c>
      <c r="I100" s="3">
        <v>98</v>
      </c>
      <c r="J100" s="3">
        <f t="shared" si="3"/>
        <v>192</v>
      </c>
      <c r="K100" s="3" t="str">
        <f t="shared" si="4"/>
        <v>P</v>
      </c>
      <c r="L100" s="3" t="str">
        <f t="shared" si="5"/>
        <v>A</v>
      </c>
    </row>
    <row r="101" spans="1:12" ht="14.25" customHeight="1">
      <c r="A101" s="3">
        <v>100</v>
      </c>
      <c r="B101" s="3" t="s">
        <v>3823</v>
      </c>
      <c r="C101" s="3" t="s">
        <v>915</v>
      </c>
      <c r="D101" s="3">
        <v>9876544122</v>
      </c>
      <c r="E101" s="3" t="s">
        <v>4419</v>
      </c>
      <c r="F101" s="3" t="str" cm="1">
        <f t="array" ref="F101">IF(E101="","",_xlfn.XLOOKUP(E101,{"FIRST","SECOND","THIRD","FOURTH"},{"SEM-1","SEM-2","SEM-3","SEM-4"},""))</f>
        <v>SEM-2</v>
      </c>
      <c r="G101" s="3">
        <v>28</v>
      </c>
      <c r="H101" s="3">
        <v>56</v>
      </c>
      <c r="I101" s="3">
        <v>91</v>
      </c>
      <c r="J101" s="3">
        <f t="shared" si="3"/>
        <v>175</v>
      </c>
      <c r="K101" s="3" t="str">
        <f t="shared" si="4"/>
        <v>P</v>
      </c>
      <c r="L101" s="3" t="str">
        <f t="shared" si="5"/>
        <v>B</v>
      </c>
    </row>
    <row r="102" spans="1:12" ht="14.25" customHeight="1">
      <c r="A102" s="3">
        <v>101</v>
      </c>
      <c r="B102" s="3" t="s">
        <v>3685</v>
      </c>
      <c r="C102" s="3" t="s">
        <v>778</v>
      </c>
      <c r="D102" s="3">
        <v>9876543984</v>
      </c>
      <c r="E102" s="3" t="s">
        <v>4418</v>
      </c>
      <c r="F102" s="3" t="str" cm="1">
        <f t="array" ref="F102">IF(E102="","",_xlfn.XLOOKUP(E102,{"FIRST","SECOND","THIRD","FOURTH"},{"SEM-1","SEM-2","SEM-3","SEM-4"},""))</f>
        <v>SEM-1</v>
      </c>
      <c r="G102" s="3">
        <v>61</v>
      </c>
      <c r="H102" s="3">
        <v>33</v>
      </c>
      <c r="I102" s="3">
        <v>35</v>
      </c>
      <c r="J102" s="3">
        <f t="shared" si="3"/>
        <v>129</v>
      </c>
      <c r="K102" s="3" t="str">
        <f t="shared" si="4"/>
        <v>P</v>
      </c>
      <c r="L102" s="3" t="str">
        <f t="shared" si="5"/>
        <v>C</v>
      </c>
    </row>
    <row r="103" spans="1:12" ht="14.25" customHeight="1">
      <c r="A103" s="3">
        <v>102</v>
      </c>
      <c r="B103" s="3" t="s">
        <v>3119</v>
      </c>
      <c r="C103" s="3" t="s">
        <v>217</v>
      </c>
      <c r="D103" s="3">
        <v>9876543418</v>
      </c>
      <c r="E103" s="3" t="s">
        <v>4418</v>
      </c>
      <c r="F103" s="3" t="str" cm="1">
        <f t="array" ref="F103">IF(E103="","",_xlfn.XLOOKUP(E103,{"FIRST","SECOND","THIRD","FOURTH"},{"SEM-1","SEM-2","SEM-3","SEM-4"},""))</f>
        <v>SEM-1</v>
      </c>
      <c r="G103" s="3">
        <v>37</v>
      </c>
      <c r="H103" s="3">
        <v>23</v>
      </c>
      <c r="I103" s="3">
        <v>53</v>
      </c>
      <c r="J103" s="3">
        <f t="shared" si="3"/>
        <v>113</v>
      </c>
      <c r="K103" s="3" t="str">
        <f t="shared" si="4"/>
        <v>F</v>
      </c>
      <c r="L103" s="3" t="str">
        <f t="shared" si="5"/>
        <v>FAIL</v>
      </c>
    </row>
    <row r="104" spans="1:12" ht="14.25" customHeight="1">
      <c r="A104" s="3">
        <v>103</v>
      </c>
      <c r="B104" s="3" t="s">
        <v>4083</v>
      </c>
      <c r="C104" s="3" t="s">
        <v>1169</v>
      </c>
      <c r="D104" s="3">
        <v>9876544382</v>
      </c>
      <c r="E104" s="3" t="s">
        <v>4419</v>
      </c>
      <c r="F104" s="3" t="str" cm="1">
        <f t="array" ref="F104">IF(E104="","",_xlfn.XLOOKUP(E104,{"FIRST","SECOND","THIRD","FOURTH"},{"SEM-1","SEM-2","SEM-3","SEM-4"},""))</f>
        <v>SEM-2</v>
      </c>
      <c r="G104" s="3">
        <v>92</v>
      </c>
      <c r="H104" s="3">
        <v>46</v>
      </c>
      <c r="I104" s="3">
        <v>40</v>
      </c>
      <c r="J104" s="3">
        <f t="shared" si="3"/>
        <v>178</v>
      </c>
      <c r="K104" s="3" t="str">
        <f t="shared" si="4"/>
        <v>P</v>
      </c>
      <c r="L104" s="3" t="str">
        <f t="shared" si="5"/>
        <v>B</v>
      </c>
    </row>
    <row r="105" spans="1:12" ht="14.25" customHeight="1">
      <c r="A105" s="3">
        <v>104</v>
      </c>
      <c r="B105" s="3" t="s">
        <v>3231</v>
      </c>
      <c r="C105" s="3" t="s">
        <v>328</v>
      </c>
      <c r="D105" s="3">
        <v>9876543530</v>
      </c>
      <c r="E105" s="3" t="s">
        <v>4419</v>
      </c>
      <c r="F105" s="3" t="str" cm="1">
        <f t="array" ref="F105">IF(E105="","",_xlfn.XLOOKUP(E105,{"FIRST","SECOND","THIRD","FOURTH"},{"SEM-1","SEM-2","SEM-3","SEM-4"},""))</f>
        <v>SEM-2</v>
      </c>
      <c r="G105" s="3">
        <v>93</v>
      </c>
      <c r="H105" s="3">
        <v>69</v>
      </c>
      <c r="I105" s="3">
        <v>78</v>
      </c>
      <c r="J105" s="3">
        <f t="shared" si="3"/>
        <v>240</v>
      </c>
      <c r="K105" s="3" t="str">
        <f t="shared" si="4"/>
        <v>P</v>
      </c>
      <c r="L105" s="3" t="str">
        <f t="shared" si="5"/>
        <v>A</v>
      </c>
    </row>
    <row r="106" spans="1:12" ht="14.25" customHeight="1">
      <c r="A106" s="3">
        <v>105</v>
      </c>
      <c r="B106" s="3" t="s">
        <v>3014</v>
      </c>
      <c r="C106" s="3" t="s">
        <v>112</v>
      </c>
      <c r="D106" s="3">
        <v>9876543313</v>
      </c>
      <c r="E106" s="3" t="s">
        <v>4418</v>
      </c>
      <c r="F106" s="3" t="str" cm="1">
        <f t="array" ref="F106">IF(E106="","",_xlfn.XLOOKUP(E106,{"FIRST","SECOND","THIRD","FOURTH"},{"SEM-1","SEM-2","SEM-3","SEM-4"},""))</f>
        <v>SEM-1</v>
      </c>
      <c r="G106" s="3">
        <v>46</v>
      </c>
      <c r="H106" s="3">
        <v>32</v>
      </c>
      <c r="I106" s="3">
        <v>33</v>
      </c>
      <c r="J106" s="3">
        <f t="shared" si="3"/>
        <v>111</v>
      </c>
      <c r="K106" s="3" t="str">
        <f t="shared" si="4"/>
        <v>F</v>
      </c>
      <c r="L106" s="3" t="str">
        <f t="shared" si="5"/>
        <v>FAIL</v>
      </c>
    </row>
    <row r="107" spans="1:12" ht="14.25" customHeight="1">
      <c r="A107" s="3">
        <v>106</v>
      </c>
      <c r="B107" s="3" t="s">
        <v>3364</v>
      </c>
      <c r="C107" s="3" t="s">
        <v>460</v>
      </c>
      <c r="D107" s="3">
        <v>9876543663</v>
      </c>
      <c r="E107" s="3" t="s">
        <v>4420</v>
      </c>
      <c r="F107" s="3" t="str" cm="1">
        <f t="array" ref="F107">IF(E107="","",_xlfn.XLOOKUP(E107,{"FIRST","SECOND","THIRD","FOURTH"},{"SEM-1","SEM-2","SEM-3","SEM-4"},""))</f>
        <v>SEM-3</v>
      </c>
      <c r="G107" s="3">
        <v>97</v>
      </c>
      <c r="H107" s="3">
        <v>69</v>
      </c>
      <c r="I107" s="3">
        <v>93</v>
      </c>
      <c r="J107" s="3">
        <f t="shared" si="3"/>
        <v>259</v>
      </c>
      <c r="K107" s="3" t="str">
        <f t="shared" si="4"/>
        <v>P</v>
      </c>
      <c r="L107" s="3" t="str">
        <f t="shared" si="5"/>
        <v>A</v>
      </c>
    </row>
    <row r="108" spans="1:12" ht="14.25" customHeight="1">
      <c r="A108" s="3">
        <v>107</v>
      </c>
      <c r="B108" s="3" t="s">
        <v>3721</v>
      </c>
      <c r="C108" s="3" t="s">
        <v>814</v>
      </c>
      <c r="D108" s="3">
        <v>9876544020</v>
      </c>
      <c r="E108" s="3" t="s">
        <v>4420</v>
      </c>
      <c r="F108" s="3" t="str" cm="1">
        <f t="array" ref="F108">IF(E108="","",_xlfn.XLOOKUP(E108,{"FIRST","SECOND","THIRD","FOURTH"},{"SEM-1","SEM-2","SEM-3","SEM-4"},""))</f>
        <v>SEM-3</v>
      </c>
      <c r="G108" s="3">
        <v>81</v>
      </c>
      <c r="H108" s="3">
        <v>24</v>
      </c>
      <c r="I108" s="3">
        <v>91</v>
      </c>
      <c r="J108" s="3">
        <f t="shared" si="3"/>
        <v>196</v>
      </c>
      <c r="K108" s="3" t="str">
        <f t="shared" si="4"/>
        <v>P</v>
      </c>
      <c r="L108" s="3" t="str">
        <f t="shared" si="5"/>
        <v>A</v>
      </c>
    </row>
    <row r="109" spans="1:12" ht="14.25" customHeight="1">
      <c r="A109" s="3">
        <v>108</v>
      </c>
      <c r="B109" s="3" t="s">
        <v>3642</v>
      </c>
      <c r="C109" s="3" t="s">
        <v>736</v>
      </c>
      <c r="D109" s="3">
        <v>9876543941</v>
      </c>
      <c r="E109" s="3" t="s">
        <v>4418</v>
      </c>
      <c r="F109" s="3" t="str" cm="1">
        <f t="array" ref="F109">IF(E109="","",_xlfn.XLOOKUP(E109,{"FIRST","SECOND","THIRD","FOURTH"},{"SEM-1","SEM-2","SEM-3","SEM-4"},""))</f>
        <v>SEM-1</v>
      </c>
      <c r="G109" s="3">
        <v>49</v>
      </c>
      <c r="H109" s="3">
        <v>9</v>
      </c>
      <c r="I109" s="3">
        <v>82</v>
      </c>
      <c r="J109" s="3">
        <f t="shared" si="3"/>
        <v>140</v>
      </c>
      <c r="K109" s="3" t="str">
        <f t="shared" si="4"/>
        <v>P</v>
      </c>
      <c r="L109" s="3" t="str">
        <f t="shared" si="5"/>
        <v>C</v>
      </c>
    </row>
    <row r="110" spans="1:12" ht="14.25" customHeight="1">
      <c r="A110" s="3">
        <v>109</v>
      </c>
      <c r="B110" s="3" t="s">
        <v>4220</v>
      </c>
      <c r="C110" s="3" t="s">
        <v>1303</v>
      </c>
      <c r="D110" s="3">
        <v>9876544519</v>
      </c>
      <c r="E110" s="3" t="s">
        <v>4419</v>
      </c>
      <c r="F110" s="3" t="str" cm="1">
        <f t="array" ref="F110">IF(E110="","",_xlfn.XLOOKUP(E110,{"FIRST","SECOND","THIRD","FOURTH"},{"SEM-1","SEM-2","SEM-3","SEM-4"},""))</f>
        <v>SEM-2</v>
      </c>
      <c r="G110" s="3">
        <v>32</v>
      </c>
      <c r="H110" s="3">
        <v>84</v>
      </c>
      <c r="I110" s="3">
        <v>1</v>
      </c>
      <c r="J110" s="3">
        <f t="shared" si="3"/>
        <v>117</v>
      </c>
      <c r="K110" s="3" t="str">
        <f t="shared" si="4"/>
        <v>P</v>
      </c>
      <c r="L110" s="3" t="str">
        <f t="shared" si="5"/>
        <v>FAIL</v>
      </c>
    </row>
    <row r="111" spans="1:12" ht="14.25" customHeight="1">
      <c r="A111" s="3">
        <v>110</v>
      </c>
      <c r="B111" s="3" t="s">
        <v>3768</v>
      </c>
      <c r="C111" s="3" t="s">
        <v>861</v>
      </c>
      <c r="D111" s="3">
        <v>9876544067</v>
      </c>
      <c r="E111" s="3" t="s">
        <v>4419</v>
      </c>
      <c r="F111" s="3" t="str" cm="1">
        <f t="array" ref="F111">IF(E111="","",_xlfn.XLOOKUP(E111,{"FIRST","SECOND","THIRD","FOURTH"},{"SEM-1","SEM-2","SEM-3","SEM-4"},""))</f>
        <v>SEM-2</v>
      </c>
      <c r="G111" s="3">
        <v>80</v>
      </c>
      <c r="H111" s="3">
        <v>22</v>
      </c>
      <c r="I111" s="3">
        <v>77</v>
      </c>
      <c r="J111" s="3">
        <f t="shared" si="3"/>
        <v>179</v>
      </c>
      <c r="K111" s="3" t="str">
        <f t="shared" si="4"/>
        <v>P</v>
      </c>
      <c r="L111" s="3" t="str">
        <f t="shared" si="5"/>
        <v>B</v>
      </c>
    </row>
    <row r="112" spans="1:12" ht="14.25" customHeight="1">
      <c r="A112" s="3">
        <v>111</v>
      </c>
      <c r="B112" s="3" t="s">
        <v>3194</v>
      </c>
      <c r="C112" s="3" t="s">
        <v>292</v>
      </c>
      <c r="D112" s="3">
        <v>9876543493</v>
      </c>
      <c r="E112" s="3" t="s">
        <v>4420</v>
      </c>
      <c r="F112" s="3" t="str" cm="1">
        <f t="array" ref="F112">IF(E112="","",_xlfn.XLOOKUP(E112,{"FIRST","SECOND","THIRD","FOURTH"},{"SEM-1","SEM-2","SEM-3","SEM-4"},""))</f>
        <v>SEM-3</v>
      </c>
      <c r="G112" s="3">
        <v>6</v>
      </c>
      <c r="H112" s="3">
        <v>66</v>
      </c>
      <c r="I112" s="3">
        <v>86</v>
      </c>
      <c r="J112" s="3">
        <f t="shared" si="3"/>
        <v>158</v>
      </c>
      <c r="K112" s="3" t="str">
        <f t="shared" si="4"/>
        <v>P</v>
      </c>
      <c r="L112" s="3" t="str">
        <f t="shared" si="5"/>
        <v>B</v>
      </c>
    </row>
    <row r="113" spans="1:12" ht="14.25" customHeight="1">
      <c r="A113" s="3">
        <v>112</v>
      </c>
      <c r="B113" s="3" t="s">
        <v>3503</v>
      </c>
      <c r="C113" s="3" t="s">
        <v>598</v>
      </c>
      <c r="D113" s="3">
        <v>9876543802</v>
      </c>
      <c r="E113" s="3" t="s">
        <v>4419</v>
      </c>
      <c r="F113" s="3" t="str" cm="1">
        <f t="array" ref="F113">IF(E113="","",_xlfn.XLOOKUP(E113,{"FIRST","SECOND","THIRD","FOURTH"},{"SEM-1","SEM-2","SEM-3","SEM-4"},""))</f>
        <v>SEM-2</v>
      </c>
      <c r="G113" s="3">
        <v>25</v>
      </c>
      <c r="H113" s="3">
        <v>43</v>
      </c>
      <c r="I113" s="3">
        <v>18</v>
      </c>
      <c r="J113" s="3">
        <f t="shared" si="3"/>
        <v>86</v>
      </c>
      <c r="K113" s="3" t="str">
        <f t="shared" si="4"/>
        <v>F</v>
      </c>
      <c r="L113" s="3" t="str">
        <f t="shared" si="5"/>
        <v>FAIL</v>
      </c>
    </row>
    <row r="114" spans="1:12" ht="14.25" customHeight="1">
      <c r="A114" s="3">
        <v>113</v>
      </c>
      <c r="B114" s="3" t="s">
        <v>3380</v>
      </c>
      <c r="C114" s="3" t="s">
        <v>476</v>
      </c>
      <c r="D114" s="3">
        <v>9876543679</v>
      </c>
      <c r="E114" s="3" t="s">
        <v>4419</v>
      </c>
      <c r="F114" s="3" t="str" cm="1">
        <f t="array" ref="F114">IF(E114="","",_xlfn.XLOOKUP(E114,{"FIRST","SECOND","THIRD","FOURTH"},{"SEM-1","SEM-2","SEM-3","SEM-4"},""))</f>
        <v>SEM-2</v>
      </c>
      <c r="G114" s="3">
        <v>3</v>
      </c>
      <c r="H114" s="3">
        <v>93</v>
      </c>
      <c r="I114" s="3">
        <v>82</v>
      </c>
      <c r="J114" s="3">
        <f t="shared" si="3"/>
        <v>178</v>
      </c>
      <c r="K114" s="3" t="str">
        <f t="shared" si="4"/>
        <v>P</v>
      </c>
      <c r="L114" s="3" t="str">
        <f t="shared" si="5"/>
        <v>B</v>
      </c>
    </row>
    <row r="115" spans="1:12" ht="14.25" customHeight="1">
      <c r="A115" s="3">
        <v>114</v>
      </c>
      <c r="B115" s="3" t="s">
        <v>4166</v>
      </c>
      <c r="C115" s="3" t="s">
        <v>1251</v>
      </c>
      <c r="D115" s="3">
        <v>9876544465</v>
      </c>
      <c r="E115" s="3" t="s">
        <v>4420</v>
      </c>
      <c r="F115" s="3" t="str" cm="1">
        <f t="array" ref="F115">IF(E115="","",_xlfn.XLOOKUP(E115,{"FIRST","SECOND","THIRD","FOURTH"},{"SEM-1","SEM-2","SEM-3","SEM-4"},""))</f>
        <v>SEM-3</v>
      </c>
      <c r="G115" s="3">
        <v>20</v>
      </c>
      <c r="H115" s="3">
        <v>59</v>
      </c>
      <c r="I115" s="3">
        <v>65</v>
      </c>
      <c r="J115" s="3">
        <f t="shared" si="3"/>
        <v>144</v>
      </c>
      <c r="K115" s="3" t="str">
        <f t="shared" si="4"/>
        <v>P</v>
      </c>
      <c r="L115" s="3" t="str">
        <f t="shared" si="5"/>
        <v>C</v>
      </c>
    </row>
    <row r="116" spans="1:12" ht="14.25" customHeight="1">
      <c r="A116" s="3">
        <v>115</v>
      </c>
      <c r="B116" s="3" t="s">
        <v>4221</v>
      </c>
      <c r="C116" s="3" t="s">
        <v>1304</v>
      </c>
      <c r="D116" s="3">
        <v>9876544520</v>
      </c>
      <c r="E116" s="3" t="s">
        <v>4420</v>
      </c>
      <c r="F116" s="3" t="str" cm="1">
        <f t="array" ref="F116">IF(E116="","",_xlfn.XLOOKUP(E116,{"FIRST","SECOND","THIRD","FOURTH"},{"SEM-1","SEM-2","SEM-3","SEM-4"},""))</f>
        <v>SEM-3</v>
      </c>
      <c r="G116" s="3">
        <v>70</v>
      </c>
      <c r="H116" s="3">
        <v>85</v>
      </c>
      <c r="I116" s="3">
        <v>58</v>
      </c>
      <c r="J116" s="3">
        <f t="shared" si="3"/>
        <v>213</v>
      </c>
      <c r="K116" s="3" t="str">
        <f t="shared" si="4"/>
        <v>P</v>
      </c>
      <c r="L116" s="3" t="str">
        <f t="shared" si="5"/>
        <v>A</v>
      </c>
    </row>
    <row r="117" spans="1:12" ht="14.25" customHeight="1">
      <c r="A117" s="3">
        <v>116</v>
      </c>
      <c r="B117" s="3" t="s">
        <v>2977</v>
      </c>
      <c r="C117" s="3" t="s">
        <v>75</v>
      </c>
      <c r="D117" s="3">
        <v>9876543276</v>
      </c>
      <c r="E117" s="3" t="s">
        <v>4420</v>
      </c>
      <c r="F117" s="3" t="str" cm="1">
        <f t="array" ref="F117">IF(E117="","",_xlfn.XLOOKUP(E117,{"FIRST","SECOND","THIRD","FOURTH"},{"SEM-1","SEM-2","SEM-3","SEM-4"},""))</f>
        <v>SEM-3</v>
      </c>
      <c r="G117" s="3">
        <v>16</v>
      </c>
      <c r="H117" s="3">
        <v>41</v>
      </c>
      <c r="I117" s="3">
        <v>66</v>
      </c>
      <c r="J117" s="3">
        <f t="shared" si="3"/>
        <v>123</v>
      </c>
      <c r="K117" s="3" t="str">
        <f t="shared" si="4"/>
        <v>P</v>
      </c>
      <c r="L117" s="3" t="str">
        <f t="shared" si="5"/>
        <v>C</v>
      </c>
    </row>
    <row r="118" spans="1:12" ht="14.25" customHeight="1">
      <c r="A118" s="3">
        <v>117</v>
      </c>
      <c r="B118" s="3" t="s">
        <v>4291</v>
      </c>
      <c r="C118" s="3" t="s">
        <v>1372</v>
      </c>
      <c r="D118" s="3">
        <v>9876544590</v>
      </c>
      <c r="E118" s="3" t="s">
        <v>4420</v>
      </c>
      <c r="F118" s="3" t="str" cm="1">
        <f t="array" ref="F118">IF(E118="","",_xlfn.XLOOKUP(E118,{"FIRST","SECOND","THIRD","FOURTH"},{"SEM-1","SEM-2","SEM-3","SEM-4"},""))</f>
        <v>SEM-3</v>
      </c>
      <c r="G118" s="3">
        <v>4</v>
      </c>
      <c r="H118" s="3">
        <v>26</v>
      </c>
      <c r="I118" s="3">
        <v>12</v>
      </c>
      <c r="J118" s="3">
        <f t="shared" si="3"/>
        <v>42</v>
      </c>
      <c r="K118" s="3" t="str">
        <f t="shared" si="4"/>
        <v>F</v>
      </c>
      <c r="L118" s="3" t="str">
        <f t="shared" si="5"/>
        <v>FAIL</v>
      </c>
    </row>
    <row r="119" spans="1:12" ht="14.25" customHeight="1">
      <c r="A119" s="3">
        <v>118</v>
      </c>
      <c r="B119" s="3" t="s">
        <v>3825</v>
      </c>
      <c r="C119" s="3" t="s">
        <v>917</v>
      </c>
      <c r="D119" s="3">
        <v>9876544124</v>
      </c>
      <c r="E119" s="3" t="s">
        <v>4420</v>
      </c>
      <c r="F119" s="3" t="str" cm="1">
        <f t="array" ref="F119">IF(E119="","",_xlfn.XLOOKUP(E119,{"FIRST","SECOND","THIRD","FOURTH"},{"SEM-1","SEM-2","SEM-3","SEM-4"},""))</f>
        <v>SEM-3</v>
      </c>
      <c r="G119" s="3">
        <v>83</v>
      </c>
      <c r="H119" s="3">
        <v>99</v>
      </c>
      <c r="I119" s="3">
        <v>100</v>
      </c>
      <c r="J119" s="3">
        <f t="shared" si="3"/>
        <v>282</v>
      </c>
      <c r="K119" s="3" t="str">
        <f t="shared" si="4"/>
        <v>P</v>
      </c>
      <c r="L119" s="3" t="str">
        <f t="shared" si="5"/>
        <v>A</v>
      </c>
    </row>
    <row r="120" spans="1:12" ht="14.25" customHeight="1">
      <c r="A120" s="3">
        <v>119</v>
      </c>
      <c r="B120" s="3" t="s">
        <v>4232</v>
      </c>
      <c r="C120" s="3" t="s">
        <v>1315</v>
      </c>
      <c r="D120" s="3">
        <v>9876544531</v>
      </c>
      <c r="E120" s="3" t="s">
        <v>4419</v>
      </c>
      <c r="F120" s="3" t="str" cm="1">
        <f t="array" ref="F120">IF(E120="","",_xlfn.XLOOKUP(E120,{"FIRST","SECOND","THIRD","FOURTH"},{"SEM-1","SEM-2","SEM-3","SEM-4"},""))</f>
        <v>SEM-2</v>
      </c>
      <c r="G120" s="3">
        <v>48</v>
      </c>
      <c r="H120" s="3">
        <v>74</v>
      </c>
      <c r="I120" s="3">
        <v>27</v>
      </c>
      <c r="J120" s="3">
        <f t="shared" si="3"/>
        <v>149</v>
      </c>
      <c r="K120" s="3" t="str">
        <f t="shared" si="4"/>
        <v>P</v>
      </c>
      <c r="L120" s="3" t="str">
        <f t="shared" si="5"/>
        <v>C</v>
      </c>
    </row>
    <row r="121" spans="1:12" ht="14.25" customHeight="1">
      <c r="A121" s="3">
        <v>120</v>
      </c>
      <c r="B121" s="3" t="s">
        <v>3063</v>
      </c>
      <c r="C121" s="3" t="s">
        <v>161</v>
      </c>
      <c r="D121" s="3">
        <v>9876543362</v>
      </c>
      <c r="E121" s="3" t="s">
        <v>4418</v>
      </c>
      <c r="F121" s="3" t="str" cm="1">
        <f t="array" ref="F121">IF(E121="","",_xlfn.XLOOKUP(E121,{"FIRST","SECOND","THIRD","FOURTH"},{"SEM-1","SEM-2","SEM-3","SEM-4"},""))</f>
        <v>SEM-1</v>
      </c>
      <c r="G121" s="3">
        <v>43</v>
      </c>
      <c r="H121" s="3">
        <v>43</v>
      </c>
      <c r="I121" s="3">
        <v>59</v>
      </c>
      <c r="J121" s="3">
        <f t="shared" si="3"/>
        <v>145</v>
      </c>
      <c r="K121" s="3" t="str">
        <f t="shared" si="4"/>
        <v>P</v>
      </c>
      <c r="L121" s="3" t="str">
        <f t="shared" si="5"/>
        <v>C</v>
      </c>
    </row>
    <row r="122" spans="1:12" ht="14.25" customHeight="1">
      <c r="A122" s="3">
        <v>121</v>
      </c>
      <c r="B122" s="3" t="s">
        <v>4390</v>
      </c>
      <c r="C122" s="3" t="s">
        <v>1469</v>
      </c>
      <c r="D122" s="3">
        <v>9876544689</v>
      </c>
      <c r="E122" s="3" t="s">
        <v>4419</v>
      </c>
      <c r="F122" s="3" t="str" cm="1">
        <f t="array" ref="F122">IF(E122="","",_xlfn.XLOOKUP(E122,{"FIRST","SECOND","THIRD","FOURTH"},{"SEM-1","SEM-2","SEM-3","SEM-4"},""))</f>
        <v>SEM-2</v>
      </c>
      <c r="G122" s="3">
        <v>47</v>
      </c>
      <c r="H122" s="3">
        <v>35</v>
      </c>
      <c r="I122" s="3">
        <v>86</v>
      </c>
      <c r="J122" s="3">
        <f t="shared" si="3"/>
        <v>168</v>
      </c>
      <c r="K122" s="3" t="str">
        <f t="shared" si="4"/>
        <v>P</v>
      </c>
      <c r="L122" s="3" t="str">
        <f t="shared" si="5"/>
        <v>B</v>
      </c>
    </row>
    <row r="123" spans="1:12" ht="14.25" customHeight="1">
      <c r="A123" s="3">
        <v>122</v>
      </c>
      <c r="B123" s="3" t="s">
        <v>3507</v>
      </c>
      <c r="C123" s="3" t="s">
        <v>602</v>
      </c>
      <c r="D123" s="3">
        <v>9876543806</v>
      </c>
      <c r="E123" s="3" t="s">
        <v>4420</v>
      </c>
      <c r="F123" s="3" t="str" cm="1">
        <f t="array" ref="F123">IF(E123="","",_xlfn.XLOOKUP(E123,{"FIRST","SECOND","THIRD","FOURTH"},{"SEM-1","SEM-2","SEM-3","SEM-4"},""))</f>
        <v>SEM-3</v>
      </c>
      <c r="G123" s="3">
        <v>86</v>
      </c>
      <c r="H123" s="3">
        <v>32</v>
      </c>
      <c r="I123" s="3">
        <v>65</v>
      </c>
      <c r="J123" s="3">
        <f t="shared" si="3"/>
        <v>183</v>
      </c>
      <c r="K123" s="3" t="str">
        <f t="shared" si="4"/>
        <v>P</v>
      </c>
      <c r="L123" s="3" t="str">
        <f t="shared" si="5"/>
        <v>B</v>
      </c>
    </row>
    <row r="124" spans="1:12" ht="14.25" customHeight="1">
      <c r="A124" s="3">
        <v>123</v>
      </c>
      <c r="B124" s="3" t="s">
        <v>3365</v>
      </c>
      <c r="C124" s="3" t="s">
        <v>461</v>
      </c>
      <c r="D124" s="3">
        <v>9876543664</v>
      </c>
      <c r="E124" s="3" t="s">
        <v>4420</v>
      </c>
      <c r="F124" s="3" t="str" cm="1">
        <f t="array" ref="F124">IF(E124="","",_xlfn.XLOOKUP(E124,{"FIRST","SECOND","THIRD","FOURTH"},{"SEM-1","SEM-2","SEM-3","SEM-4"},""))</f>
        <v>SEM-3</v>
      </c>
      <c r="G124" s="3">
        <v>89</v>
      </c>
      <c r="H124" s="3">
        <v>87</v>
      </c>
      <c r="I124" s="3">
        <v>98</v>
      </c>
      <c r="J124" s="3">
        <f t="shared" si="3"/>
        <v>274</v>
      </c>
      <c r="K124" s="3" t="str">
        <f t="shared" si="4"/>
        <v>P</v>
      </c>
      <c r="L124" s="3" t="str">
        <f t="shared" si="5"/>
        <v>A</v>
      </c>
    </row>
    <row r="125" spans="1:12" ht="14.25" customHeight="1">
      <c r="A125" s="3">
        <v>124</v>
      </c>
      <c r="B125" s="3" t="s">
        <v>3610</v>
      </c>
      <c r="C125" s="3" t="s">
        <v>704</v>
      </c>
      <c r="D125" s="3">
        <v>9876543909</v>
      </c>
      <c r="E125" s="3" t="s">
        <v>4419</v>
      </c>
      <c r="F125" s="3" t="str" cm="1">
        <f t="array" ref="F125">IF(E125="","",_xlfn.XLOOKUP(E125,{"FIRST","SECOND","THIRD","FOURTH"},{"SEM-1","SEM-2","SEM-3","SEM-4"},""))</f>
        <v>SEM-2</v>
      </c>
      <c r="G125" s="3">
        <v>39</v>
      </c>
      <c r="H125" s="3">
        <v>34</v>
      </c>
      <c r="I125" s="3">
        <v>41</v>
      </c>
      <c r="J125" s="3">
        <f t="shared" si="3"/>
        <v>114</v>
      </c>
      <c r="K125" s="3" t="str">
        <f t="shared" si="4"/>
        <v>F</v>
      </c>
      <c r="L125" s="3" t="str">
        <f t="shared" si="5"/>
        <v>FAIL</v>
      </c>
    </row>
    <row r="126" spans="1:12" ht="14.25" customHeight="1">
      <c r="A126" s="3">
        <v>125</v>
      </c>
      <c r="B126" s="3" t="s">
        <v>3993</v>
      </c>
      <c r="C126" s="3" t="s">
        <v>1083</v>
      </c>
      <c r="D126" s="3">
        <v>9876544292</v>
      </c>
      <c r="E126" s="3" t="s">
        <v>4419</v>
      </c>
      <c r="F126" s="3" t="str" cm="1">
        <f t="array" ref="F126">IF(E126="","",_xlfn.XLOOKUP(E126,{"FIRST","SECOND","THIRD","FOURTH"},{"SEM-1","SEM-2","SEM-3","SEM-4"},""))</f>
        <v>SEM-2</v>
      </c>
      <c r="G126" s="3">
        <v>91</v>
      </c>
      <c r="H126" s="3">
        <v>36</v>
      </c>
      <c r="I126" s="3">
        <v>76</v>
      </c>
      <c r="J126" s="3">
        <f t="shared" si="3"/>
        <v>203</v>
      </c>
      <c r="K126" s="3" t="str">
        <f t="shared" si="4"/>
        <v>P</v>
      </c>
      <c r="L126" s="3" t="str">
        <f t="shared" si="5"/>
        <v>A</v>
      </c>
    </row>
    <row r="127" spans="1:12" ht="14.25" customHeight="1">
      <c r="A127" s="3">
        <v>126</v>
      </c>
      <c r="B127" s="3" t="s">
        <v>3915</v>
      </c>
      <c r="C127" s="3" t="s">
        <v>1006</v>
      </c>
      <c r="D127" s="3">
        <v>9876544214</v>
      </c>
      <c r="E127" s="3" t="s">
        <v>4418</v>
      </c>
      <c r="F127" s="3" t="str" cm="1">
        <f t="array" ref="F127">IF(E127="","",_xlfn.XLOOKUP(E127,{"FIRST","SECOND","THIRD","FOURTH"},{"SEM-1","SEM-2","SEM-3","SEM-4"},""))</f>
        <v>SEM-1</v>
      </c>
      <c r="G127" s="3">
        <v>31</v>
      </c>
      <c r="H127" s="3">
        <v>18</v>
      </c>
      <c r="I127" s="3">
        <v>65</v>
      </c>
      <c r="J127" s="3">
        <f t="shared" si="3"/>
        <v>114</v>
      </c>
      <c r="K127" s="3" t="str">
        <f t="shared" si="4"/>
        <v>F</v>
      </c>
      <c r="L127" s="3" t="str">
        <f t="shared" si="5"/>
        <v>FAIL</v>
      </c>
    </row>
    <row r="128" spans="1:12" ht="14.25" customHeight="1">
      <c r="A128" s="3">
        <v>127</v>
      </c>
      <c r="B128" s="3" t="s">
        <v>3449</v>
      </c>
      <c r="C128" s="3" t="s">
        <v>545</v>
      </c>
      <c r="D128" s="3">
        <v>9876543748</v>
      </c>
      <c r="E128" s="3" t="s">
        <v>4420</v>
      </c>
      <c r="F128" s="3" t="str" cm="1">
        <f t="array" ref="F128">IF(E128="","",_xlfn.XLOOKUP(E128,{"FIRST","SECOND","THIRD","FOURTH"},{"SEM-1","SEM-2","SEM-3","SEM-4"},""))</f>
        <v>SEM-3</v>
      </c>
      <c r="G128" s="3">
        <v>32</v>
      </c>
      <c r="H128" s="3">
        <v>39</v>
      </c>
      <c r="I128" s="3">
        <v>5</v>
      </c>
      <c r="J128" s="3">
        <f t="shared" si="3"/>
        <v>76</v>
      </c>
      <c r="K128" s="3" t="str">
        <f t="shared" si="4"/>
        <v>F</v>
      </c>
      <c r="L128" s="3" t="str">
        <f t="shared" si="5"/>
        <v>FAIL</v>
      </c>
    </row>
    <row r="129" spans="1:12" ht="14.25" customHeight="1">
      <c r="A129" s="3">
        <v>128</v>
      </c>
      <c r="B129" s="3" t="s">
        <v>3909</v>
      </c>
      <c r="C129" s="3" t="s">
        <v>1000</v>
      </c>
      <c r="D129" s="3">
        <v>9876544208</v>
      </c>
      <c r="E129" s="3" t="s">
        <v>4420</v>
      </c>
      <c r="F129" s="3" t="str" cm="1">
        <f t="array" ref="F129">IF(E129="","",_xlfn.XLOOKUP(E129,{"FIRST","SECOND","THIRD","FOURTH"},{"SEM-1","SEM-2","SEM-3","SEM-4"},""))</f>
        <v>SEM-3</v>
      </c>
      <c r="G129" s="3">
        <v>41</v>
      </c>
      <c r="H129" s="3">
        <v>9</v>
      </c>
      <c r="I129" s="3">
        <v>20</v>
      </c>
      <c r="J129" s="3">
        <f t="shared" si="3"/>
        <v>70</v>
      </c>
      <c r="K129" s="3" t="str">
        <f t="shared" si="4"/>
        <v>F</v>
      </c>
      <c r="L129" s="3" t="str">
        <f t="shared" si="5"/>
        <v>FAIL</v>
      </c>
    </row>
    <row r="130" spans="1:12" ht="14.25" customHeight="1">
      <c r="A130" s="3">
        <v>129</v>
      </c>
      <c r="B130" s="3" t="s">
        <v>3341</v>
      </c>
      <c r="C130" s="3" t="s">
        <v>437</v>
      </c>
      <c r="D130" s="3">
        <v>9876543640</v>
      </c>
      <c r="E130" s="3" t="s">
        <v>4418</v>
      </c>
      <c r="F130" s="3" t="str" cm="1">
        <f t="array" ref="F130">IF(E130="","",_xlfn.XLOOKUP(E130,{"FIRST","SECOND","THIRD","FOURTH"},{"SEM-1","SEM-2","SEM-3","SEM-4"},""))</f>
        <v>SEM-1</v>
      </c>
      <c r="G130" s="3">
        <v>65</v>
      </c>
      <c r="H130" s="3">
        <v>63</v>
      </c>
      <c r="I130" s="3">
        <v>96</v>
      </c>
      <c r="J130" s="3">
        <f t="shared" ref="J130:J193" si="6">SUM(G130:I130)</f>
        <v>224</v>
      </c>
      <c r="K130" s="3" t="str">
        <f t="shared" ref="K130:K193" si="7">IF(OR(G130&gt;=70,H130&gt;=70,I130&gt;=70,J130&gt;=120),"P","F")</f>
        <v>P</v>
      </c>
      <c r="L130" s="3" t="str">
        <f t="shared" ref="L130:L193" si="8">IF(J130&gt;=190,"A",IF(J130&gt;=150,"B",IF(J130&gt;=120,"C","FAIL")))</f>
        <v>A</v>
      </c>
    </row>
    <row r="131" spans="1:12" ht="14.25" customHeight="1">
      <c r="A131" s="3">
        <v>130</v>
      </c>
      <c r="B131" s="3" t="s">
        <v>3375</v>
      </c>
      <c r="C131" s="3" t="s">
        <v>471</v>
      </c>
      <c r="D131" s="3">
        <v>9876543674</v>
      </c>
      <c r="E131" s="3" t="s">
        <v>4418</v>
      </c>
      <c r="F131" s="3" t="str" cm="1">
        <f t="array" ref="F131">IF(E131="","",_xlfn.XLOOKUP(E131,{"FIRST","SECOND","THIRD","FOURTH"},{"SEM-1","SEM-2","SEM-3","SEM-4"},""))</f>
        <v>SEM-1</v>
      </c>
      <c r="G131" s="3">
        <v>26</v>
      </c>
      <c r="H131" s="3">
        <v>85</v>
      </c>
      <c r="I131" s="3">
        <v>5</v>
      </c>
      <c r="J131" s="3">
        <f t="shared" si="6"/>
        <v>116</v>
      </c>
      <c r="K131" s="3" t="str">
        <f t="shared" si="7"/>
        <v>P</v>
      </c>
      <c r="L131" s="3" t="str">
        <f t="shared" si="8"/>
        <v>FAIL</v>
      </c>
    </row>
    <row r="132" spans="1:12" ht="14.25" customHeight="1">
      <c r="A132" s="3">
        <v>131</v>
      </c>
      <c r="B132" s="3" t="s">
        <v>4004</v>
      </c>
      <c r="C132" s="3" t="s">
        <v>1093</v>
      </c>
      <c r="D132" s="3">
        <v>9876544303</v>
      </c>
      <c r="E132" s="3" t="s">
        <v>4419</v>
      </c>
      <c r="F132" s="3" t="str" cm="1">
        <f t="array" ref="F132">IF(E132="","",_xlfn.XLOOKUP(E132,{"FIRST","SECOND","THIRD","FOURTH"},{"SEM-1","SEM-2","SEM-3","SEM-4"},""))</f>
        <v>SEM-2</v>
      </c>
      <c r="G132" s="3">
        <v>3</v>
      </c>
      <c r="H132" s="3">
        <v>34</v>
      </c>
      <c r="I132" s="3">
        <v>30</v>
      </c>
      <c r="J132" s="3">
        <f t="shared" si="6"/>
        <v>67</v>
      </c>
      <c r="K132" s="3" t="str">
        <f t="shared" si="7"/>
        <v>F</v>
      </c>
      <c r="L132" s="3" t="str">
        <f t="shared" si="8"/>
        <v>FAIL</v>
      </c>
    </row>
    <row r="133" spans="1:12" ht="14.25" customHeight="1">
      <c r="A133" s="3">
        <v>132</v>
      </c>
      <c r="B133" s="3" t="s">
        <v>3591</v>
      </c>
      <c r="C133" s="3" t="s">
        <v>685</v>
      </c>
      <c r="D133" s="3">
        <v>9876543890</v>
      </c>
      <c r="E133" s="3" t="s">
        <v>4418</v>
      </c>
      <c r="F133" s="3" t="str" cm="1">
        <f t="array" ref="F133">IF(E133="","",_xlfn.XLOOKUP(E133,{"FIRST","SECOND","THIRD","FOURTH"},{"SEM-1","SEM-2","SEM-3","SEM-4"},""))</f>
        <v>SEM-1</v>
      </c>
      <c r="G133" s="3">
        <v>10</v>
      </c>
      <c r="H133" s="3">
        <v>30</v>
      </c>
      <c r="I133" s="3">
        <v>22</v>
      </c>
      <c r="J133" s="3">
        <f t="shared" si="6"/>
        <v>62</v>
      </c>
      <c r="K133" s="3" t="str">
        <f t="shared" si="7"/>
        <v>F</v>
      </c>
      <c r="L133" s="3" t="str">
        <f t="shared" si="8"/>
        <v>FAIL</v>
      </c>
    </row>
    <row r="134" spans="1:12" ht="14.25" customHeight="1">
      <c r="A134" s="3">
        <v>133</v>
      </c>
      <c r="B134" s="3" t="s">
        <v>3256</v>
      </c>
      <c r="C134" s="3" t="s">
        <v>353</v>
      </c>
      <c r="D134" s="3">
        <v>9876543555</v>
      </c>
      <c r="E134" s="3" t="s">
        <v>4419</v>
      </c>
      <c r="F134" s="3" t="str" cm="1">
        <f t="array" ref="F134">IF(E134="","",_xlfn.XLOOKUP(E134,{"FIRST","SECOND","THIRD","FOURTH"},{"SEM-1","SEM-2","SEM-3","SEM-4"},""))</f>
        <v>SEM-2</v>
      </c>
      <c r="G134" s="3">
        <v>55</v>
      </c>
      <c r="H134" s="3">
        <v>37</v>
      </c>
      <c r="I134" s="3">
        <v>97</v>
      </c>
      <c r="J134" s="3">
        <f t="shared" si="6"/>
        <v>189</v>
      </c>
      <c r="K134" s="3" t="str">
        <f t="shared" si="7"/>
        <v>P</v>
      </c>
      <c r="L134" s="3" t="str">
        <f t="shared" si="8"/>
        <v>B</v>
      </c>
    </row>
    <row r="135" spans="1:12" ht="14.25" customHeight="1">
      <c r="A135" s="3">
        <v>134</v>
      </c>
      <c r="B135" s="3" t="s">
        <v>2964</v>
      </c>
      <c r="C135" s="3" t="s">
        <v>62</v>
      </c>
      <c r="D135" s="3">
        <v>9876543263</v>
      </c>
      <c r="E135" s="3" t="s">
        <v>4420</v>
      </c>
      <c r="F135" s="3" t="str" cm="1">
        <f t="array" ref="F135">IF(E135="","",_xlfn.XLOOKUP(E135,{"FIRST","SECOND","THIRD","FOURTH"},{"SEM-1","SEM-2","SEM-3","SEM-4"},""))</f>
        <v>SEM-3</v>
      </c>
      <c r="G135" s="3">
        <v>100</v>
      </c>
      <c r="H135" s="3">
        <v>59</v>
      </c>
      <c r="I135" s="3">
        <v>5</v>
      </c>
      <c r="J135" s="3">
        <f t="shared" si="6"/>
        <v>164</v>
      </c>
      <c r="K135" s="3" t="str">
        <f t="shared" si="7"/>
        <v>P</v>
      </c>
      <c r="L135" s="3" t="str">
        <f t="shared" si="8"/>
        <v>B</v>
      </c>
    </row>
    <row r="136" spans="1:12" ht="14.25" customHeight="1">
      <c r="A136" s="3">
        <v>135</v>
      </c>
      <c r="B136" s="3" t="s">
        <v>3710</v>
      </c>
      <c r="C136" s="3" t="s">
        <v>803</v>
      </c>
      <c r="D136" s="3">
        <v>9876544009</v>
      </c>
      <c r="E136" s="3" t="s">
        <v>4418</v>
      </c>
      <c r="F136" s="3" t="str" cm="1">
        <f t="array" ref="F136">IF(E136="","",_xlfn.XLOOKUP(E136,{"FIRST","SECOND","THIRD","FOURTH"},{"SEM-1","SEM-2","SEM-3","SEM-4"},""))</f>
        <v>SEM-1</v>
      </c>
      <c r="G136" s="3">
        <v>25</v>
      </c>
      <c r="H136" s="3">
        <v>74</v>
      </c>
      <c r="I136" s="3">
        <v>60</v>
      </c>
      <c r="J136" s="3">
        <f t="shared" si="6"/>
        <v>159</v>
      </c>
      <c r="K136" s="3" t="str">
        <f t="shared" si="7"/>
        <v>P</v>
      </c>
      <c r="L136" s="3" t="str">
        <f t="shared" si="8"/>
        <v>B</v>
      </c>
    </row>
    <row r="137" spans="1:12" ht="14.25" customHeight="1">
      <c r="A137" s="3">
        <v>136</v>
      </c>
      <c r="B137" s="3" t="s">
        <v>3374</v>
      </c>
      <c r="C137" s="3" t="s">
        <v>470</v>
      </c>
      <c r="D137" s="3">
        <v>9876543673</v>
      </c>
      <c r="E137" s="3" t="s">
        <v>4419</v>
      </c>
      <c r="F137" s="3" t="str" cm="1">
        <f t="array" ref="F137">IF(E137="","",_xlfn.XLOOKUP(E137,{"FIRST","SECOND","THIRD","FOURTH"},{"SEM-1","SEM-2","SEM-3","SEM-4"},""))</f>
        <v>SEM-2</v>
      </c>
      <c r="G137" s="3">
        <v>42</v>
      </c>
      <c r="H137" s="3">
        <v>53</v>
      </c>
      <c r="I137" s="3">
        <v>50</v>
      </c>
      <c r="J137" s="3">
        <f t="shared" si="6"/>
        <v>145</v>
      </c>
      <c r="K137" s="3" t="str">
        <f t="shared" si="7"/>
        <v>P</v>
      </c>
      <c r="L137" s="3" t="str">
        <f t="shared" si="8"/>
        <v>C</v>
      </c>
    </row>
    <row r="138" spans="1:12" ht="14.25" customHeight="1">
      <c r="A138" s="3">
        <v>137</v>
      </c>
      <c r="B138" s="3" t="s">
        <v>3004</v>
      </c>
      <c r="C138" s="3" t="s">
        <v>102</v>
      </c>
      <c r="D138" s="3">
        <v>9876543303</v>
      </c>
      <c r="E138" s="3" t="s">
        <v>4418</v>
      </c>
      <c r="F138" s="3" t="str" cm="1">
        <f t="array" ref="F138">IF(E138="","",_xlfn.XLOOKUP(E138,{"FIRST","SECOND","THIRD","FOURTH"},{"SEM-1","SEM-2","SEM-3","SEM-4"},""))</f>
        <v>SEM-1</v>
      </c>
      <c r="G138" s="3">
        <v>46</v>
      </c>
      <c r="H138" s="3">
        <v>20</v>
      </c>
      <c r="I138" s="3">
        <v>78</v>
      </c>
      <c r="J138" s="3">
        <f t="shared" si="6"/>
        <v>144</v>
      </c>
      <c r="K138" s="3" t="str">
        <f t="shared" si="7"/>
        <v>P</v>
      </c>
      <c r="L138" s="3" t="str">
        <f t="shared" si="8"/>
        <v>C</v>
      </c>
    </row>
    <row r="139" spans="1:12" ht="14.25" customHeight="1">
      <c r="A139" s="3">
        <v>138</v>
      </c>
      <c r="B139" s="3" t="s">
        <v>3784</v>
      </c>
      <c r="C139" s="3" t="s">
        <v>876</v>
      </c>
      <c r="D139" s="3">
        <v>9876544083</v>
      </c>
      <c r="E139" s="3" t="s">
        <v>4418</v>
      </c>
      <c r="F139" s="3" t="str" cm="1">
        <f t="array" ref="F139">IF(E139="","",_xlfn.XLOOKUP(E139,{"FIRST","SECOND","THIRD","FOURTH"},{"SEM-1","SEM-2","SEM-3","SEM-4"},""))</f>
        <v>SEM-1</v>
      </c>
      <c r="G139" s="3">
        <v>29</v>
      </c>
      <c r="H139" s="3">
        <v>76</v>
      </c>
      <c r="I139" s="3">
        <v>27</v>
      </c>
      <c r="J139" s="3">
        <f t="shared" si="6"/>
        <v>132</v>
      </c>
      <c r="K139" s="3" t="str">
        <f t="shared" si="7"/>
        <v>P</v>
      </c>
      <c r="L139" s="3" t="str">
        <f t="shared" si="8"/>
        <v>C</v>
      </c>
    </row>
    <row r="140" spans="1:12" ht="14.25" customHeight="1">
      <c r="A140" s="3">
        <v>139</v>
      </c>
      <c r="B140" s="3" t="s">
        <v>4009</v>
      </c>
      <c r="C140" s="3" t="s">
        <v>1098</v>
      </c>
      <c r="D140" s="3">
        <v>9876544308</v>
      </c>
      <c r="E140" s="3" t="s">
        <v>4418</v>
      </c>
      <c r="F140" s="3" t="str" cm="1">
        <f t="array" ref="F140">IF(E140="","",_xlfn.XLOOKUP(E140,{"FIRST","SECOND","THIRD","FOURTH"},{"SEM-1","SEM-2","SEM-3","SEM-4"},""))</f>
        <v>SEM-1</v>
      </c>
      <c r="G140" s="3">
        <v>32</v>
      </c>
      <c r="H140" s="3">
        <v>7</v>
      </c>
      <c r="I140" s="3">
        <v>14</v>
      </c>
      <c r="J140" s="3">
        <f t="shared" si="6"/>
        <v>53</v>
      </c>
      <c r="K140" s="3" t="str">
        <f t="shared" si="7"/>
        <v>F</v>
      </c>
      <c r="L140" s="3" t="str">
        <f t="shared" si="8"/>
        <v>FAIL</v>
      </c>
    </row>
    <row r="141" spans="1:12" ht="14.25" customHeight="1">
      <c r="A141" s="3">
        <v>140</v>
      </c>
      <c r="B141" s="3" t="s">
        <v>3839</v>
      </c>
      <c r="C141" s="3" t="s">
        <v>931</v>
      </c>
      <c r="D141" s="3">
        <v>9876544138</v>
      </c>
      <c r="E141" s="3" t="s">
        <v>4418</v>
      </c>
      <c r="F141" s="3" t="str" cm="1">
        <f t="array" ref="F141">IF(E141="","",_xlfn.XLOOKUP(E141,{"FIRST","SECOND","THIRD","FOURTH"},{"SEM-1","SEM-2","SEM-3","SEM-4"},""))</f>
        <v>SEM-1</v>
      </c>
      <c r="G141" s="3">
        <v>58</v>
      </c>
      <c r="H141" s="3">
        <v>63</v>
      </c>
      <c r="I141" s="3">
        <v>76</v>
      </c>
      <c r="J141" s="3">
        <f t="shared" si="6"/>
        <v>197</v>
      </c>
      <c r="K141" s="3" t="str">
        <f t="shared" si="7"/>
        <v>P</v>
      </c>
      <c r="L141" s="3" t="str">
        <f t="shared" si="8"/>
        <v>A</v>
      </c>
    </row>
    <row r="142" spans="1:12" ht="14.25" customHeight="1">
      <c r="A142" s="3">
        <v>141</v>
      </c>
      <c r="B142" s="3" t="s">
        <v>3759</v>
      </c>
      <c r="C142" s="3" t="s">
        <v>852</v>
      </c>
      <c r="D142" s="3">
        <v>9876544058</v>
      </c>
      <c r="E142" s="3" t="s">
        <v>4419</v>
      </c>
      <c r="F142" s="3" t="str" cm="1">
        <f t="array" ref="F142">IF(E142="","",_xlfn.XLOOKUP(E142,{"FIRST","SECOND","THIRD","FOURTH"},{"SEM-1","SEM-2","SEM-3","SEM-4"},""))</f>
        <v>SEM-2</v>
      </c>
      <c r="G142" s="3">
        <v>80</v>
      </c>
      <c r="H142" s="3">
        <v>6</v>
      </c>
      <c r="I142" s="3">
        <v>38</v>
      </c>
      <c r="J142" s="3">
        <f t="shared" si="6"/>
        <v>124</v>
      </c>
      <c r="K142" s="3" t="str">
        <f t="shared" si="7"/>
        <v>P</v>
      </c>
      <c r="L142" s="3" t="str">
        <f t="shared" si="8"/>
        <v>C</v>
      </c>
    </row>
    <row r="143" spans="1:12" ht="14.25" customHeight="1">
      <c r="A143" s="3">
        <v>142</v>
      </c>
      <c r="B143" s="3" t="s">
        <v>4178</v>
      </c>
      <c r="C143" s="3" t="s">
        <v>1263</v>
      </c>
      <c r="D143" s="3">
        <v>9876544477</v>
      </c>
      <c r="E143" s="3" t="s">
        <v>4418</v>
      </c>
      <c r="F143" s="3" t="str" cm="1">
        <f t="array" ref="F143">IF(E143="","",_xlfn.XLOOKUP(E143,{"FIRST","SECOND","THIRD","FOURTH"},{"SEM-1","SEM-2","SEM-3","SEM-4"},""))</f>
        <v>SEM-1</v>
      </c>
      <c r="G143" s="3">
        <v>29</v>
      </c>
      <c r="H143" s="3">
        <v>94</v>
      </c>
      <c r="I143" s="3">
        <v>5</v>
      </c>
      <c r="J143" s="3">
        <f t="shared" si="6"/>
        <v>128</v>
      </c>
      <c r="K143" s="3" t="str">
        <f t="shared" si="7"/>
        <v>P</v>
      </c>
      <c r="L143" s="3" t="str">
        <f t="shared" si="8"/>
        <v>C</v>
      </c>
    </row>
    <row r="144" spans="1:12" ht="14.25" customHeight="1">
      <c r="A144" s="3">
        <v>143</v>
      </c>
      <c r="B144" s="3" t="s">
        <v>3451</v>
      </c>
      <c r="C144" s="3" t="s">
        <v>547</v>
      </c>
      <c r="D144" s="3">
        <v>9876543750</v>
      </c>
      <c r="E144" s="3" t="s">
        <v>4418</v>
      </c>
      <c r="F144" s="3" t="str" cm="1">
        <f t="array" ref="F144">IF(E144="","",_xlfn.XLOOKUP(E144,{"FIRST","SECOND","THIRD","FOURTH"},{"SEM-1","SEM-2","SEM-3","SEM-4"},""))</f>
        <v>SEM-1</v>
      </c>
      <c r="G144" s="3">
        <v>56</v>
      </c>
      <c r="H144" s="3">
        <v>27</v>
      </c>
      <c r="I144" s="3">
        <v>29</v>
      </c>
      <c r="J144" s="3">
        <f t="shared" si="6"/>
        <v>112</v>
      </c>
      <c r="K144" s="3" t="str">
        <f t="shared" si="7"/>
        <v>F</v>
      </c>
      <c r="L144" s="3" t="str">
        <f t="shared" si="8"/>
        <v>FAIL</v>
      </c>
    </row>
    <row r="145" spans="1:12" ht="14.25" customHeight="1">
      <c r="A145" s="3">
        <v>144</v>
      </c>
      <c r="B145" s="3" t="s">
        <v>4396</v>
      </c>
      <c r="C145" s="3" t="s">
        <v>1475</v>
      </c>
      <c r="D145" s="3">
        <v>9876544695</v>
      </c>
      <c r="E145" s="3" t="s">
        <v>4419</v>
      </c>
      <c r="F145" s="3" t="str" cm="1">
        <f t="array" ref="F145">IF(E145="","",_xlfn.XLOOKUP(E145,{"FIRST","SECOND","THIRD","FOURTH"},{"SEM-1","SEM-2","SEM-3","SEM-4"},""))</f>
        <v>SEM-2</v>
      </c>
      <c r="G145" s="3">
        <v>95</v>
      </c>
      <c r="H145" s="3">
        <v>72</v>
      </c>
      <c r="I145" s="3">
        <v>98</v>
      </c>
      <c r="J145" s="3">
        <f t="shared" si="6"/>
        <v>265</v>
      </c>
      <c r="K145" s="3" t="str">
        <f t="shared" si="7"/>
        <v>P</v>
      </c>
      <c r="L145" s="3" t="str">
        <f t="shared" si="8"/>
        <v>A</v>
      </c>
    </row>
    <row r="146" spans="1:12" ht="14.25" customHeight="1">
      <c r="A146" s="3">
        <v>145</v>
      </c>
      <c r="B146" s="3" t="s">
        <v>3735</v>
      </c>
      <c r="C146" s="3" t="s">
        <v>828</v>
      </c>
      <c r="D146" s="3">
        <v>9876544034</v>
      </c>
      <c r="E146" s="3" t="s">
        <v>4418</v>
      </c>
      <c r="F146" s="3" t="str" cm="1">
        <f t="array" ref="F146">IF(E146="","",_xlfn.XLOOKUP(E146,{"FIRST","SECOND","THIRD","FOURTH"},{"SEM-1","SEM-2","SEM-3","SEM-4"},""))</f>
        <v>SEM-1</v>
      </c>
      <c r="G146" s="3">
        <v>27</v>
      </c>
      <c r="H146" s="3">
        <v>73</v>
      </c>
      <c r="I146" s="3">
        <v>36</v>
      </c>
      <c r="J146" s="3">
        <f t="shared" si="6"/>
        <v>136</v>
      </c>
      <c r="K146" s="3" t="str">
        <f t="shared" si="7"/>
        <v>P</v>
      </c>
      <c r="L146" s="3" t="str">
        <f t="shared" si="8"/>
        <v>C</v>
      </c>
    </row>
    <row r="147" spans="1:12" ht="14.25" customHeight="1">
      <c r="A147" s="3">
        <v>146</v>
      </c>
      <c r="B147" s="3" t="s">
        <v>3896</v>
      </c>
      <c r="C147" s="3" t="s">
        <v>987</v>
      </c>
      <c r="D147" s="3">
        <v>9876544195</v>
      </c>
      <c r="E147" s="3" t="s">
        <v>4419</v>
      </c>
      <c r="F147" s="3" t="str" cm="1">
        <f t="array" ref="F147">IF(E147="","",_xlfn.XLOOKUP(E147,{"FIRST","SECOND","THIRD","FOURTH"},{"SEM-1","SEM-2","SEM-3","SEM-4"},""))</f>
        <v>SEM-2</v>
      </c>
      <c r="G147" s="3">
        <v>20</v>
      </c>
      <c r="H147" s="3">
        <v>37</v>
      </c>
      <c r="I147" s="3">
        <v>94</v>
      </c>
      <c r="J147" s="3">
        <f t="shared" si="6"/>
        <v>151</v>
      </c>
      <c r="K147" s="3" t="str">
        <f t="shared" si="7"/>
        <v>P</v>
      </c>
      <c r="L147" s="3" t="str">
        <f t="shared" si="8"/>
        <v>B</v>
      </c>
    </row>
    <row r="148" spans="1:12" ht="14.25" customHeight="1">
      <c r="A148" s="3">
        <v>147</v>
      </c>
      <c r="B148" s="3" t="s">
        <v>4293</v>
      </c>
      <c r="C148" s="3" t="s">
        <v>1374</v>
      </c>
      <c r="D148" s="3">
        <v>9876544592</v>
      </c>
      <c r="E148" s="3" t="s">
        <v>4420</v>
      </c>
      <c r="F148" s="3" t="str" cm="1">
        <f t="array" ref="F148">IF(E148="","",_xlfn.XLOOKUP(E148,{"FIRST","SECOND","THIRD","FOURTH"},{"SEM-1","SEM-2","SEM-3","SEM-4"},""))</f>
        <v>SEM-3</v>
      </c>
      <c r="G148" s="3">
        <v>31</v>
      </c>
      <c r="H148" s="3">
        <v>5</v>
      </c>
      <c r="I148" s="3">
        <v>64</v>
      </c>
      <c r="J148" s="3">
        <f t="shared" si="6"/>
        <v>100</v>
      </c>
      <c r="K148" s="3" t="str">
        <f t="shared" si="7"/>
        <v>F</v>
      </c>
      <c r="L148" s="3" t="str">
        <f t="shared" si="8"/>
        <v>FAIL</v>
      </c>
    </row>
    <row r="149" spans="1:12" ht="14.25" customHeight="1">
      <c r="A149" s="3">
        <v>148</v>
      </c>
      <c r="B149" s="3" t="s">
        <v>3765</v>
      </c>
      <c r="C149" s="3" t="s">
        <v>858</v>
      </c>
      <c r="D149" s="3">
        <v>9876544064</v>
      </c>
      <c r="E149" s="3" t="s">
        <v>4419</v>
      </c>
      <c r="F149" s="3" t="str" cm="1">
        <f t="array" ref="F149">IF(E149="","",_xlfn.XLOOKUP(E149,{"FIRST","SECOND","THIRD","FOURTH"},{"SEM-1","SEM-2","SEM-3","SEM-4"},""))</f>
        <v>SEM-2</v>
      </c>
      <c r="G149" s="3">
        <v>54</v>
      </c>
      <c r="H149" s="3">
        <v>74</v>
      </c>
      <c r="I149" s="3">
        <v>58</v>
      </c>
      <c r="J149" s="3">
        <f t="shared" si="6"/>
        <v>186</v>
      </c>
      <c r="K149" s="3" t="str">
        <f t="shared" si="7"/>
        <v>P</v>
      </c>
      <c r="L149" s="3" t="str">
        <f t="shared" si="8"/>
        <v>B</v>
      </c>
    </row>
    <row r="150" spans="1:12" ht="14.25" customHeight="1">
      <c r="A150" s="3">
        <v>149</v>
      </c>
      <c r="B150" s="3" t="s">
        <v>3617</v>
      </c>
      <c r="C150" s="3" t="s">
        <v>711</v>
      </c>
      <c r="D150" s="3">
        <v>9876543916</v>
      </c>
      <c r="E150" s="3" t="s">
        <v>4418</v>
      </c>
      <c r="F150" s="3" t="str" cm="1">
        <f t="array" ref="F150">IF(E150="","",_xlfn.XLOOKUP(E150,{"FIRST","SECOND","THIRD","FOURTH"},{"SEM-1","SEM-2","SEM-3","SEM-4"},""))</f>
        <v>SEM-1</v>
      </c>
      <c r="G150" s="3">
        <v>33</v>
      </c>
      <c r="H150" s="3">
        <v>71</v>
      </c>
      <c r="I150" s="3">
        <v>5</v>
      </c>
      <c r="J150" s="3">
        <f t="shared" si="6"/>
        <v>109</v>
      </c>
      <c r="K150" s="3" t="str">
        <f t="shared" si="7"/>
        <v>P</v>
      </c>
      <c r="L150" s="3" t="str">
        <f t="shared" si="8"/>
        <v>FAIL</v>
      </c>
    </row>
    <row r="151" spans="1:12" ht="14.25" customHeight="1">
      <c r="A151" s="3">
        <v>150</v>
      </c>
      <c r="B151" s="3" t="s">
        <v>4272</v>
      </c>
      <c r="C151" s="3" t="s">
        <v>1353</v>
      </c>
      <c r="D151" s="3">
        <v>9876544571</v>
      </c>
      <c r="E151" s="3" t="s">
        <v>4420</v>
      </c>
      <c r="F151" s="3" t="str" cm="1">
        <f t="array" ref="F151">IF(E151="","",_xlfn.XLOOKUP(E151,{"FIRST","SECOND","THIRD","FOURTH"},{"SEM-1","SEM-2","SEM-3","SEM-4"},""))</f>
        <v>SEM-3</v>
      </c>
      <c r="G151" s="3">
        <v>98</v>
      </c>
      <c r="H151" s="3">
        <v>90</v>
      </c>
      <c r="I151" s="3">
        <v>79</v>
      </c>
      <c r="J151" s="3">
        <f t="shared" si="6"/>
        <v>267</v>
      </c>
      <c r="K151" s="3" t="str">
        <f t="shared" si="7"/>
        <v>P</v>
      </c>
      <c r="L151" s="3" t="str">
        <f t="shared" si="8"/>
        <v>A</v>
      </c>
    </row>
    <row r="152" spans="1:12" ht="14.25" customHeight="1">
      <c r="A152" s="3">
        <v>151</v>
      </c>
      <c r="B152" s="3" t="s">
        <v>3587</v>
      </c>
      <c r="C152" s="3" t="s">
        <v>681</v>
      </c>
      <c r="D152" s="3">
        <v>9876543886</v>
      </c>
      <c r="E152" s="3" t="s">
        <v>4418</v>
      </c>
      <c r="F152" s="3" t="str" cm="1">
        <f t="array" ref="F152">IF(E152="","",_xlfn.XLOOKUP(E152,{"FIRST","SECOND","THIRD","FOURTH"},{"SEM-1","SEM-2","SEM-3","SEM-4"},""))</f>
        <v>SEM-1</v>
      </c>
      <c r="G152" s="3">
        <v>44</v>
      </c>
      <c r="H152" s="3">
        <v>71</v>
      </c>
      <c r="I152" s="3">
        <v>39</v>
      </c>
      <c r="J152" s="3">
        <f t="shared" si="6"/>
        <v>154</v>
      </c>
      <c r="K152" s="3" t="str">
        <f t="shared" si="7"/>
        <v>P</v>
      </c>
      <c r="L152" s="3" t="str">
        <f t="shared" si="8"/>
        <v>B</v>
      </c>
    </row>
    <row r="153" spans="1:12" ht="14.25" customHeight="1">
      <c r="A153" s="3">
        <v>152</v>
      </c>
      <c r="B153" s="3" t="s">
        <v>3732</v>
      </c>
      <c r="C153" s="3" t="s">
        <v>825</v>
      </c>
      <c r="D153" s="3">
        <v>9876544031</v>
      </c>
      <c r="E153" s="3" t="s">
        <v>4419</v>
      </c>
      <c r="F153" s="3" t="str" cm="1">
        <f t="array" ref="F153">IF(E153="","",_xlfn.XLOOKUP(E153,{"FIRST","SECOND","THIRD","FOURTH"},{"SEM-1","SEM-2","SEM-3","SEM-4"},""))</f>
        <v>SEM-2</v>
      </c>
      <c r="G153" s="3">
        <v>18</v>
      </c>
      <c r="H153" s="3">
        <v>59</v>
      </c>
      <c r="I153" s="3">
        <v>16</v>
      </c>
      <c r="J153" s="3">
        <f t="shared" si="6"/>
        <v>93</v>
      </c>
      <c r="K153" s="3" t="str">
        <f t="shared" si="7"/>
        <v>F</v>
      </c>
      <c r="L153" s="3" t="str">
        <f t="shared" si="8"/>
        <v>FAIL</v>
      </c>
    </row>
    <row r="154" spans="1:12" ht="14.25" customHeight="1">
      <c r="A154" s="3">
        <v>153</v>
      </c>
      <c r="B154" s="3" t="s">
        <v>2938</v>
      </c>
      <c r="C154" s="3" t="s">
        <v>36</v>
      </c>
      <c r="D154" s="3">
        <v>9876543237</v>
      </c>
      <c r="E154" s="3" t="s">
        <v>4420</v>
      </c>
      <c r="F154" s="3" t="str" cm="1">
        <f t="array" ref="F154">IF(E154="","",_xlfn.XLOOKUP(E154,{"FIRST","SECOND","THIRD","FOURTH"},{"SEM-1","SEM-2","SEM-3","SEM-4"},""))</f>
        <v>SEM-3</v>
      </c>
      <c r="G154" s="3">
        <v>16</v>
      </c>
      <c r="H154" s="3">
        <v>78</v>
      </c>
      <c r="I154" s="3">
        <v>86</v>
      </c>
      <c r="J154" s="3">
        <f t="shared" si="6"/>
        <v>180</v>
      </c>
      <c r="K154" s="3" t="str">
        <f t="shared" si="7"/>
        <v>P</v>
      </c>
      <c r="L154" s="3" t="str">
        <f t="shared" si="8"/>
        <v>B</v>
      </c>
    </row>
    <row r="155" spans="1:12" ht="14.25" customHeight="1">
      <c r="A155" s="3">
        <v>154</v>
      </c>
      <c r="B155" s="3" t="s">
        <v>3299</v>
      </c>
      <c r="C155" s="3" t="s">
        <v>395</v>
      </c>
      <c r="D155" s="3">
        <v>9876543598</v>
      </c>
      <c r="E155" s="3" t="s">
        <v>4419</v>
      </c>
      <c r="F155" s="3" t="str" cm="1">
        <f t="array" ref="F155">IF(E155="","",_xlfn.XLOOKUP(E155,{"FIRST","SECOND","THIRD","FOURTH"},{"SEM-1","SEM-2","SEM-3","SEM-4"},""))</f>
        <v>SEM-2</v>
      </c>
      <c r="G155" s="3">
        <v>83</v>
      </c>
      <c r="H155" s="3">
        <v>6</v>
      </c>
      <c r="I155" s="3">
        <v>26</v>
      </c>
      <c r="J155" s="3">
        <f t="shared" si="6"/>
        <v>115</v>
      </c>
      <c r="K155" s="3" t="str">
        <f t="shared" si="7"/>
        <v>P</v>
      </c>
      <c r="L155" s="3" t="str">
        <f t="shared" si="8"/>
        <v>FAIL</v>
      </c>
    </row>
    <row r="156" spans="1:12" ht="14.25" customHeight="1">
      <c r="A156" s="3">
        <v>155</v>
      </c>
      <c r="B156" s="3" t="s">
        <v>3912</v>
      </c>
      <c r="C156" s="3" t="s">
        <v>1003</v>
      </c>
      <c r="D156" s="3">
        <v>9876544211</v>
      </c>
      <c r="E156" s="3" t="s">
        <v>4419</v>
      </c>
      <c r="F156" s="3" t="str" cm="1">
        <f t="array" ref="F156">IF(E156="","",_xlfn.XLOOKUP(E156,{"FIRST","SECOND","THIRD","FOURTH"},{"SEM-1","SEM-2","SEM-3","SEM-4"},""))</f>
        <v>SEM-2</v>
      </c>
      <c r="G156" s="3">
        <v>89</v>
      </c>
      <c r="H156" s="3">
        <v>37</v>
      </c>
      <c r="I156" s="3">
        <v>32</v>
      </c>
      <c r="J156" s="3">
        <f t="shared" si="6"/>
        <v>158</v>
      </c>
      <c r="K156" s="3" t="str">
        <f t="shared" si="7"/>
        <v>P</v>
      </c>
      <c r="L156" s="3" t="str">
        <f t="shared" si="8"/>
        <v>B</v>
      </c>
    </row>
    <row r="157" spans="1:12" ht="14.25" customHeight="1">
      <c r="A157" s="3">
        <v>156</v>
      </c>
      <c r="B157" s="3" t="s">
        <v>4168</v>
      </c>
      <c r="C157" s="3" t="s">
        <v>1253</v>
      </c>
      <c r="D157" s="3">
        <v>9876544467</v>
      </c>
      <c r="E157" s="3" t="s">
        <v>4419</v>
      </c>
      <c r="F157" s="3" t="str" cm="1">
        <f t="array" ref="F157">IF(E157="","",_xlfn.XLOOKUP(E157,{"FIRST","SECOND","THIRD","FOURTH"},{"SEM-1","SEM-2","SEM-3","SEM-4"},""))</f>
        <v>SEM-2</v>
      </c>
      <c r="G157" s="3">
        <v>6</v>
      </c>
      <c r="H157" s="3">
        <v>37</v>
      </c>
      <c r="I157" s="3">
        <v>57</v>
      </c>
      <c r="J157" s="3">
        <f t="shared" si="6"/>
        <v>100</v>
      </c>
      <c r="K157" s="3" t="str">
        <f t="shared" si="7"/>
        <v>F</v>
      </c>
      <c r="L157" s="3" t="str">
        <f t="shared" si="8"/>
        <v>FAIL</v>
      </c>
    </row>
    <row r="158" spans="1:12" ht="14.25" customHeight="1">
      <c r="A158" s="3">
        <v>157</v>
      </c>
      <c r="B158" s="3" t="s">
        <v>2966</v>
      </c>
      <c r="C158" s="3" t="s">
        <v>64</v>
      </c>
      <c r="D158" s="3">
        <v>9876543265</v>
      </c>
      <c r="E158" s="3" t="s">
        <v>4418</v>
      </c>
      <c r="F158" s="3" t="str" cm="1">
        <f t="array" ref="F158">IF(E158="","",_xlfn.XLOOKUP(E158,{"FIRST","SECOND","THIRD","FOURTH"},{"SEM-1","SEM-2","SEM-3","SEM-4"},""))</f>
        <v>SEM-1</v>
      </c>
      <c r="G158" s="3">
        <v>54</v>
      </c>
      <c r="H158" s="3">
        <v>53</v>
      </c>
      <c r="I158" s="3">
        <v>94</v>
      </c>
      <c r="J158" s="3">
        <f t="shared" si="6"/>
        <v>201</v>
      </c>
      <c r="K158" s="3" t="str">
        <f t="shared" si="7"/>
        <v>P</v>
      </c>
      <c r="L158" s="3" t="str">
        <f t="shared" si="8"/>
        <v>A</v>
      </c>
    </row>
    <row r="159" spans="1:12" ht="14.25" customHeight="1">
      <c r="A159" s="3">
        <v>158</v>
      </c>
      <c r="B159" s="3" t="s">
        <v>3331</v>
      </c>
      <c r="C159" s="3" t="s">
        <v>427</v>
      </c>
      <c r="D159" s="3">
        <v>9876543630</v>
      </c>
      <c r="E159" s="3" t="s">
        <v>4420</v>
      </c>
      <c r="F159" s="3" t="str" cm="1">
        <f t="array" ref="F159">IF(E159="","",_xlfn.XLOOKUP(E159,{"FIRST","SECOND","THIRD","FOURTH"},{"SEM-1","SEM-2","SEM-3","SEM-4"},""))</f>
        <v>SEM-3</v>
      </c>
      <c r="G159" s="3">
        <v>9</v>
      </c>
      <c r="H159" s="3">
        <v>56</v>
      </c>
      <c r="I159" s="3">
        <v>100</v>
      </c>
      <c r="J159" s="3">
        <f t="shared" si="6"/>
        <v>165</v>
      </c>
      <c r="K159" s="3" t="str">
        <f t="shared" si="7"/>
        <v>P</v>
      </c>
      <c r="L159" s="3" t="str">
        <f t="shared" si="8"/>
        <v>B</v>
      </c>
    </row>
    <row r="160" spans="1:12" ht="14.25" customHeight="1">
      <c r="A160" s="3">
        <v>159</v>
      </c>
      <c r="B160" s="3" t="s">
        <v>4110</v>
      </c>
      <c r="C160" s="3" t="s">
        <v>1195</v>
      </c>
      <c r="D160" s="3">
        <v>9876544409</v>
      </c>
      <c r="E160" s="3" t="s">
        <v>4420</v>
      </c>
      <c r="F160" s="3" t="str" cm="1">
        <f t="array" ref="F160">IF(E160="","",_xlfn.XLOOKUP(E160,{"FIRST","SECOND","THIRD","FOURTH"},{"SEM-1","SEM-2","SEM-3","SEM-4"},""))</f>
        <v>SEM-3</v>
      </c>
      <c r="G160" s="3">
        <v>76</v>
      </c>
      <c r="H160" s="3">
        <v>2</v>
      </c>
      <c r="I160" s="3">
        <v>0</v>
      </c>
      <c r="J160" s="3">
        <f t="shared" si="6"/>
        <v>78</v>
      </c>
      <c r="K160" s="3" t="str">
        <f t="shared" si="7"/>
        <v>P</v>
      </c>
      <c r="L160" s="3" t="str">
        <f t="shared" si="8"/>
        <v>FAIL</v>
      </c>
    </row>
    <row r="161" spans="1:12" ht="14.25" customHeight="1">
      <c r="A161" s="3">
        <v>160</v>
      </c>
      <c r="B161" s="3" t="s">
        <v>4020</v>
      </c>
      <c r="C161" s="3" t="s">
        <v>1109</v>
      </c>
      <c r="D161" s="3">
        <v>9876544319</v>
      </c>
      <c r="E161" s="3" t="s">
        <v>4420</v>
      </c>
      <c r="F161" s="3" t="str" cm="1">
        <f t="array" ref="F161">IF(E161="","",_xlfn.XLOOKUP(E161,{"FIRST","SECOND","THIRD","FOURTH"},{"SEM-1","SEM-2","SEM-3","SEM-4"},""))</f>
        <v>SEM-3</v>
      </c>
      <c r="G161" s="3">
        <v>16</v>
      </c>
      <c r="H161" s="3">
        <v>86</v>
      </c>
      <c r="I161" s="3">
        <v>55</v>
      </c>
      <c r="J161" s="3">
        <f t="shared" si="6"/>
        <v>157</v>
      </c>
      <c r="K161" s="3" t="str">
        <f t="shared" si="7"/>
        <v>P</v>
      </c>
      <c r="L161" s="3" t="str">
        <f t="shared" si="8"/>
        <v>B</v>
      </c>
    </row>
    <row r="162" spans="1:12" ht="14.25" customHeight="1">
      <c r="A162" s="3">
        <v>161</v>
      </c>
      <c r="B162" s="3" t="s">
        <v>3597</v>
      </c>
      <c r="C162" s="3" t="s">
        <v>691</v>
      </c>
      <c r="D162" s="3">
        <v>9876543896</v>
      </c>
      <c r="E162" s="3" t="s">
        <v>4419</v>
      </c>
      <c r="F162" s="3" t="str" cm="1">
        <f t="array" ref="F162">IF(E162="","",_xlfn.XLOOKUP(E162,{"FIRST","SECOND","THIRD","FOURTH"},{"SEM-1","SEM-2","SEM-3","SEM-4"},""))</f>
        <v>SEM-2</v>
      </c>
      <c r="G162" s="3">
        <v>4</v>
      </c>
      <c r="H162" s="3">
        <v>69</v>
      </c>
      <c r="I162" s="3">
        <v>73</v>
      </c>
      <c r="J162" s="3">
        <f t="shared" si="6"/>
        <v>146</v>
      </c>
      <c r="K162" s="3" t="str">
        <f t="shared" si="7"/>
        <v>P</v>
      </c>
      <c r="L162" s="3" t="str">
        <f t="shared" si="8"/>
        <v>C</v>
      </c>
    </row>
    <row r="163" spans="1:12" ht="14.25" customHeight="1">
      <c r="A163" s="3">
        <v>162</v>
      </c>
      <c r="B163" s="3" t="s">
        <v>3260</v>
      </c>
      <c r="C163" s="3" t="s">
        <v>357</v>
      </c>
      <c r="D163" s="3">
        <v>9876543559</v>
      </c>
      <c r="E163" s="3" t="s">
        <v>4419</v>
      </c>
      <c r="F163" s="3" t="str" cm="1">
        <f t="array" ref="F163">IF(E163="","",_xlfn.XLOOKUP(E163,{"FIRST","SECOND","THIRD","FOURTH"},{"SEM-1","SEM-2","SEM-3","SEM-4"},""))</f>
        <v>SEM-2</v>
      </c>
      <c r="G163" s="3">
        <v>68</v>
      </c>
      <c r="H163" s="3">
        <v>44</v>
      </c>
      <c r="I163" s="3">
        <v>34</v>
      </c>
      <c r="J163" s="3">
        <f t="shared" si="6"/>
        <v>146</v>
      </c>
      <c r="K163" s="3" t="str">
        <f t="shared" si="7"/>
        <v>P</v>
      </c>
      <c r="L163" s="3" t="str">
        <f t="shared" si="8"/>
        <v>C</v>
      </c>
    </row>
    <row r="164" spans="1:12" ht="14.25" customHeight="1">
      <c r="A164" s="3">
        <v>163</v>
      </c>
      <c r="B164" s="3" t="s">
        <v>3107</v>
      </c>
      <c r="C164" s="3" t="s">
        <v>205</v>
      </c>
      <c r="D164" s="3">
        <v>9876543406</v>
      </c>
      <c r="E164" s="3" t="s">
        <v>4419</v>
      </c>
      <c r="F164" s="3" t="str" cm="1">
        <f t="array" ref="F164">IF(E164="","",_xlfn.XLOOKUP(E164,{"FIRST","SECOND","THIRD","FOURTH"},{"SEM-1","SEM-2","SEM-3","SEM-4"},""))</f>
        <v>SEM-2</v>
      </c>
      <c r="G164" s="3">
        <v>66</v>
      </c>
      <c r="H164" s="3">
        <v>72</v>
      </c>
      <c r="I164" s="3">
        <v>92</v>
      </c>
      <c r="J164" s="3">
        <f t="shared" si="6"/>
        <v>230</v>
      </c>
      <c r="K164" s="3" t="str">
        <f t="shared" si="7"/>
        <v>P</v>
      </c>
      <c r="L164" s="3" t="str">
        <f t="shared" si="8"/>
        <v>A</v>
      </c>
    </row>
    <row r="165" spans="1:12" ht="14.25" customHeight="1">
      <c r="A165" s="3">
        <v>164</v>
      </c>
      <c r="B165" s="3" t="s">
        <v>3125</v>
      </c>
      <c r="C165" s="3" t="s">
        <v>223</v>
      </c>
      <c r="D165" s="3">
        <v>9876543424</v>
      </c>
      <c r="E165" s="3" t="s">
        <v>4420</v>
      </c>
      <c r="F165" s="3" t="str" cm="1">
        <f t="array" ref="F165">IF(E165="","",_xlfn.XLOOKUP(E165,{"FIRST","SECOND","THIRD","FOURTH"},{"SEM-1","SEM-2","SEM-3","SEM-4"},""))</f>
        <v>SEM-3</v>
      </c>
      <c r="G165" s="3">
        <v>75</v>
      </c>
      <c r="H165" s="3">
        <v>36</v>
      </c>
      <c r="I165" s="3">
        <v>54</v>
      </c>
      <c r="J165" s="3">
        <f t="shared" si="6"/>
        <v>165</v>
      </c>
      <c r="K165" s="3" t="str">
        <f t="shared" si="7"/>
        <v>P</v>
      </c>
      <c r="L165" s="3" t="str">
        <f t="shared" si="8"/>
        <v>B</v>
      </c>
    </row>
    <row r="166" spans="1:12" ht="14.25" customHeight="1">
      <c r="A166" s="3">
        <v>165</v>
      </c>
      <c r="B166" s="3" t="s">
        <v>3086</v>
      </c>
      <c r="C166" s="3" t="s">
        <v>184</v>
      </c>
      <c r="D166" s="3">
        <v>9876543385</v>
      </c>
      <c r="E166" s="3" t="s">
        <v>4419</v>
      </c>
      <c r="F166" s="3" t="str" cm="1">
        <f t="array" ref="F166">IF(E166="","",_xlfn.XLOOKUP(E166,{"FIRST","SECOND","THIRD","FOURTH"},{"SEM-1","SEM-2","SEM-3","SEM-4"},""))</f>
        <v>SEM-2</v>
      </c>
      <c r="G166" s="3">
        <v>52</v>
      </c>
      <c r="H166" s="3">
        <v>90</v>
      </c>
      <c r="I166" s="3">
        <v>93</v>
      </c>
      <c r="J166" s="3">
        <f t="shared" si="6"/>
        <v>235</v>
      </c>
      <c r="K166" s="3" t="str">
        <f t="shared" si="7"/>
        <v>P</v>
      </c>
      <c r="L166" s="3" t="str">
        <f t="shared" si="8"/>
        <v>A</v>
      </c>
    </row>
    <row r="167" spans="1:12" ht="14.25" customHeight="1">
      <c r="A167" s="3">
        <v>166</v>
      </c>
      <c r="B167" s="3" t="s">
        <v>4353</v>
      </c>
      <c r="C167" s="3" t="s">
        <v>1432</v>
      </c>
      <c r="D167" s="3">
        <v>9876544652</v>
      </c>
      <c r="E167" s="3" t="s">
        <v>4420</v>
      </c>
      <c r="F167" s="3" t="str" cm="1">
        <f t="array" ref="F167">IF(E167="","",_xlfn.XLOOKUP(E167,{"FIRST","SECOND","THIRD","FOURTH"},{"SEM-1","SEM-2","SEM-3","SEM-4"},""))</f>
        <v>SEM-3</v>
      </c>
      <c r="G167" s="3">
        <v>36</v>
      </c>
      <c r="H167" s="3">
        <v>24</v>
      </c>
      <c r="I167" s="3">
        <v>54</v>
      </c>
      <c r="J167" s="3">
        <f t="shared" si="6"/>
        <v>114</v>
      </c>
      <c r="K167" s="3" t="str">
        <f t="shared" si="7"/>
        <v>F</v>
      </c>
      <c r="L167" s="3" t="str">
        <f t="shared" si="8"/>
        <v>FAIL</v>
      </c>
    </row>
    <row r="168" spans="1:12" ht="14.25" customHeight="1">
      <c r="A168" s="3">
        <v>167</v>
      </c>
      <c r="B168" s="3" t="s">
        <v>3547</v>
      </c>
      <c r="C168" s="3" t="s">
        <v>641</v>
      </c>
      <c r="D168" s="3">
        <v>9876543846</v>
      </c>
      <c r="E168" s="3" t="s">
        <v>4418</v>
      </c>
      <c r="F168" s="3" t="str" cm="1">
        <f t="array" ref="F168">IF(E168="","",_xlfn.XLOOKUP(E168,{"FIRST","SECOND","THIRD","FOURTH"},{"SEM-1","SEM-2","SEM-3","SEM-4"},""))</f>
        <v>SEM-1</v>
      </c>
      <c r="G168" s="3">
        <v>69</v>
      </c>
      <c r="H168" s="3">
        <v>60</v>
      </c>
      <c r="I168" s="3">
        <v>21</v>
      </c>
      <c r="J168" s="3">
        <f t="shared" si="6"/>
        <v>150</v>
      </c>
      <c r="K168" s="3" t="str">
        <f t="shared" si="7"/>
        <v>P</v>
      </c>
      <c r="L168" s="3" t="str">
        <f t="shared" si="8"/>
        <v>B</v>
      </c>
    </row>
    <row r="169" spans="1:12" ht="14.25" customHeight="1">
      <c r="A169" s="3">
        <v>168</v>
      </c>
      <c r="B169" s="3" t="s">
        <v>3581</v>
      </c>
      <c r="C169" s="3" t="s">
        <v>675</v>
      </c>
      <c r="D169" s="3">
        <v>9876543880</v>
      </c>
      <c r="E169" s="3" t="s">
        <v>4418</v>
      </c>
      <c r="F169" s="3" t="str" cm="1">
        <f t="array" ref="F169">IF(E169="","",_xlfn.XLOOKUP(E169,{"FIRST","SECOND","THIRD","FOURTH"},{"SEM-1","SEM-2","SEM-3","SEM-4"},""))</f>
        <v>SEM-1</v>
      </c>
      <c r="G169" s="3">
        <v>65</v>
      </c>
      <c r="H169" s="3">
        <v>56</v>
      </c>
      <c r="I169" s="3">
        <v>5</v>
      </c>
      <c r="J169" s="3">
        <f t="shared" si="6"/>
        <v>126</v>
      </c>
      <c r="K169" s="3" t="str">
        <f t="shared" si="7"/>
        <v>P</v>
      </c>
      <c r="L169" s="3" t="str">
        <f t="shared" si="8"/>
        <v>C</v>
      </c>
    </row>
    <row r="170" spans="1:12" ht="14.25" customHeight="1">
      <c r="A170" s="3">
        <v>169</v>
      </c>
      <c r="B170" s="3" t="s">
        <v>3549</v>
      </c>
      <c r="C170" s="3" t="s">
        <v>643</v>
      </c>
      <c r="D170" s="3">
        <v>9876543848</v>
      </c>
      <c r="E170" s="3" t="s">
        <v>4418</v>
      </c>
      <c r="F170" s="3" t="str" cm="1">
        <f t="array" ref="F170">IF(E170="","",_xlfn.XLOOKUP(E170,{"FIRST","SECOND","THIRD","FOURTH"},{"SEM-1","SEM-2","SEM-3","SEM-4"},""))</f>
        <v>SEM-1</v>
      </c>
      <c r="G170" s="3">
        <v>21</v>
      </c>
      <c r="H170" s="3">
        <v>64</v>
      </c>
      <c r="I170" s="3">
        <v>15</v>
      </c>
      <c r="J170" s="3">
        <f t="shared" si="6"/>
        <v>100</v>
      </c>
      <c r="K170" s="3" t="str">
        <f t="shared" si="7"/>
        <v>F</v>
      </c>
      <c r="L170" s="3" t="str">
        <f t="shared" si="8"/>
        <v>FAIL</v>
      </c>
    </row>
    <row r="171" spans="1:12" ht="14.25" customHeight="1">
      <c r="A171" s="3">
        <v>170</v>
      </c>
      <c r="B171" s="3" t="s">
        <v>3237</v>
      </c>
      <c r="C171" s="3" t="s">
        <v>334</v>
      </c>
      <c r="D171" s="3">
        <v>9876543536</v>
      </c>
      <c r="E171" s="3" t="s">
        <v>4419</v>
      </c>
      <c r="F171" s="3" t="str" cm="1">
        <f t="array" ref="F171">IF(E171="","",_xlfn.XLOOKUP(E171,{"FIRST","SECOND","THIRD","FOURTH"},{"SEM-1","SEM-2","SEM-3","SEM-4"},""))</f>
        <v>SEM-2</v>
      </c>
      <c r="G171" s="3">
        <v>75</v>
      </c>
      <c r="H171" s="3">
        <v>36</v>
      </c>
      <c r="I171" s="3">
        <v>68</v>
      </c>
      <c r="J171" s="3">
        <f t="shared" si="6"/>
        <v>179</v>
      </c>
      <c r="K171" s="3" t="str">
        <f t="shared" si="7"/>
        <v>P</v>
      </c>
      <c r="L171" s="3" t="str">
        <f t="shared" si="8"/>
        <v>B</v>
      </c>
    </row>
    <row r="172" spans="1:12" ht="14.25" customHeight="1">
      <c r="A172" s="3">
        <v>171</v>
      </c>
      <c r="B172" s="3" t="s">
        <v>3460</v>
      </c>
      <c r="C172" s="3" t="s">
        <v>556</v>
      </c>
      <c r="D172" s="3">
        <v>9876543759</v>
      </c>
      <c r="E172" s="3" t="s">
        <v>4418</v>
      </c>
      <c r="F172" s="3" t="str" cm="1">
        <f t="array" ref="F172">IF(E172="","",_xlfn.XLOOKUP(E172,{"FIRST","SECOND","THIRD","FOURTH"},{"SEM-1","SEM-2","SEM-3","SEM-4"},""))</f>
        <v>SEM-1</v>
      </c>
      <c r="G172" s="3">
        <v>11</v>
      </c>
      <c r="H172" s="3">
        <v>21</v>
      </c>
      <c r="I172" s="3">
        <v>67</v>
      </c>
      <c r="J172" s="3">
        <f t="shared" si="6"/>
        <v>99</v>
      </c>
      <c r="K172" s="3" t="str">
        <f t="shared" si="7"/>
        <v>F</v>
      </c>
      <c r="L172" s="3" t="str">
        <f t="shared" si="8"/>
        <v>FAIL</v>
      </c>
    </row>
    <row r="173" spans="1:12" ht="14.25" customHeight="1">
      <c r="A173" s="3">
        <v>172</v>
      </c>
      <c r="B173" s="3" t="s">
        <v>3339</v>
      </c>
      <c r="C173" s="3" t="s">
        <v>435</v>
      </c>
      <c r="D173" s="3">
        <v>9876543638</v>
      </c>
      <c r="E173" s="3" t="s">
        <v>4420</v>
      </c>
      <c r="F173" s="3" t="str" cm="1">
        <f t="array" ref="F173">IF(E173="","",_xlfn.XLOOKUP(E173,{"FIRST","SECOND","THIRD","FOURTH"},{"SEM-1","SEM-2","SEM-3","SEM-4"},""))</f>
        <v>SEM-3</v>
      </c>
      <c r="G173" s="3">
        <v>42</v>
      </c>
      <c r="H173" s="3">
        <v>35</v>
      </c>
      <c r="I173" s="3">
        <v>13</v>
      </c>
      <c r="J173" s="3">
        <f t="shared" si="6"/>
        <v>90</v>
      </c>
      <c r="K173" s="3" t="str">
        <f t="shared" si="7"/>
        <v>F</v>
      </c>
      <c r="L173" s="3" t="str">
        <f t="shared" si="8"/>
        <v>FAIL</v>
      </c>
    </row>
    <row r="174" spans="1:12" ht="14.25" customHeight="1">
      <c r="A174" s="3">
        <v>173</v>
      </c>
      <c r="B174" s="3" t="s">
        <v>3441</v>
      </c>
      <c r="C174" s="3" t="s">
        <v>537</v>
      </c>
      <c r="D174" s="3">
        <v>9876543740</v>
      </c>
      <c r="E174" s="3" t="s">
        <v>4420</v>
      </c>
      <c r="F174" s="3" t="str" cm="1">
        <f t="array" ref="F174">IF(E174="","",_xlfn.XLOOKUP(E174,{"FIRST","SECOND","THIRD","FOURTH"},{"SEM-1","SEM-2","SEM-3","SEM-4"},""))</f>
        <v>SEM-3</v>
      </c>
      <c r="G174" s="3">
        <v>99</v>
      </c>
      <c r="H174" s="3">
        <v>88</v>
      </c>
      <c r="I174" s="3">
        <v>84</v>
      </c>
      <c r="J174" s="3">
        <f t="shared" si="6"/>
        <v>271</v>
      </c>
      <c r="K174" s="3" t="str">
        <f t="shared" si="7"/>
        <v>P</v>
      </c>
      <c r="L174" s="3" t="str">
        <f t="shared" si="8"/>
        <v>A</v>
      </c>
    </row>
    <row r="175" spans="1:12" ht="14.25" customHeight="1">
      <c r="A175" s="3">
        <v>174</v>
      </c>
      <c r="B175" s="3" t="s">
        <v>3404</v>
      </c>
      <c r="C175" s="3" t="s">
        <v>500</v>
      </c>
      <c r="D175" s="3">
        <v>9876543703</v>
      </c>
      <c r="E175" s="3" t="s">
        <v>4418</v>
      </c>
      <c r="F175" s="3" t="str" cm="1">
        <f t="array" ref="F175">IF(E175="","",_xlfn.XLOOKUP(E175,{"FIRST","SECOND","THIRD","FOURTH"},{"SEM-1","SEM-2","SEM-3","SEM-4"},""))</f>
        <v>SEM-1</v>
      </c>
      <c r="G175" s="3">
        <v>29</v>
      </c>
      <c r="H175" s="3">
        <v>59</v>
      </c>
      <c r="I175" s="3">
        <v>90</v>
      </c>
      <c r="J175" s="3">
        <f t="shared" si="6"/>
        <v>178</v>
      </c>
      <c r="K175" s="3" t="str">
        <f t="shared" si="7"/>
        <v>P</v>
      </c>
      <c r="L175" s="3" t="str">
        <f t="shared" si="8"/>
        <v>B</v>
      </c>
    </row>
    <row r="176" spans="1:12" ht="14.25" customHeight="1">
      <c r="A176" s="3">
        <v>175</v>
      </c>
      <c r="B176" s="3" t="s">
        <v>3040</v>
      </c>
      <c r="C176" s="3" t="s">
        <v>138</v>
      </c>
      <c r="D176" s="3">
        <v>9876543339</v>
      </c>
      <c r="E176" s="3" t="s">
        <v>4420</v>
      </c>
      <c r="F176" s="3" t="str" cm="1">
        <f t="array" ref="F176">IF(E176="","",_xlfn.XLOOKUP(E176,{"FIRST","SECOND","THIRD","FOURTH"},{"SEM-1","SEM-2","SEM-3","SEM-4"},""))</f>
        <v>SEM-3</v>
      </c>
      <c r="G176" s="3">
        <v>74</v>
      </c>
      <c r="H176" s="3">
        <v>37</v>
      </c>
      <c r="I176" s="3">
        <v>59</v>
      </c>
      <c r="J176" s="3">
        <f t="shared" si="6"/>
        <v>170</v>
      </c>
      <c r="K176" s="3" t="str">
        <f t="shared" si="7"/>
        <v>P</v>
      </c>
      <c r="L176" s="3" t="str">
        <f t="shared" si="8"/>
        <v>B</v>
      </c>
    </row>
    <row r="177" spans="1:12" ht="14.25" customHeight="1">
      <c r="A177" s="3">
        <v>176</v>
      </c>
      <c r="B177" s="3" t="s">
        <v>4222</v>
      </c>
      <c r="C177" s="3" t="s">
        <v>1305</v>
      </c>
      <c r="D177" s="3">
        <v>9876544521</v>
      </c>
      <c r="E177" s="3" t="s">
        <v>4418</v>
      </c>
      <c r="F177" s="3" t="str" cm="1">
        <f t="array" ref="F177">IF(E177="","",_xlfn.XLOOKUP(E177,{"FIRST","SECOND","THIRD","FOURTH"},{"SEM-1","SEM-2","SEM-3","SEM-4"},""))</f>
        <v>SEM-1</v>
      </c>
      <c r="G177" s="3">
        <v>78</v>
      </c>
      <c r="H177" s="3">
        <v>88</v>
      </c>
      <c r="I177" s="3">
        <v>7</v>
      </c>
      <c r="J177" s="3">
        <f t="shared" si="6"/>
        <v>173</v>
      </c>
      <c r="K177" s="3" t="str">
        <f t="shared" si="7"/>
        <v>P</v>
      </c>
      <c r="L177" s="3" t="str">
        <f t="shared" si="8"/>
        <v>B</v>
      </c>
    </row>
    <row r="178" spans="1:12" ht="14.25" customHeight="1">
      <c r="A178" s="3">
        <v>177</v>
      </c>
      <c r="B178" s="3" t="s">
        <v>3635</v>
      </c>
      <c r="C178" s="3" t="s">
        <v>729</v>
      </c>
      <c r="D178" s="3">
        <v>9876543934</v>
      </c>
      <c r="E178" s="3" t="s">
        <v>4419</v>
      </c>
      <c r="F178" s="3" t="str" cm="1">
        <f t="array" ref="F178">IF(E178="","",_xlfn.XLOOKUP(E178,{"FIRST","SECOND","THIRD","FOURTH"},{"SEM-1","SEM-2","SEM-3","SEM-4"},""))</f>
        <v>SEM-2</v>
      </c>
      <c r="G178" s="3">
        <v>35</v>
      </c>
      <c r="H178" s="3">
        <v>5</v>
      </c>
      <c r="I178" s="3">
        <v>37</v>
      </c>
      <c r="J178" s="3">
        <f t="shared" si="6"/>
        <v>77</v>
      </c>
      <c r="K178" s="3" t="str">
        <f t="shared" si="7"/>
        <v>F</v>
      </c>
      <c r="L178" s="3" t="str">
        <f t="shared" si="8"/>
        <v>FAIL</v>
      </c>
    </row>
    <row r="179" spans="1:12" ht="14.25" customHeight="1">
      <c r="A179" s="3">
        <v>178</v>
      </c>
      <c r="B179" s="3" t="s">
        <v>3918</v>
      </c>
      <c r="C179" s="3" t="s">
        <v>1008</v>
      </c>
      <c r="D179" s="3">
        <v>9876544217</v>
      </c>
      <c r="E179" s="3" t="s">
        <v>4420</v>
      </c>
      <c r="F179" s="3" t="str" cm="1">
        <f t="array" ref="F179">IF(E179="","",_xlfn.XLOOKUP(E179,{"FIRST","SECOND","THIRD","FOURTH"},{"SEM-1","SEM-2","SEM-3","SEM-4"},""))</f>
        <v>SEM-3</v>
      </c>
      <c r="G179" s="3">
        <v>11</v>
      </c>
      <c r="H179" s="3">
        <v>39</v>
      </c>
      <c r="I179" s="3">
        <v>58</v>
      </c>
      <c r="J179" s="3">
        <f t="shared" si="6"/>
        <v>108</v>
      </c>
      <c r="K179" s="3" t="str">
        <f t="shared" si="7"/>
        <v>F</v>
      </c>
      <c r="L179" s="3" t="str">
        <f t="shared" si="8"/>
        <v>FAIL</v>
      </c>
    </row>
    <row r="180" spans="1:12" ht="14.25" customHeight="1">
      <c r="A180" s="3">
        <v>179</v>
      </c>
      <c r="B180" s="3" t="s">
        <v>2970</v>
      </c>
      <c r="C180" s="3" t="s">
        <v>68</v>
      </c>
      <c r="D180" s="3">
        <v>9876543269</v>
      </c>
      <c r="E180" s="3" t="s">
        <v>4418</v>
      </c>
      <c r="F180" s="3" t="str" cm="1">
        <f t="array" ref="F180">IF(E180="","",_xlfn.XLOOKUP(E180,{"FIRST","SECOND","THIRD","FOURTH"},{"SEM-1","SEM-2","SEM-3","SEM-4"},""))</f>
        <v>SEM-1</v>
      </c>
      <c r="G180" s="3">
        <v>32</v>
      </c>
      <c r="H180" s="3">
        <v>66</v>
      </c>
      <c r="I180" s="3">
        <v>81</v>
      </c>
      <c r="J180" s="3">
        <f t="shared" si="6"/>
        <v>179</v>
      </c>
      <c r="K180" s="3" t="str">
        <f t="shared" si="7"/>
        <v>P</v>
      </c>
      <c r="L180" s="3" t="str">
        <f t="shared" si="8"/>
        <v>B</v>
      </c>
    </row>
    <row r="181" spans="1:12" ht="14.25" customHeight="1">
      <c r="A181" s="3">
        <v>180</v>
      </c>
      <c r="B181" s="3" t="s">
        <v>3530</v>
      </c>
      <c r="C181" s="3" t="s">
        <v>625</v>
      </c>
      <c r="D181" s="3">
        <v>9876543829</v>
      </c>
      <c r="E181" s="3" t="s">
        <v>4418</v>
      </c>
      <c r="F181" s="3" t="str" cm="1">
        <f t="array" ref="F181">IF(E181="","",_xlfn.XLOOKUP(E181,{"FIRST","SECOND","THIRD","FOURTH"},{"SEM-1","SEM-2","SEM-3","SEM-4"},""))</f>
        <v>SEM-1</v>
      </c>
      <c r="G181" s="3">
        <v>6</v>
      </c>
      <c r="H181" s="3">
        <v>14</v>
      </c>
      <c r="I181" s="3">
        <v>10</v>
      </c>
      <c r="J181" s="3">
        <f t="shared" si="6"/>
        <v>30</v>
      </c>
      <c r="K181" s="3" t="str">
        <f t="shared" si="7"/>
        <v>F</v>
      </c>
      <c r="L181" s="3" t="str">
        <f t="shared" si="8"/>
        <v>FAIL</v>
      </c>
    </row>
    <row r="182" spans="1:12" ht="14.25" customHeight="1">
      <c r="A182" s="3">
        <v>181</v>
      </c>
      <c r="B182" s="3" t="s">
        <v>4367</v>
      </c>
      <c r="C182" s="3" t="s">
        <v>1446</v>
      </c>
      <c r="D182" s="3">
        <v>9876544666</v>
      </c>
      <c r="E182" s="3" t="s">
        <v>4418</v>
      </c>
      <c r="F182" s="3" t="str" cm="1">
        <f t="array" ref="F182">IF(E182="","",_xlfn.XLOOKUP(E182,{"FIRST","SECOND","THIRD","FOURTH"},{"SEM-1","SEM-2","SEM-3","SEM-4"},""))</f>
        <v>SEM-1</v>
      </c>
      <c r="G182" s="3">
        <v>33</v>
      </c>
      <c r="H182" s="3">
        <v>91</v>
      </c>
      <c r="I182" s="3">
        <v>99</v>
      </c>
      <c r="J182" s="3">
        <f t="shared" si="6"/>
        <v>223</v>
      </c>
      <c r="K182" s="3" t="str">
        <f t="shared" si="7"/>
        <v>P</v>
      </c>
      <c r="L182" s="3" t="str">
        <f t="shared" si="8"/>
        <v>A</v>
      </c>
    </row>
    <row r="183" spans="1:12" ht="14.25" customHeight="1">
      <c r="A183" s="3">
        <v>182</v>
      </c>
      <c r="B183" s="3" t="s">
        <v>4299</v>
      </c>
      <c r="C183" s="3" t="s">
        <v>1380</v>
      </c>
      <c r="D183" s="3">
        <v>9876544598</v>
      </c>
      <c r="E183" s="3" t="s">
        <v>4418</v>
      </c>
      <c r="F183" s="3" t="str" cm="1">
        <f t="array" ref="F183">IF(E183="","",_xlfn.XLOOKUP(E183,{"FIRST","SECOND","THIRD","FOURTH"},{"SEM-1","SEM-2","SEM-3","SEM-4"},""))</f>
        <v>SEM-1</v>
      </c>
      <c r="G183" s="3">
        <v>42</v>
      </c>
      <c r="H183" s="3">
        <v>4</v>
      </c>
      <c r="I183" s="3">
        <v>81</v>
      </c>
      <c r="J183" s="3">
        <f t="shared" si="6"/>
        <v>127</v>
      </c>
      <c r="K183" s="3" t="str">
        <f t="shared" si="7"/>
        <v>P</v>
      </c>
      <c r="L183" s="3" t="str">
        <f t="shared" si="8"/>
        <v>C</v>
      </c>
    </row>
    <row r="184" spans="1:12" ht="14.25" customHeight="1">
      <c r="A184" s="3">
        <v>183</v>
      </c>
      <c r="B184" s="3" t="s">
        <v>3928</v>
      </c>
      <c r="C184" s="3" t="s">
        <v>1018</v>
      </c>
      <c r="D184" s="3">
        <v>9876544227</v>
      </c>
      <c r="E184" s="3" t="s">
        <v>4418</v>
      </c>
      <c r="F184" s="3" t="str" cm="1">
        <f t="array" ref="F184">IF(E184="","",_xlfn.XLOOKUP(E184,{"FIRST","SECOND","THIRD","FOURTH"},{"SEM-1","SEM-2","SEM-3","SEM-4"},""))</f>
        <v>SEM-1</v>
      </c>
      <c r="G184" s="3">
        <v>10</v>
      </c>
      <c r="H184" s="3">
        <v>67</v>
      </c>
      <c r="I184" s="3">
        <v>16</v>
      </c>
      <c r="J184" s="3">
        <f t="shared" si="6"/>
        <v>93</v>
      </c>
      <c r="K184" s="3" t="str">
        <f t="shared" si="7"/>
        <v>F</v>
      </c>
      <c r="L184" s="3" t="str">
        <f t="shared" si="8"/>
        <v>FAIL</v>
      </c>
    </row>
    <row r="185" spans="1:12" ht="14.25" customHeight="1">
      <c r="A185" s="3">
        <v>184</v>
      </c>
      <c r="B185" s="3" t="s">
        <v>3722</v>
      </c>
      <c r="C185" s="3" t="s">
        <v>815</v>
      </c>
      <c r="D185" s="3">
        <v>9876544021</v>
      </c>
      <c r="E185" s="3" t="s">
        <v>4420</v>
      </c>
      <c r="F185" s="3" t="str" cm="1">
        <f t="array" ref="F185">IF(E185="","",_xlfn.XLOOKUP(E185,{"FIRST","SECOND","THIRD","FOURTH"},{"SEM-1","SEM-2","SEM-3","SEM-4"},""))</f>
        <v>SEM-3</v>
      </c>
      <c r="G185" s="3">
        <v>37</v>
      </c>
      <c r="H185" s="3">
        <v>45</v>
      </c>
      <c r="I185" s="3">
        <v>62</v>
      </c>
      <c r="J185" s="3">
        <f t="shared" si="6"/>
        <v>144</v>
      </c>
      <c r="K185" s="3" t="str">
        <f t="shared" si="7"/>
        <v>P</v>
      </c>
      <c r="L185" s="3" t="str">
        <f t="shared" si="8"/>
        <v>C</v>
      </c>
    </row>
    <row r="186" spans="1:12" ht="14.25" customHeight="1">
      <c r="A186" s="3">
        <v>185</v>
      </c>
      <c r="B186" s="3" t="s">
        <v>3727</v>
      </c>
      <c r="C186" s="3" t="s">
        <v>820</v>
      </c>
      <c r="D186" s="3">
        <v>9876544026</v>
      </c>
      <c r="E186" s="3" t="s">
        <v>4418</v>
      </c>
      <c r="F186" s="3" t="str" cm="1">
        <f t="array" ref="F186">IF(E186="","",_xlfn.XLOOKUP(E186,{"FIRST","SECOND","THIRD","FOURTH"},{"SEM-1","SEM-2","SEM-3","SEM-4"},""))</f>
        <v>SEM-1</v>
      </c>
      <c r="G186" s="3">
        <v>13</v>
      </c>
      <c r="H186" s="3">
        <v>39</v>
      </c>
      <c r="I186" s="3">
        <v>46</v>
      </c>
      <c r="J186" s="3">
        <f t="shared" si="6"/>
        <v>98</v>
      </c>
      <c r="K186" s="3" t="str">
        <f t="shared" si="7"/>
        <v>F</v>
      </c>
      <c r="L186" s="3" t="str">
        <f t="shared" si="8"/>
        <v>FAIL</v>
      </c>
    </row>
    <row r="187" spans="1:12" ht="14.25" customHeight="1">
      <c r="A187" s="3">
        <v>186</v>
      </c>
      <c r="B187" s="3" t="s">
        <v>3703</v>
      </c>
      <c r="C187" s="3" t="s">
        <v>796</v>
      </c>
      <c r="D187" s="3">
        <v>9876544002</v>
      </c>
      <c r="E187" s="3" t="s">
        <v>4419</v>
      </c>
      <c r="F187" s="3" t="str" cm="1">
        <f t="array" ref="F187">IF(E187="","",_xlfn.XLOOKUP(E187,{"FIRST","SECOND","THIRD","FOURTH"},{"SEM-1","SEM-2","SEM-3","SEM-4"},""))</f>
        <v>SEM-2</v>
      </c>
      <c r="G187" s="3">
        <v>73</v>
      </c>
      <c r="H187" s="3">
        <v>82</v>
      </c>
      <c r="I187" s="3">
        <v>42</v>
      </c>
      <c r="J187" s="3">
        <f t="shared" si="6"/>
        <v>197</v>
      </c>
      <c r="K187" s="3" t="str">
        <f t="shared" si="7"/>
        <v>P</v>
      </c>
      <c r="L187" s="3" t="str">
        <f t="shared" si="8"/>
        <v>A</v>
      </c>
    </row>
    <row r="188" spans="1:12" ht="14.25" customHeight="1">
      <c r="A188" s="3">
        <v>187</v>
      </c>
      <c r="B188" s="3" t="s">
        <v>4330</v>
      </c>
      <c r="C188" s="3" t="s">
        <v>1409</v>
      </c>
      <c r="D188" s="3">
        <v>9876544629</v>
      </c>
      <c r="E188" s="3" t="s">
        <v>4418</v>
      </c>
      <c r="F188" s="3" t="str" cm="1">
        <f t="array" ref="F188">IF(E188="","",_xlfn.XLOOKUP(E188,{"FIRST","SECOND","THIRD","FOURTH"},{"SEM-1","SEM-2","SEM-3","SEM-4"},""))</f>
        <v>SEM-1</v>
      </c>
      <c r="G188" s="3">
        <v>97</v>
      </c>
      <c r="H188" s="3">
        <v>13</v>
      </c>
      <c r="I188" s="3">
        <v>24</v>
      </c>
      <c r="J188" s="3">
        <f t="shared" si="6"/>
        <v>134</v>
      </c>
      <c r="K188" s="3" t="str">
        <f t="shared" si="7"/>
        <v>P</v>
      </c>
      <c r="L188" s="3" t="str">
        <f t="shared" si="8"/>
        <v>C</v>
      </c>
    </row>
    <row r="189" spans="1:12" ht="14.25" customHeight="1">
      <c r="A189" s="3">
        <v>188</v>
      </c>
      <c r="B189" s="3" t="s">
        <v>3575</v>
      </c>
      <c r="C189" s="3" t="s">
        <v>669</v>
      </c>
      <c r="D189" s="3">
        <v>9876543874</v>
      </c>
      <c r="E189" s="3" t="s">
        <v>4420</v>
      </c>
      <c r="F189" s="3" t="str" cm="1">
        <f t="array" ref="F189">IF(E189="","",_xlfn.XLOOKUP(E189,{"FIRST","SECOND","THIRD","FOURTH"},{"SEM-1","SEM-2","SEM-3","SEM-4"},""))</f>
        <v>SEM-3</v>
      </c>
      <c r="G189" s="3">
        <v>7</v>
      </c>
      <c r="H189" s="3">
        <v>92</v>
      </c>
      <c r="I189" s="3">
        <v>38</v>
      </c>
      <c r="J189" s="3">
        <f t="shared" si="6"/>
        <v>137</v>
      </c>
      <c r="K189" s="3" t="str">
        <f t="shared" si="7"/>
        <v>P</v>
      </c>
      <c r="L189" s="3" t="str">
        <f t="shared" si="8"/>
        <v>C</v>
      </c>
    </row>
    <row r="190" spans="1:12" ht="14.25" customHeight="1">
      <c r="A190" s="3">
        <v>189</v>
      </c>
      <c r="B190" s="3" t="s">
        <v>3734</v>
      </c>
      <c r="C190" s="3" t="s">
        <v>827</v>
      </c>
      <c r="D190" s="3">
        <v>9876544033</v>
      </c>
      <c r="E190" s="3" t="s">
        <v>4419</v>
      </c>
      <c r="F190" s="3" t="str" cm="1">
        <f t="array" ref="F190">IF(E190="","",_xlfn.XLOOKUP(E190,{"FIRST","SECOND","THIRD","FOURTH"},{"SEM-1","SEM-2","SEM-3","SEM-4"},""))</f>
        <v>SEM-2</v>
      </c>
      <c r="G190" s="3">
        <v>54</v>
      </c>
      <c r="H190" s="3">
        <v>22</v>
      </c>
      <c r="I190" s="3">
        <v>20</v>
      </c>
      <c r="J190" s="3">
        <f t="shared" si="6"/>
        <v>96</v>
      </c>
      <c r="K190" s="3" t="str">
        <f t="shared" si="7"/>
        <v>F</v>
      </c>
      <c r="L190" s="3" t="str">
        <f t="shared" si="8"/>
        <v>FAIL</v>
      </c>
    </row>
    <row r="191" spans="1:12" ht="14.25" customHeight="1">
      <c r="A191" s="3">
        <v>190</v>
      </c>
      <c r="B191" s="3" t="s">
        <v>3133</v>
      </c>
      <c r="C191" s="3" t="s">
        <v>231</v>
      </c>
      <c r="D191" s="3">
        <v>9876543432</v>
      </c>
      <c r="E191" s="3" t="s">
        <v>4419</v>
      </c>
      <c r="F191" s="3" t="str" cm="1">
        <f t="array" ref="F191">IF(E191="","",_xlfn.XLOOKUP(E191,{"FIRST","SECOND","THIRD","FOURTH"},{"SEM-1","SEM-2","SEM-3","SEM-4"},""))</f>
        <v>SEM-2</v>
      </c>
      <c r="G191" s="3">
        <v>78</v>
      </c>
      <c r="H191" s="3">
        <v>56</v>
      </c>
      <c r="I191" s="3">
        <v>96</v>
      </c>
      <c r="J191" s="3">
        <f t="shared" si="6"/>
        <v>230</v>
      </c>
      <c r="K191" s="3" t="str">
        <f t="shared" si="7"/>
        <v>P</v>
      </c>
      <c r="L191" s="3" t="str">
        <f t="shared" si="8"/>
        <v>A</v>
      </c>
    </row>
    <row r="192" spans="1:12" ht="14.25" customHeight="1">
      <c r="A192" s="3">
        <v>191</v>
      </c>
      <c r="B192" s="3" t="s">
        <v>3395</v>
      </c>
      <c r="C192" s="3" t="s">
        <v>491</v>
      </c>
      <c r="D192" s="3">
        <v>9876543694</v>
      </c>
      <c r="E192" s="3" t="s">
        <v>4420</v>
      </c>
      <c r="F192" s="3" t="str" cm="1">
        <f t="array" ref="F192">IF(E192="","",_xlfn.XLOOKUP(E192,{"FIRST","SECOND","THIRD","FOURTH"},{"SEM-1","SEM-2","SEM-3","SEM-4"},""))</f>
        <v>SEM-3</v>
      </c>
      <c r="G192" s="3">
        <v>51</v>
      </c>
      <c r="H192" s="3">
        <v>37</v>
      </c>
      <c r="I192" s="3">
        <v>83</v>
      </c>
      <c r="J192" s="3">
        <f t="shared" si="6"/>
        <v>171</v>
      </c>
      <c r="K192" s="3" t="str">
        <f t="shared" si="7"/>
        <v>P</v>
      </c>
      <c r="L192" s="3" t="str">
        <f t="shared" si="8"/>
        <v>B</v>
      </c>
    </row>
    <row r="193" spans="1:12" ht="14.25" customHeight="1">
      <c r="A193" s="3">
        <v>192</v>
      </c>
      <c r="B193" s="3" t="s">
        <v>3846</v>
      </c>
      <c r="C193" s="3" t="s">
        <v>938</v>
      </c>
      <c r="D193" s="3">
        <v>9876544145</v>
      </c>
      <c r="E193" s="3" t="s">
        <v>4420</v>
      </c>
      <c r="F193" s="3" t="str" cm="1">
        <f t="array" ref="F193">IF(E193="","",_xlfn.XLOOKUP(E193,{"FIRST","SECOND","THIRD","FOURTH"},{"SEM-1","SEM-2","SEM-3","SEM-4"},""))</f>
        <v>SEM-3</v>
      </c>
      <c r="G193" s="3">
        <v>88</v>
      </c>
      <c r="H193" s="3">
        <v>78</v>
      </c>
      <c r="I193" s="3">
        <v>7</v>
      </c>
      <c r="J193" s="3">
        <f t="shared" si="6"/>
        <v>173</v>
      </c>
      <c r="K193" s="3" t="str">
        <f t="shared" si="7"/>
        <v>P</v>
      </c>
      <c r="L193" s="3" t="str">
        <f t="shared" si="8"/>
        <v>B</v>
      </c>
    </row>
    <row r="194" spans="1:12" ht="14.25" customHeight="1">
      <c r="A194" s="3">
        <v>193</v>
      </c>
      <c r="B194" s="3" t="s">
        <v>3910</v>
      </c>
      <c r="C194" s="3" t="s">
        <v>1001</v>
      </c>
      <c r="D194" s="3">
        <v>9876544209</v>
      </c>
      <c r="E194" s="3" t="s">
        <v>4420</v>
      </c>
      <c r="F194" s="3" t="str" cm="1">
        <f t="array" ref="F194">IF(E194="","",_xlfn.XLOOKUP(E194,{"FIRST","SECOND","THIRD","FOURTH"},{"SEM-1","SEM-2","SEM-3","SEM-4"},""))</f>
        <v>SEM-3</v>
      </c>
      <c r="G194" s="3">
        <v>0</v>
      </c>
      <c r="H194" s="3">
        <v>86</v>
      </c>
      <c r="I194" s="3">
        <v>78</v>
      </c>
      <c r="J194" s="3">
        <f t="shared" ref="J194:J257" si="9">SUM(G194:I194)</f>
        <v>164</v>
      </c>
      <c r="K194" s="3" t="str">
        <f t="shared" ref="K194:K257" si="10">IF(OR(G194&gt;=70,H194&gt;=70,I194&gt;=70,J194&gt;=120),"P","F")</f>
        <v>P</v>
      </c>
      <c r="L194" s="3" t="str">
        <f t="shared" ref="L194:L257" si="11">IF(J194&gt;=190,"A",IF(J194&gt;=150,"B",IF(J194&gt;=120,"C","FAIL")))</f>
        <v>B</v>
      </c>
    </row>
    <row r="195" spans="1:12" ht="14.25" customHeight="1">
      <c r="A195" s="3">
        <v>194</v>
      </c>
      <c r="B195" s="3" t="s">
        <v>4226</v>
      </c>
      <c r="C195" s="3" t="s">
        <v>1309</v>
      </c>
      <c r="D195" s="3">
        <v>9876544525</v>
      </c>
      <c r="E195" s="3" t="s">
        <v>4419</v>
      </c>
      <c r="F195" s="3" t="str" cm="1">
        <f t="array" ref="F195">IF(E195="","",_xlfn.XLOOKUP(E195,{"FIRST","SECOND","THIRD","FOURTH"},{"SEM-1","SEM-2","SEM-3","SEM-4"},""))</f>
        <v>SEM-2</v>
      </c>
      <c r="G195" s="3">
        <v>93</v>
      </c>
      <c r="H195" s="3">
        <v>49</v>
      </c>
      <c r="I195" s="3">
        <v>9</v>
      </c>
      <c r="J195" s="3">
        <f t="shared" si="9"/>
        <v>151</v>
      </c>
      <c r="K195" s="3" t="str">
        <f t="shared" si="10"/>
        <v>P</v>
      </c>
      <c r="L195" s="3" t="str">
        <f t="shared" si="11"/>
        <v>B</v>
      </c>
    </row>
    <row r="196" spans="1:12" ht="14.25" customHeight="1">
      <c r="A196" s="3">
        <v>195</v>
      </c>
      <c r="B196" s="3" t="s">
        <v>3118</v>
      </c>
      <c r="C196" s="3" t="s">
        <v>216</v>
      </c>
      <c r="D196" s="3">
        <v>9876543417</v>
      </c>
      <c r="E196" s="3" t="s">
        <v>4419</v>
      </c>
      <c r="F196" s="3" t="str" cm="1">
        <f t="array" ref="F196">IF(E196="","",_xlfn.XLOOKUP(E196,{"FIRST","SECOND","THIRD","FOURTH"},{"SEM-1","SEM-2","SEM-3","SEM-4"},""))</f>
        <v>SEM-2</v>
      </c>
      <c r="G196" s="3">
        <v>0</v>
      </c>
      <c r="H196" s="3">
        <v>25</v>
      </c>
      <c r="I196" s="3">
        <v>3</v>
      </c>
      <c r="J196" s="3">
        <f t="shared" si="9"/>
        <v>28</v>
      </c>
      <c r="K196" s="3" t="str">
        <f t="shared" si="10"/>
        <v>F</v>
      </c>
      <c r="L196" s="3" t="str">
        <f t="shared" si="11"/>
        <v>FAIL</v>
      </c>
    </row>
    <row r="197" spans="1:12" ht="14.25" customHeight="1">
      <c r="A197" s="3">
        <v>196</v>
      </c>
      <c r="B197" s="3" t="s">
        <v>3249</v>
      </c>
      <c r="C197" s="3" t="s">
        <v>346</v>
      </c>
      <c r="D197" s="3">
        <v>9876543548</v>
      </c>
      <c r="E197" s="3" t="s">
        <v>4420</v>
      </c>
      <c r="F197" s="3" t="str" cm="1">
        <f t="array" ref="F197">IF(E197="","",_xlfn.XLOOKUP(E197,{"FIRST","SECOND","THIRD","FOURTH"},{"SEM-1","SEM-2","SEM-3","SEM-4"},""))</f>
        <v>SEM-3</v>
      </c>
      <c r="G197" s="3">
        <v>76</v>
      </c>
      <c r="H197" s="3">
        <v>93</v>
      </c>
      <c r="I197" s="3">
        <v>14</v>
      </c>
      <c r="J197" s="3">
        <f t="shared" si="9"/>
        <v>183</v>
      </c>
      <c r="K197" s="3" t="str">
        <f t="shared" si="10"/>
        <v>P</v>
      </c>
      <c r="L197" s="3" t="str">
        <f t="shared" si="11"/>
        <v>B</v>
      </c>
    </row>
    <row r="198" spans="1:12" ht="14.25" customHeight="1">
      <c r="A198" s="3">
        <v>197</v>
      </c>
      <c r="B198" s="3" t="s">
        <v>3477</v>
      </c>
      <c r="C198" s="3" t="s">
        <v>573</v>
      </c>
      <c r="D198" s="3">
        <v>9876543776</v>
      </c>
      <c r="E198" s="3" t="s">
        <v>4418</v>
      </c>
      <c r="F198" s="3" t="str" cm="1">
        <f t="array" ref="F198">IF(E198="","",_xlfn.XLOOKUP(E198,{"FIRST","SECOND","THIRD","FOURTH"},{"SEM-1","SEM-2","SEM-3","SEM-4"},""))</f>
        <v>SEM-1</v>
      </c>
      <c r="G198" s="3">
        <v>34</v>
      </c>
      <c r="H198" s="3">
        <v>44</v>
      </c>
      <c r="I198" s="3">
        <v>87</v>
      </c>
      <c r="J198" s="3">
        <f t="shared" si="9"/>
        <v>165</v>
      </c>
      <c r="K198" s="3" t="str">
        <f t="shared" si="10"/>
        <v>P</v>
      </c>
      <c r="L198" s="3" t="str">
        <f t="shared" si="11"/>
        <v>B</v>
      </c>
    </row>
    <row r="199" spans="1:12" ht="14.25" customHeight="1">
      <c r="A199" s="3">
        <v>198</v>
      </c>
      <c r="B199" s="3" t="s">
        <v>2951</v>
      </c>
      <c r="C199" s="3" t="s">
        <v>49</v>
      </c>
      <c r="D199" s="3">
        <v>9876543250</v>
      </c>
      <c r="E199" s="3" t="s">
        <v>4418</v>
      </c>
      <c r="F199" s="3" t="str" cm="1">
        <f t="array" ref="F199">IF(E199="","",_xlfn.XLOOKUP(E199,{"FIRST","SECOND","THIRD","FOURTH"},{"SEM-1","SEM-2","SEM-3","SEM-4"},""))</f>
        <v>SEM-1</v>
      </c>
      <c r="G199" s="3">
        <v>78</v>
      </c>
      <c r="H199" s="3">
        <v>19</v>
      </c>
      <c r="I199" s="3">
        <v>27</v>
      </c>
      <c r="J199" s="3">
        <f t="shared" si="9"/>
        <v>124</v>
      </c>
      <c r="K199" s="3" t="str">
        <f t="shared" si="10"/>
        <v>P</v>
      </c>
      <c r="L199" s="3" t="str">
        <f t="shared" si="11"/>
        <v>C</v>
      </c>
    </row>
    <row r="200" spans="1:12" ht="14.25" customHeight="1">
      <c r="A200" s="3">
        <v>199</v>
      </c>
      <c r="B200" s="3" t="s">
        <v>3087</v>
      </c>
      <c r="C200" s="3" t="s">
        <v>185</v>
      </c>
      <c r="D200" s="3">
        <v>9876543386</v>
      </c>
      <c r="E200" s="3" t="s">
        <v>4418</v>
      </c>
      <c r="F200" s="3" t="str" cm="1">
        <f t="array" ref="F200">IF(E200="","",_xlfn.XLOOKUP(E200,{"FIRST","SECOND","THIRD","FOURTH"},{"SEM-1","SEM-2","SEM-3","SEM-4"},""))</f>
        <v>SEM-1</v>
      </c>
      <c r="G200" s="3">
        <v>78</v>
      </c>
      <c r="H200" s="3">
        <v>20</v>
      </c>
      <c r="I200" s="3">
        <v>49</v>
      </c>
      <c r="J200" s="3">
        <f t="shared" si="9"/>
        <v>147</v>
      </c>
      <c r="K200" s="3" t="str">
        <f t="shared" si="10"/>
        <v>P</v>
      </c>
      <c r="L200" s="3" t="str">
        <f t="shared" si="11"/>
        <v>C</v>
      </c>
    </row>
    <row r="201" spans="1:12" ht="14.25" customHeight="1">
      <c r="A201" s="3">
        <v>200</v>
      </c>
      <c r="B201" s="3" t="s">
        <v>4177</v>
      </c>
      <c r="C201" s="3" t="s">
        <v>1262</v>
      </c>
      <c r="D201" s="3">
        <v>9876544476</v>
      </c>
      <c r="E201" s="3" t="s">
        <v>4419</v>
      </c>
      <c r="F201" s="3" t="str" cm="1">
        <f t="array" ref="F201">IF(E201="","",_xlfn.XLOOKUP(E201,{"FIRST","SECOND","THIRD","FOURTH"},{"SEM-1","SEM-2","SEM-3","SEM-4"},""))</f>
        <v>SEM-2</v>
      </c>
      <c r="G201" s="3">
        <v>96</v>
      </c>
      <c r="H201" s="3">
        <v>20</v>
      </c>
      <c r="I201" s="3">
        <v>28</v>
      </c>
      <c r="J201" s="3">
        <f t="shared" si="9"/>
        <v>144</v>
      </c>
      <c r="K201" s="3" t="str">
        <f t="shared" si="10"/>
        <v>P</v>
      </c>
      <c r="L201" s="3" t="str">
        <f t="shared" si="11"/>
        <v>C</v>
      </c>
    </row>
    <row r="202" spans="1:12" ht="14.25" customHeight="1">
      <c r="A202" s="3">
        <v>201</v>
      </c>
      <c r="B202" s="3" t="s">
        <v>4237</v>
      </c>
      <c r="C202" s="3" t="s">
        <v>1320</v>
      </c>
      <c r="D202" s="3">
        <v>9876544536</v>
      </c>
      <c r="E202" s="3" t="s">
        <v>4419</v>
      </c>
      <c r="F202" s="3" t="str" cm="1">
        <f t="array" ref="F202">IF(E202="","",_xlfn.XLOOKUP(E202,{"FIRST","SECOND","THIRD","FOURTH"},{"SEM-1","SEM-2","SEM-3","SEM-4"},""))</f>
        <v>SEM-2</v>
      </c>
      <c r="G202" s="3">
        <v>48</v>
      </c>
      <c r="H202" s="3">
        <v>94</v>
      </c>
      <c r="I202" s="3">
        <v>18</v>
      </c>
      <c r="J202" s="3">
        <f t="shared" si="9"/>
        <v>160</v>
      </c>
      <c r="K202" s="3" t="str">
        <f t="shared" si="10"/>
        <v>P</v>
      </c>
      <c r="L202" s="3" t="str">
        <f t="shared" si="11"/>
        <v>B</v>
      </c>
    </row>
    <row r="203" spans="1:12" ht="14.25" customHeight="1">
      <c r="A203" s="3">
        <v>202</v>
      </c>
      <c r="B203" s="3" t="s">
        <v>3243</v>
      </c>
      <c r="C203" s="3" t="s">
        <v>340</v>
      </c>
      <c r="D203" s="3">
        <v>9876543542</v>
      </c>
      <c r="E203" s="3" t="s">
        <v>4419</v>
      </c>
      <c r="F203" s="3" t="str" cm="1">
        <f t="array" ref="F203">IF(E203="","",_xlfn.XLOOKUP(E203,{"FIRST","SECOND","THIRD","FOURTH"},{"SEM-1","SEM-2","SEM-3","SEM-4"},""))</f>
        <v>SEM-2</v>
      </c>
      <c r="G203" s="3">
        <v>48</v>
      </c>
      <c r="H203" s="3">
        <v>42</v>
      </c>
      <c r="I203" s="3">
        <v>56</v>
      </c>
      <c r="J203" s="3">
        <f t="shared" si="9"/>
        <v>146</v>
      </c>
      <c r="K203" s="3" t="str">
        <f t="shared" si="10"/>
        <v>P</v>
      </c>
      <c r="L203" s="3" t="str">
        <f t="shared" si="11"/>
        <v>C</v>
      </c>
    </row>
    <row r="204" spans="1:12" ht="14.25" customHeight="1">
      <c r="A204" s="3">
        <v>203</v>
      </c>
      <c r="B204" s="3" t="s">
        <v>2932</v>
      </c>
      <c r="C204" s="3" t="s">
        <v>30</v>
      </c>
      <c r="D204" s="3">
        <v>9876543231</v>
      </c>
      <c r="E204" s="3" t="s">
        <v>4418</v>
      </c>
      <c r="F204" s="3" t="str" cm="1">
        <f t="array" ref="F204">IF(E204="","",_xlfn.XLOOKUP(E204,{"FIRST","SECOND","THIRD","FOURTH"},{"SEM-1","SEM-2","SEM-3","SEM-4"},""))</f>
        <v>SEM-1</v>
      </c>
      <c r="G204" s="3">
        <v>56</v>
      </c>
      <c r="H204" s="3">
        <v>70</v>
      </c>
      <c r="I204" s="3">
        <v>83</v>
      </c>
      <c r="J204" s="3">
        <f t="shared" si="9"/>
        <v>209</v>
      </c>
      <c r="K204" s="3" t="str">
        <f t="shared" si="10"/>
        <v>P</v>
      </c>
      <c r="L204" s="3" t="str">
        <f t="shared" si="11"/>
        <v>A</v>
      </c>
    </row>
    <row r="205" spans="1:12" ht="14.25" customHeight="1">
      <c r="A205" s="3">
        <v>204</v>
      </c>
      <c r="B205" s="3" t="s">
        <v>4295</v>
      </c>
      <c r="C205" s="3" t="s">
        <v>1376</v>
      </c>
      <c r="D205" s="3">
        <v>9876544594</v>
      </c>
      <c r="E205" s="3" t="s">
        <v>4418</v>
      </c>
      <c r="F205" s="3" t="str" cm="1">
        <f t="array" ref="F205">IF(E205="","",_xlfn.XLOOKUP(E205,{"FIRST","SECOND","THIRD","FOURTH"},{"SEM-1","SEM-2","SEM-3","SEM-4"},""))</f>
        <v>SEM-1</v>
      </c>
      <c r="G205" s="3">
        <v>80</v>
      </c>
      <c r="H205" s="3">
        <v>27</v>
      </c>
      <c r="I205" s="3">
        <v>54</v>
      </c>
      <c r="J205" s="3">
        <f t="shared" si="9"/>
        <v>161</v>
      </c>
      <c r="K205" s="3" t="str">
        <f t="shared" si="10"/>
        <v>P</v>
      </c>
      <c r="L205" s="3" t="str">
        <f t="shared" si="11"/>
        <v>B</v>
      </c>
    </row>
    <row r="206" spans="1:12" ht="14.25" customHeight="1">
      <c r="A206" s="3">
        <v>205</v>
      </c>
      <c r="B206" s="3" t="s">
        <v>2950</v>
      </c>
      <c r="C206" s="3" t="s">
        <v>48</v>
      </c>
      <c r="D206" s="3">
        <v>9876543249</v>
      </c>
      <c r="E206" s="3" t="s">
        <v>4419</v>
      </c>
      <c r="F206" s="3" t="str" cm="1">
        <f t="array" ref="F206">IF(E206="","",_xlfn.XLOOKUP(E206,{"FIRST","SECOND","THIRD","FOURTH"},{"SEM-1","SEM-2","SEM-3","SEM-4"},""))</f>
        <v>SEM-2</v>
      </c>
      <c r="G206" s="3">
        <v>39</v>
      </c>
      <c r="H206" s="3">
        <v>84</v>
      </c>
      <c r="I206" s="3">
        <v>35</v>
      </c>
      <c r="J206" s="3">
        <f t="shared" si="9"/>
        <v>158</v>
      </c>
      <c r="K206" s="3" t="str">
        <f t="shared" si="10"/>
        <v>P</v>
      </c>
      <c r="L206" s="3" t="str">
        <f t="shared" si="11"/>
        <v>B</v>
      </c>
    </row>
    <row r="207" spans="1:12" ht="14.25" customHeight="1">
      <c r="A207" s="3">
        <v>206</v>
      </c>
      <c r="B207" s="3" t="s">
        <v>3914</v>
      </c>
      <c r="C207" s="3" t="s">
        <v>1005</v>
      </c>
      <c r="D207" s="3">
        <v>9876544213</v>
      </c>
      <c r="E207" s="3" t="s">
        <v>4420</v>
      </c>
      <c r="F207" s="3" t="str" cm="1">
        <f t="array" ref="F207">IF(E207="","",_xlfn.XLOOKUP(E207,{"FIRST","SECOND","THIRD","FOURTH"},{"SEM-1","SEM-2","SEM-3","SEM-4"},""))</f>
        <v>SEM-3</v>
      </c>
      <c r="G207" s="3">
        <v>30</v>
      </c>
      <c r="H207" s="3">
        <v>20</v>
      </c>
      <c r="I207" s="3">
        <v>6</v>
      </c>
      <c r="J207" s="3">
        <f t="shared" si="9"/>
        <v>56</v>
      </c>
      <c r="K207" s="3" t="str">
        <f t="shared" si="10"/>
        <v>F</v>
      </c>
      <c r="L207" s="3" t="str">
        <f t="shared" si="11"/>
        <v>FAIL</v>
      </c>
    </row>
    <row r="208" spans="1:12" ht="14.25" customHeight="1">
      <c r="A208" s="3">
        <v>207</v>
      </c>
      <c r="B208" s="3" t="s">
        <v>3953</v>
      </c>
      <c r="C208" s="3" t="s">
        <v>1043</v>
      </c>
      <c r="D208" s="3">
        <v>9876544252</v>
      </c>
      <c r="E208" s="3" t="s">
        <v>4419</v>
      </c>
      <c r="F208" s="3" t="str" cm="1">
        <f t="array" ref="F208">IF(E208="","",_xlfn.XLOOKUP(E208,{"FIRST","SECOND","THIRD","FOURTH"},{"SEM-1","SEM-2","SEM-3","SEM-4"},""))</f>
        <v>SEM-2</v>
      </c>
      <c r="G208" s="3">
        <v>59</v>
      </c>
      <c r="H208" s="3">
        <v>39</v>
      </c>
      <c r="I208" s="3">
        <v>44</v>
      </c>
      <c r="J208" s="3">
        <f t="shared" si="9"/>
        <v>142</v>
      </c>
      <c r="K208" s="3" t="str">
        <f t="shared" si="10"/>
        <v>P</v>
      </c>
      <c r="L208" s="3" t="str">
        <f t="shared" si="11"/>
        <v>C</v>
      </c>
    </row>
    <row r="209" spans="1:12" ht="14.25" customHeight="1">
      <c r="A209" s="3">
        <v>208</v>
      </c>
      <c r="B209" s="3" t="s">
        <v>4238</v>
      </c>
      <c r="C209" s="3" t="s">
        <v>1321</v>
      </c>
      <c r="D209" s="3">
        <v>9876544537</v>
      </c>
      <c r="E209" s="3" t="s">
        <v>4420</v>
      </c>
      <c r="F209" s="3" t="str" cm="1">
        <f t="array" ref="F209">IF(E209="","",_xlfn.XLOOKUP(E209,{"FIRST","SECOND","THIRD","FOURTH"},{"SEM-1","SEM-2","SEM-3","SEM-4"},""))</f>
        <v>SEM-3</v>
      </c>
      <c r="G209" s="3">
        <v>86</v>
      </c>
      <c r="H209" s="3">
        <v>64</v>
      </c>
      <c r="I209" s="3">
        <v>36</v>
      </c>
      <c r="J209" s="3">
        <f t="shared" si="9"/>
        <v>186</v>
      </c>
      <c r="K209" s="3" t="str">
        <f t="shared" si="10"/>
        <v>P</v>
      </c>
      <c r="L209" s="3" t="str">
        <f t="shared" si="11"/>
        <v>B</v>
      </c>
    </row>
    <row r="210" spans="1:12" ht="14.25" customHeight="1">
      <c r="A210" s="3">
        <v>209</v>
      </c>
      <c r="B210" s="3" t="s">
        <v>4277</v>
      </c>
      <c r="C210" s="3" t="s">
        <v>1358</v>
      </c>
      <c r="D210" s="3">
        <v>9876544576</v>
      </c>
      <c r="E210" s="3" t="s">
        <v>4419</v>
      </c>
      <c r="F210" s="3" t="str" cm="1">
        <f t="array" ref="F210">IF(E210="","",_xlfn.XLOOKUP(E210,{"FIRST","SECOND","THIRD","FOURTH"},{"SEM-1","SEM-2","SEM-3","SEM-4"},""))</f>
        <v>SEM-2</v>
      </c>
      <c r="G210" s="3">
        <v>60</v>
      </c>
      <c r="H210" s="3">
        <v>65</v>
      </c>
      <c r="I210" s="3">
        <v>6</v>
      </c>
      <c r="J210" s="3">
        <f t="shared" si="9"/>
        <v>131</v>
      </c>
      <c r="K210" s="3" t="str">
        <f t="shared" si="10"/>
        <v>P</v>
      </c>
      <c r="L210" s="3" t="str">
        <f t="shared" si="11"/>
        <v>C</v>
      </c>
    </row>
    <row r="211" spans="1:12" ht="14.25" customHeight="1">
      <c r="A211" s="3">
        <v>210</v>
      </c>
      <c r="B211" s="3" t="s">
        <v>3801</v>
      </c>
      <c r="C211" s="3" t="s">
        <v>893</v>
      </c>
      <c r="D211" s="3">
        <v>9876544100</v>
      </c>
      <c r="E211" s="3" t="s">
        <v>4418</v>
      </c>
      <c r="F211" s="3" t="str" cm="1">
        <f t="array" ref="F211">IF(E211="","",_xlfn.XLOOKUP(E211,{"FIRST","SECOND","THIRD","FOURTH"},{"SEM-1","SEM-2","SEM-3","SEM-4"},""))</f>
        <v>SEM-1</v>
      </c>
      <c r="G211" s="3">
        <v>65</v>
      </c>
      <c r="H211" s="3">
        <v>23</v>
      </c>
      <c r="I211" s="3">
        <v>29</v>
      </c>
      <c r="J211" s="3">
        <f t="shared" si="9"/>
        <v>117</v>
      </c>
      <c r="K211" s="3" t="str">
        <f t="shared" si="10"/>
        <v>F</v>
      </c>
      <c r="L211" s="3" t="str">
        <f t="shared" si="11"/>
        <v>FAIL</v>
      </c>
    </row>
    <row r="212" spans="1:12" ht="14.25" customHeight="1">
      <c r="A212" s="3">
        <v>211</v>
      </c>
      <c r="B212" s="3" t="s">
        <v>3840</v>
      </c>
      <c r="C212" s="3" t="s">
        <v>932</v>
      </c>
      <c r="D212" s="3">
        <v>9876544139</v>
      </c>
      <c r="E212" s="3" t="s">
        <v>4419</v>
      </c>
      <c r="F212" s="3" t="str" cm="1">
        <f t="array" ref="F212">IF(E212="","",_xlfn.XLOOKUP(E212,{"FIRST","SECOND","THIRD","FOURTH"},{"SEM-1","SEM-2","SEM-3","SEM-4"},""))</f>
        <v>SEM-2</v>
      </c>
      <c r="G212" s="3">
        <v>47</v>
      </c>
      <c r="H212" s="3">
        <v>92</v>
      </c>
      <c r="I212" s="3">
        <v>94</v>
      </c>
      <c r="J212" s="3">
        <f t="shared" si="9"/>
        <v>233</v>
      </c>
      <c r="K212" s="3" t="str">
        <f t="shared" si="10"/>
        <v>P</v>
      </c>
      <c r="L212" s="3" t="str">
        <f t="shared" si="11"/>
        <v>A</v>
      </c>
    </row>
    <row r="213" spans="1:12" ht="14.25" customHeight="1">
      <c r="A213" s="3">
        <v>212</v>
      </c>
      <c r="B213" s="3" t="s">
        <v>2973</v>
      </c>
      <c r="C213" s="3" t="s">
        <v>71</v>
      </c>
      <c r="D213" s="3">
        <v>9876543272</v>
      </c>
      <c r="E213" s="3" t="s">
        <v>4420</v>
      </c>
      <c r="F213" s="3" t="str" cm="1">
        <f t="array" ref="F213">IF(E213="","",_xlfn.XLOOKUP(E213,{"FIRST","SECOND","THIRD","FOURTH"},{"SEM-1","SEM-2","SEM-3","SEM-4"},""))</f>
        <v>SEM-3</v>
      </c>
      <c r="G213" s="3">
        <v>58</v>
      </c>
      <c r="H213" s="3">
        <v>21</v>
      </c>
      <c r="I213" s="3">
        <v>83</v>
      </c>
      <c r="J213" s="3">
        <f t="shared" si="9"/>
        <v>162</v>
      </c>
      <c r="K213" s="3" t="str">
        <f t="shared" si="10"/>
        <v>P</v>
      </c>
      <c r="L213" s="3" t="str">
        <f t="shared" si="11"/>
        <v>B</v>
      </c>
    </row>
    <row r="214" spans="1:12" ht="14.25" customHeight="1">
      <c r="A214" s="3">
        <v>213</v>
      </c>
      <c r="B214" s="3" t="s">
        <v>3472</v>
      </c>
      <c r="C214" s="3" t="s">
        <v>568</v>
      </c>
      <c r="D214" s="3">
        <v>9876543771</v>
      </c>
      <c r="E214" s="3" t="s">
        <v>4418</v>
      </c>
      <c r="F214" s="3" t="str" cm="1">
        <f t="array" ref="F214">IF(E214="","",_xlfn.XLOOKUP(E214,{"FIRST","SECOND","THIRD","FOURTH"},{"SEM-1","SEM-2","SEM-3","SEM-4"},""))</f>
        <v>SEM-1</v>
      </c>
      <c r="G214" s="3">
        <v>82</v>
      </c>
      <c r="H214" s="3">
        <v>15</v>
      </c>
      <c r="I214" s="3">
        <v>1</v>
      </c>
      <c r="J214" s="3">
        <f t="shared" si="9"/>
        <v>98</v>
      </c>
      <c r="K214" s="3" t="str">
        <f t="shared" si="10"/>
        <v>P</v>
      </c>
      <c r="L214" s="3" t="str">
        <f t="shared" si="11"/>
        <v>FAIL</v>
      </c>
    </row>
    <row r="215" spans="1:12" ht="14.25" customHeight="1">
      <c r="A215" s="3">
        <v>214</v>
      </c>
      <c r="B215" s="3" t="s">
        <v>4036</v>
      </c>
      <c r="C215" s="3" t="s">
        <v>1125</v>
      </c>
      <c r="D215" s="3">
        <v>9876544335</v>
      </c>
      <c r="E215" s="3" t="s">
        <v>4418</v>
      </c>
      <c r="F215" s="3" t="str" cm="1">
        <f t="array" ref="F215">IF(E215="","",_xlfn.XLOOKUP(E215,{"FIRST","SECOND","THIRD","FOURTH"},{"SEM-1","SEM-2","SEM-3","SEM-4"},""))</f>
        <v>SEM-1</v>
      </c>
      <c r="G215" s="3">
        <v>49</v>
      </c>
      <c r="H215" s="3">
        <v>84</v>
      </c>
      <c r="I215" s="3">
        <v>71</v>
      </c>
      <c r="J215" s="3">
        <f t="shared" si="9"/>
        <v>204</v>
      </c>
      <c r="K215" s="3" t="str">
        <f t="shared" si="10"/>
        <v>P</v>
      </c>
      <c r="L215" s="3" t="str">
        <f t="shared" si="11"/>
        <v>A</v>
      </c>
    </row>
    <row r="216" spans="1:12" ht="14.25" customHeight="1">
      <c r="A216" s="3">
        <v>215</v>
      </c>
      <c r="B216" s="3" t="s">
        <v>4284</v>
      </c>
      <c r="C216" s="3" t="s">
        <v>1365</v>
      </c>
      <c r="D216" s="3">
        <v>9876544583</v>
      </c>
      <c r="E216" s="3" t="s">
        <v>4420</v>
      </c>
      <c r="F216" s="3" t="str" cm="1">
        <f t="array" ref="F216">IF(E216="","",_xlfn.XLOOKUP(E216,{"FIRST","SECOND","THIRD","FOURTH"},{"SEM-1","SEM-2","SEM-3","SEM-4"},""))</f>
        <v>SEM-3</v>
      </c>
      <c r="G216" s="3">
        <v>10</v>
      </c>
      <c r="H216" s="3">
        <v>81</v>
      </c>
      <c r="I216" s="3">
        <v>31</v>
      </c>
      <c r="J216" s="3">
        <f t="shared" si="9"/>
        <v>122</v>
      </c>
      <c r="K216" s="3" t="str">
        <f t="shared" si="10"/>
        <v>P</v>
      </c>
      <c r="L216" s="3" t="str">
        <f t="shared" si="11"/>
        <v>C</v>
      </c>
    </row>
    <row r="217" spans="1:12" ht="14.25" customHeight="1">
      <c r="A217" s="3">
        <v>216</v>
      </c>
      <c r="B217" s="3" t="s">
        <v>3219</v>
      </c>
      <c r="C217" s="3" t="s">
        <v>316</v>
      </c>
      <c r="D217" s="3">
        <v>9876543518</v>
      </c>
      <c r="E217" s="3" t="s">
        <v>4419</v>
      </c>
      <c r="F217" s="3" t="str" cm="1">
        <f t="array" ref="F217">IF(E217="","",_xlfn.XLOOKUP(E217,{"FIRST","SECOND","THIRD","FOURTH"},{"SEM-1","SEM-2","SEM-3","SEM-4"},""))</f>
        <v>SEM-2</v>
      </c>
      <c r="G217" s="3">
        <v>48</v>
      </c>
      <c r="H217" s="3">
        <v>44</v>
      </c>
      <c r="I217" s="3">
        <v>64</v>
      </c>
      <c r="J217" s="3">
        <f t="shared" si="9"/>
        <v>156</v>
      </c>
      <c r="K217" s="3" t="str">
        <f t="shared" si="10"/>
        <v>P</v>
      </c>
      <c r="L217" s="3" t="str">
        <f t="shared" si="11"/>
        <v>B</v>
      </c>
    </row>
    <row r="218" spans="1:12" ht="14.25" customHeight="1">
      <c r="A218" s="3">
        <v>217</v>
      </c>
      <c r="B218" s="3" t="s">
        <v>4091</v>
      </c>
      <c r="C218" s="3" t="s">
        <v>1176</v>
      </c>
      <c r="D218" s="3">
        <v>9876544390</v>
      </c>
      <c r="E218" s="3" t="s">
        <v>4418</v>
      </c>
      <c r="F218" s="3" t="str" cm="1">
        <f t="array" ref="F218">IF(E218="","",_xlfn.XLOOKUP(E218,{"FIRST","SECOND","THIRD","FOURTH"},{"SEM-1","SEM-2","SEM-3","SEM-4"},""))</f>
        <v>SEM-1</v>
      </c>
      <c r="G218" s="3">
        <v>22</v>
      </c>
      <c r="H218" s="3">
        <v>60</v>
      </c>
      <c r="I218" s="3">
        <v>99</v>
      </c>
      <c r="J218" s="3">
        <f t="shared" si="9"/>
        <v>181</v>
      </c>
      <c r="K218" s="3" t="str">
        <f t="shared" si="10"/>
        <v>P</v>
      </c>
      <c r="L218" s="3" t="str">
        <f t="shared" si="11"/>
        <v>B</v>
      </c>
    </row>
    <row r="219" spans="1:12" ht="14.25" customHeight="1">
      <c r="A219" s="3">
        <v>218</v>
      </c>
      <c r="B219" s="3" t="s">
        <v>3985</v>
      </c>
      <c r="C219" s="3" t="s">
        <v>1075</v>
      </c>
      <c r="D219" s="3">
        <v>9876544284</v>
      </c>
      <c r="E219" s="3" t="s">
        <v>4419</v>
      </c>
      <c r="F219" s="3" t="str" cm="1">
        <f t="array" ref="F219">IF(E219="","",_xlfn.XLOOKUP(E219,{"FIRST","SECOND","THIRD","FOURTH"},{"SEM-1","SEM-2","SEM-3","SEM-4"},""))</f>
        <v>SEM-2</v>
      </c>
      <c r="G219" s="3">
        <v>8</v>
      </c>
      <c r="H219" s="3">
        <v>38</v>
      </c>
      <c r="I219" s="3">
        <v>22</v>
      </c>
      <c r="J219" s="3">
        <f t="shared" si="9"/>
        <v>68</v>
      </c>
      <c r="K219" s="3" t="str">
        <f t="shared" si="10"/>
        <v>F</v>
      </c>
      <c r="L219" s="3" t="str">
        <f t="shared" si="11"/>
        <v>FAIL</v>
      </c>
    </row>
    <row r="220" spans="1:12" ht="14.25" customHeight="1">
      <c r="A220" s="3">
        <v>219</v>
      </c>
      <c r="B220" s="3" t="s">
        <v>4302</v>
      </c>
      <c r="C220" s="3" t="s">
        <v>1383</v>
      </c>
      <c r="D220" s="3">
        <v>9876544601</v>
      </c>
      <c r="E220" s="3" t="s">
        <v>4420</v>
      </c>
      <c r="F220" s="3" t="str" cm="1">
        <f t="array" ref="F220">IF(E220="","",_xlfn.XLOOKUP(E220,{"FIRST","SECOND","THIRD","FOURTH"},{"SEM-1","SEM-2","SEM-3","SEM-4"},""))</f>
        <v>SEM-3</v>
      </c>
      <c r="G220" s="3">
        <v>31</v>
      </c>
      <c r="H220" s="3">
        <v>92</v>
      </c>
      <c r="I220" s="3">
        <v>7</v>
      </c>
      <c r="J220" s="3">
        <f t="shared" si="9"/>
        <v>130</v>
      </c>
      <c r="K220" s="3" t="str">
        <f t="shared" si="10"/>
        <v>P</v>
      </c>
      <c r="L220" s="3" t="str">
        <f t="shared" si="11"/>
        <v>C</v>
      </c>
    </row>
    <row r="221" spans="1:12" ht="14.25" customHeight="1">
      <c r="A221" s="3">
        <v>220</v>
      </c>
      <c r="B221" s="3" t="s">
        <v>4190</v>
      </c>
      <c r="C221" s="3" t="s">
        <v>1275</v>
      </c>
      <c r="D221" s="3">
        <v>9876544489</v>
      </c>
      <c r="E221" s="3" t="s">
        <v>4419</v>
      </c>
      <c r="F221" s="3" t="str" cm="1">
        <f t="array" ref="F221">IF(E221="","",_xlfn.XLOOKUP(E221,{"FIRST","SECOND","THIRD","FOURTH"},{"SEM-1","SEM-2","SEM-3","SEM-4"},""))</f>
        <v>SEM-2</v>
      </c>
      <c r="G221" s="3">
        <v>29</v>
      </c>
      <c r="H221" s="3">
        <v>70</v>
      </c>
      <c r="I221" s="3">
        <v>97</v>
      </c>
      <c r="J221" s="3">
        <f t="shared" si="9"/>
        <v>196</v>
      </c>
      <c r="K221" s="3" t="str">
        <f t="shared" si="10"/>
        <v>P</v>
      </c>
      <c r="L221" s="3" t="str">
        <f t="shared" si="11"/>
        <v>A</v>
      </c>
    </row>
    <row r="222" spans="1:12" ht="14.25" customHeight="1">
      <c r="A222" s="3">
        <v>221</v>
      </c>
      <c r="B222" s="3" t="s">
        <v>4332</v>
      </c>
      <c r="C222" s="3" t="s">
        <v>1411</v>
      </c>
      <c r="D222" s="3">
        <v>9876544631</v>
      </c>
      <c r="E222" s="3" t="s">
        <v>4420</v>
      </c>
      <c r="F222" s="3" t="str" cm="1">
        <f t="array" ref="F222">IF(E222="","",_xlfn.XLOOKUP(E222,{"FIRST","SECOND","THIRD","FOURTH"},{"SEM-1","SEM-2","SEM-3","SEM-4"},""))</f>
        <v>SEM-3</v>
      </c>
      <c r="G222" s="3">
        <v>10</v>
      </c>
      <c r="H222" s="3">
        <v>27</v>
      </c>
      <c r="I222" s="3">
        <v>95</v>
      </c>
      <c r="J222" s="3">
        <f t="shared" si="9"/>
        <v>132</v>
      </c>
      <c r="K222" s="3" t="str">
        <f t="shared" si="10"/>
        <v>P</v>
      </c>
      <c r="L222" s="3" t="str">
        <f t="shared" si="11"/>
        <v>C</v>
      </c>
    </row>
    <row r="223" spans="1:12" ht="14.25" customHeight="1">
      <c r="A223" s="3">
        <v>222</v>
      </c>
      <c r="B223" s="3" t="s">
        <v>4053</v>
      </c>
      <c r="C223" s="3" t="s">
        <v>1141</v>
      </c>
      <c r="D223" s="3">
        <v>9876544352</v>
      </c>
      <c r="E223" s="3" t="s">
        <v>4419</v>
      </c>
      <c r="F223" s="3" t="str" cm="1">
        <f t="array" ref="F223">IF(E223="","",_xlfn.XLOOKUP(E223,{"FIRST","SECOND","THIRD","FOURTH"},{"SEM-1","SEM-2","SEM-3","SEM-4"},""))</f>
        <v>SEM-2</v>
      </c>
      <c r="G223" s="3">
        <v>9</v>
      </c>
      <c r="H223" s="3">
        <v>76</v>
      </c>
      <c r="I223" s="3">
        <v>13</v>
      </c>
      <c r="J223" s="3">
        <f t="shared" si="9"/>
        <v>98</v>
      </c>
      <c r="K223" s="3" t="str">
        <f t="shared" si="10"/>
        <v>P</v>
      </c>
      <c r="L223" s="3" t="str">
        <f t="shared" si="11"/>
        <v>FAIL</v>
      </c>
    </row>
    <row r="224" spans="1:12" ht="14.25" customHeight="1">
      <c r="A224" s="3">
        <v>223</v>
      </c>
      <c r="B224" s="3" t="s">
        <v>3471</v>
      </c>
      <c r="C224" s="3" t="s">
        <v>567</v>
      </c>
      <c r="D224" s="3">
        <v>9876543770</v>
      </c>
      <c r="E224" s="3" t="s">
        <v>4420</v>
      </c>
      <c r="F224" s="3" t="str" cm="1">
        <f t="array" ref="F224">IF(E224="","",_xlfn.XLOOKUP(E224,{"FIRST","SECOND","THIRD","FOURTH"},{"SEM-1","SEM-2","SEM-3","SEM-4"},""))</f>
        <v>SEM-3</v>
      </c>
      <c r="G224" s="3">
        <v>99</v>
      </c>
      <c r="H224" s="3">
        <v>72</v>
      </c>
      <c r="I224" s="3">
        <v>28</v>
      </c>
      <c r="J224" s="3">
        <f t="shared" si="9"/>
        <v>199</v>
      </c>
      <c r="K224" s="3" t="str">
        <f t="shared" si="10"/>
        <v>P</v>
      </c>
      <c r="L224" s="3" t="str">
        <f t="shared" si="11"/>
        <v>A</v>
      </c>
    </row>
    <row r="225" spans="1:12" ht="14.25" customHeight="1">
      <c r="A225" s="3">
        <v>224</v>
      </c>
      <c r="B225" s="3" t="s">
        <v>3857</v>
      </c>
      <c r="C225" s="3" t="s">
        <v>949</v>
      </c>
      <c r="D225" s="3">
        <v>9876544156</v>
      </c>
      <c r="E225" s="3" t="s">
        <v>4419</v>
      </c>
      <c r="F225" s="3" t="str" cm="1">
        <f t="array" ref="F225">IF(E225="","",_xlfn.XLOOKUP(E225,{"FIRST","SECOND","THIRD","FOURTH"},{"SEM-1","SEM-2","SEM-3","SEM-4"},""))</f>
        <v>SEM-2</v>
      </c>
      <c r="G225" s="3">
        <v>41</v>
      </c>
      <c r="H225" s="3">
        <v>9</v>
      </c>
      <c r="I225" s="3">
        <v>57</v>
      </c>
      <c r="J225" s="3">
        <f t="shared" si="9"/>
        <v>107</v>
      </c>
      <c r="K225" s="3" t="str">
        <f t="shared" si="10"/>
        <v>F</v>
      </c>
      <c r="L225" s="3" t="str">
        <f t="shared" si="11"/>
        <v>FAIL</v>
      </c>
    </row>
    <row r="226" spans="1:12" ht="14.25" customHeight="1">
      <c r="A226" s="3">
        <v>225</v>
      </c>
      <c r="B226" s="3" t="s">
        <v>4114</v>
      </c>
      <c r="C226" s="3" t="s">
        <v>1199</v>
      </c>
      <c r="D226" s="3">
        <v>9876544413</v>
      </c>
      <c r="E226" s="3" t="s">
        <v>4420</v>
      </c>
      <c r="F226" s="3" t="str" cm="1">
        <f t="array" ref="F226">IF(E226="","",_xlfn.XLOOKUP(E226,{"FIRST","SECOND","THIRD","FOURTH"},{"SEM-1","SEM-2","SEM-3","SEM-4"},""))</f>
        <v>SEM-3</v>
      </c>
      <c r="G226" s="3">
        <v>63</v>
      </c>
      <c r="H226" s="3">
        <v>40</v>
      </c>
      <c r="I226" s="3">
        <v>6</v>
      </c>
      <c r="J226" s="3">
        <f t="shared" si="9"/>
        <v>109</v>
      </c>
      <c r="K226" s="3" t="str">
        <f t="shared" si="10"/>
        <v>F</v>
      </c>
      <c r="L226" s="3" t="str">
        <f t="shared" si="11"/>
        <v>FAIL</v>
      </c>
    </row>
    <row r="227" spans="1:12" ht="14.25" customHeight="1">
      <c r="A227" s="3">
        <v>226</v>
      </c>
      <c r="B227" s="3" t="s">
        <v>4381</v>
      </c>
      <c r="C227" s="3" t="s">
        <v>1460</v>
      </c>
      <c r="D227" s="3">
        <v>9876544680</v>
      </c>
      <c r="E227" s="3" t="s">
        <v>4419</v>
      </c>
      <c r="F227" s="3" t="str" cm="1">
        <f t="array" ref="F227">IF(E227="","",_xlfn.XLOOKUP(E227,{"FIRST","SECOND","THIRD","FOURTH"},{"SEM-1","SEM-2","SEM-3","SEM-4"},""))</f>
        <v>SEM-2</v>
      </c>
      <c r="G227" s="3">
        <v>67</v>
      </c>
      <c r="H227" s="3">
        <v>22</v>
      </c>
      <c r="I227" s="3">
        <v>28</v>
      </c>
      <c r="J227" s="3">
        <f t="shared" si="9"/>
        <v>117</v>
      </c>
      <c r="K227" s="3" t="str">
        <f t="shared" si="10"/>
        <v>F</v>
      </c>
      <c r="L227" s="3" t="str">
        <f t="shared" si="11"/>
        <v>FAIL</v>
      </c>
    </row>
    <row r="228" spans="1:12" ht="14.25" customHeight="1">
      <c r="A228" s="3">
        <v>227</v>
      </c>
      <c r="B228" s="3" t="s">
        <v>4116</v>
      </c>
      <c r="C228" s="3" t="s">
        <v>1201</v>
      </c>
      <c r="D228" s="3">
        <v>9876544415</v>
      </c>
      <c r="E228" s="3" t="s">
        <v>4419</v>
      </c>
      <c r="F228" s="3" t="str" cm="1">
        <f t="array" ref="F228">IF(E228="","",_xlfn.XLOOKUP(E228,{"FIRST","SECOND","THIRD","FOURTH"},{"SEM-1","SEM-2","SEM-3","SEM-4"},""))</f>
        <v>SEM-2</v>
      </c>
      <c r="G228" s="3">
        <v>95</v>
      </c>
      <c r="H228" s="3">
        <v>90</v>
      </c>
      <c r="I228" s="3">
        <v>79</v>
      </c>
      <c r="J228" s="3">
        <f t="shared" si="9"/>
        <v>264</v>
      </c>
      <c r="K228" s="3" t="str">
        <f t="shared" si="10"/>
        <v>P</v>
      </c>
      <c r="L228" s="3" t="str">
        <f t="shared" si="11"/>
        <v>A</v>
      </c>
    </row>
    <row r="229" spans="1:12" ht="14.25" customHeight="1">
      <c r="A229" s="3">
        <v>228</v>
      </c>
      <c r="B229" s="3" t="s">
        <v>3458</v>
      </c>
      <c r="C229" s="3" t="s">
        <v>554</v>
      </c>
      <c r="D229" s="3">
        <v>9876543757</v>
      </c>
      <c r="E229" s="3" t="s">
        <v>4419</v>
      </c>
      <c r="F229" s="3" t="str" cm="1">
        <f t="array" ref="F229">IF(E229="","",_xlfn.XLOOKUP(E229,{"FIRST","SECOND","THIRD","FOURTH"},{"SEM-1","SEM-2","SEM-3","SEM-4"},""))</f>
        <v>SEM-2</v>
      </c>
      <c r="G229" s="3">
        <v>2</v>
      </c>
      <c r="H229" s="3">
        <v>10</v>
      </c>
      <c r="I229" s="3">
        <v>11</v>
      </c>
      <c r="J229" s="3">
        <f t="shared" si="9"/>
        <v>23</v>
      </c>
      <c r="K229" s="3" t="str">
        <f t="shared" si="10"/>
        <v>F</v>
      </c>
      <c r="L229" s="3" t="str">
        <f t="shared" si="11"/>
        <v>FAIL</v>
      </c>
    </row>
    <row r="230" spans="1:12" ht="14.25" customHeight="1">
      <c r="A230" s="3">
        <v>229</v>
      </c>
      <c r="B230" s="3" t="s">
        <v>3548</v>
      </c>
      <c r="C230" s="3" t="s">
        <v>642</v>
      </c>
      <c r="D230" s="3">
        <v>9876543847</v>
      </c>
      <c r="E230" s="3" t="s">
        <v>4420</v>
      </c>
      <c r="F230" s="3" t="str" cm="1">
        <f t="array" ref="F230">IF(E230="","",_xlfn.XLOOKUP(E230,{"FIRST","SECOND","THIRD","FOURTH"},{"SEM-1","SEM-2","SEM-3","SEM-4"},""))</f>
        <v>SEM-3</v>
      </c>
      <c r="G230" s="3">
        <v>44</v>
      </c>
      <c r="H230" s="3">
        <v>32</v>
      </c>
      <c r="I230" s="3">
        <v>47</v>
      </c>
      <c r="J230" s="3">
        <f t="shared" si="9"/>
        <v>123</v>
      </c>
      <c r="K230" s="3" t="str">
        <f t="shared" si="10"/>
        <v>P</v>
      </c>
      <c r="L230" s="3" t="str">
        <f t="shared" si="11"/>
        <v>C</v>
      </c>
    </row>
    <row r="231" spans="1:12" ht="14.25" customHeight="1">
      <c r="A231" s="3">
        <v>230</v>
      </c>
      <c r="B231" s="3" t="s">
        <v>3307</v>
      </c>
      <c r="C231" s="3" t="s">
        <v>403</v>
      </c>
      <c r="D231" s="3">
        <v>9876543606</v>
      </c>
      <c r="E231" s="3" t="s">
        <v>4418</v>
      </c>
      <c r="F231" s="3" t="str" cm="1">
        <f t="array" ref="F231">IF(E231="","",_xlfn.XLOOKUP(E231,{"FIRST","SECOND","THIRD","FOURTH"},{"SEM-1","SEM-2","SEM-3","SEM-4"},""))</f>
        <v>SEM-1</v>
      </c>
      <c r="G231" s="3">
        <v>13</v>
      </c>
      <c r="H231" s="3">
        <v>92</v>
      </c>
      <c r="I231" s="3">
        <v>70</v>
      </c>
      <c r="J231" s="3">
        <f t="shared" si="9"/>
        <v>175</v>
      </c>
      <c r="K231" s="3" t="str">
        <f t="shared" si="10"/>
        <v>P</v>
      </c>
      <c r="L231" s="3" t="str">
        <f t="shared" si="11"/>
        <v>B</v>
      </c>
    </row>
    <row r="232" spans="1:12" ht="14.25" customHeight="1">
      <c r="A232" s="3">
        <v>231</v>
      </c>
      <c r="B232" s="3" t="s">
        <v>3420</v>
      </c>
      <c r="C232" s="3" t="s">
        <v>516</v>
      </c>
      <c r="D232" s="3">
        <v>9876543719</v>
      </c>
      <c r="E232" s="3" t="s">
        <v>4420</v>
      </c>
      <c r="F232" s="3" t="str" cm="1">
        <f t="array" ref="F232">IF(E232="","",_xlfn.XLOOKUP(E232,{"FIRST","SECOND","THIRD","FOURTH"},{"SEM-1","SEM-2","SEM-3","SEM-4"},""))</f>
        <v>SEM-3</v>
      </c>
      <c r="G232" s="3">
        <v>32</v>
      </c>
      <c r="H232" s="3">
        <v>89</v>
      </c>
      <c r="I232" s="3">
        <v>51</v>
      </c>
      <c r="J232" s="3">
        <f t="shared" si="9"/>
        <v>172</v>
      </c>
      <c r="K232" s="3" t="str">
        <f t="shared" si="10"/>
        <v>P</v>
      </c>
      <c r="L232" s="3" t="str">
        <f t="shared" si="11"/>
        <v>B</v>
      </c>
    </row>
    <row r="233" spans="1:12" ht="14.25" customHeight="1">
      <c r="A233" s="3">
        <v>232</v>
      </c>
      <c r="B233" s="3" t="s">
        <v>3167</v>
      </c>
      <c r="C233" s="3" t="s">
        <v>265</v>
      </c>
      <c r="D233" s="3">
        <v>9876543466</v>
      </c>
      <c r="E233" s="3" t="s">
        <v>4419</v>
      </c>
      <c r="F233" s="3" t="str" cm="1">
        <f t="array" ref="F233">IF(E233="","",_xlfn.XLOOKUP(E233,{"FIRST","SECOND","THIRD","FOURTH"},{"SEM-1","SEM-2","SEM-3","SEM-4"},""))</f>
        <v>SEM-2</v>
      </c>
      <c r="G233" s="3">
        <v>45</v>
      </c>
      <c r="H233" s="3">
        <v>51</v>
      </c>
      <c r="I233" s="3">
        <v>9</v>
      </c>
      <c r="J233" s="3">
        <f t="shared" si="9"/>
        <v>105</v>
      </c>
      <c r="K233" s="3" t="str">
        <f t="shared" si="10"/>
        <v>F</v>
      </c>
      <c r="L233" s="3" t="str">
        <f t="shared" si="11"/>
        <v>FAIL</v>
      </c>
    </row>
    <row r="234" spans="1:12" ht="14.25" customHeight="1">
      <c r="A234" s="3">
        <v>233</v>
      </c>
      <c r="B234" s="3" t="s">
        <v>4368</v>
      </c>
      <c r="C234" s="3" t="s">
        <v>1447</v>
      </c>
      <c r="D234" s="3">
        <v>9876544667</v>
      </c>
      <c r="E234" s="3" t="s">
        <v>4419</v>
      </c>
      <c r="F234" s="3" t="str" cm="1">
        <f t="array" ref="F234">IF(E234="","",_xlfn.XLOOKUP(E234,{"FIRST","SECOND","THIRD","FOURTH"},{"SEM-1","SEM-2","SEM-3","SEM-4"},""))</f>
        <v>SEM-2</v>
      </c>
      <c r="G234" s="3">
        <v>70</v>
      </c>
      <c r="H234" s="3">
        <v>87</v>
      </c>
      <c r="I234" s="3">
        <v>79</v>
      </c>
      <c r="J234" s="3">
        <f t="shared" si="9"/>
        <v>236</v>
      </c>
      <c r="K234" s="3" t="str">
        <f t="shared" si="10"/>
        <v>P</v>
      </c>
      <c r="L234" s="3" t="str">
        <f t="shared" si="11"/>
        <v>A</v>
      </c>
    </row>
    <row r="235" spans="1:12" ht="14.25" customHeight="1">
      <c r="A235" s="3">
        <v>234</v>
      </c>
      <c r="B235" s="3" t="s">
        <v>3164</v>
      </c>
      <c r="C235" s="3" t="s">
        <v>262</v>
      </c>
      <c r="D235" s="3">
        <v>9876543463</v>
      </c>
      <c r="E235" s="3" t="s">
        <v>4420</v>
      </c>
      <c r="F235" s="3" t="str" cm="1">
        <f t="array" ref="F235">IF(E235="","",_xlfn.XLOOKUP(E235,{"FIRST","SECOND","THIRD","FOURTH"},{"SEM-1","SEM-2","SEM-3","SEM-4"},""))</f>
        <v>SEM-3</v>
      </c>
      <c r="G235" s="3">
        <v>56</v>
      </c>
      <c r="H235" s="3">
        <v>78</v>
      </c>
      <c r="I235" s="3">
        <v>99</v>
      </c>
      <c r="J235" s="3">
        <f t="shared" si="9"/>
        <v>233</v>
      </c>
      <c r="K235" s="3" t="str">
        <f t="shared" si="10"/>
        <v>P</v>
      </c>
      <c r="L235" s="3" t="str">
        <f t="shared" si="11"/>
        <v>A</v>
      </c>
    </row>
    <row r="236" spans="1:12" ht="14.25" customHeight="1">
      <c r="A236" s="3">
        <v>235</v>
      </c>
      <c r="B236" s="3" t="s">
        <v>2917</v>
      </c>
      <c r="C236" s="3" t="s">
        <v>15</v>
      </c>
      <c r="D236" s="3">
        <v>9876543216</v>
      </c>
      <c r="E236" s="3" t="s">
        <v>4418</v>
      </c>
      <c r="F236" s="3" t="str" cm="1">
        <f t="array" ref="F236">IF(E236="","",_xlfn.XLOOKUP(E236,{"FIRST","SECOND","THIRD","FOURTH"},{"SEM-1","SEM-2","SEM-3","SEM-4"},""))</f>
        <v>SEM-1</v>
      </c>
      <c r="G236" s="3">
        <v>59</v>
      </c>
      <c r="H236" s="3">
        <v>11</v>
      </c>
      <c r="I236" s="3">
        <v>40</v>
      </c>
      <c r="J236" s="3">
        <f t="shared" si="9"/>
        <v>110</v>
      </c>
      <c r="K236" s="3" t="str">
        <f t="shared" si="10"/>
        <v>F</v>
      </c>
      <c r="L236" s="3" t="str">
        <f t="shared" si="11"/>
        <v>FAIL</v>
      </c>
    </row>
    <row r="237" spans="1:12" ht="14.25" customHeight="1">
      <c r="A237" s="3">
        <v>236</v>
      </c>
      <c r="B237" s="3" t="s">
        <v>3892</v>
      </c>
      <c r="C237" s="3" t="s">
        <v>983</v>
      </c>
      <c r="D237" s="3">
        <v>9876544191</v>
      </c>
      <c r="E237" s="3" t="s">
        <v>4420</v>
      </c>
      <c r="F237" s="3" t="str" cm="1">
        <f t="array" ref="F237">IF(E237="","",_xlfn.XLOOKUP(E237,{"FIRST","SECOND","THIRD","FOURTH"},{"SEM-1","SEM-2","SEM-3","SEM-4"},""))</f>
        <v>SEM-3</v>
      </c>
      <c r="G237" s="3">
        <v>9</v>
      </c>
      <c r="H237" s="3">
        <v>7</v>
      </c>
      <c r="I237" s="3">
        <v>87</v>
      </c>
      <c r="J237" s="3">
        <f t="shared" si="9"/>
        <v>103</v>
      </c>
      <c r="K237" s="3" t="str">
        <f t="shared" si="10"/>
        <v>P</v>
      </c>
      <c r="L237" s="3" t="str">
        <f t="shared" si="11"/>
        <v>FAIL</v>
      </c>
    </row>
    <row r="238" spans="1:12" ht="14.25" customHeight="1">
      <c r="A238" s="3">
        <v>237</v>
      </c>
      <c r="B238" s="3" t="s">
        <v>4145</v>
      </c>
      <c r="C238" s="3" t="s">
        <v>1230</v>
      </c>
      <c r="D238" s="3">
        <v>9876544444</v>
      </c>
      <c r="E238" s="3" t="s">
        <v>4420</v>
      </c>
      <c r="F238" s="3" t="str" cm="1">
        <f t="array" ref="F238">IF(E238="","",_xlfn.XLOOKUP(E238,{"FIRST","SECOND","THIRD","FOURTH"},{"SEM-1","SEM-2","SEM-3","SEM-4"},""))</f>
        <v>SEM-3</v>
      </c>
      <c r="G238" s="3">
        <v>81</v>
      </c>
      <c r="H238" s="3">
        <v>84</v>
      </c>
      <c r="I238" s="3">
        <v>64</v>
      </c>
      <c r="J238" s="3">
        <f t="shared" si="9"/>
        <v>229</v>
      </c>
      <c r="K238" s="3" t="str">
        <f t="shared" si="10"/>
        <v>P</v>
      </c>
      <c r="L238" s="3" t="str">
        <f t="shared" si="11"/>
        <v>A</v>
      </c>
    </row>
    <row r="239" spans="1:12" ht="14.25" customHeight="1">
      <c r="A239" s="3">
        <v>238</v>
      </c>
      <c r="B239" s="3" t="s">
        <v>3417</v>
      </c>
      <c r="C239" s="3" t="s">
        <v>513</v>
      </c>
      <c r="D239" s="3">
        <v>9876543716</v>
      </c>
      <c r="E239" s="3" t="s">
        <v>4418</v>
      </c>
      <c r="F239" s="3" t="str" cm="1">
        <f t="array" ref="F239">IF(E239="","",_xlfn.XLOOKUP(E239,{"FIRST","SECOND","THIRD","FOURTH"},{"SEM-1","SEM-2","SEM-3","SEM-4"},""))</f>
        <v>SEM-1</v>
      </c>
      <c r="G239" s="3">
        <v>32</v>
      </c>
      <c r="H239" s="3">
        <v>79</v>
      </c>
      <c r="I239" s="3">
        <v>97</v>
      </c>
      <c r="J239" s="3">
        <f t="shared" si="9"/>
        <v>208</v>
      </c>
      <c r="K239" s="3" t="str">
        <f t="shared" si="10"/>
        <v>P</v>
      </c>
      <c r="L239" s="3" t="str">
        <f t="shared" si="11"/>
        <v>A</v>
      </c>
    </row>
    <row r="240" spans="1:12" ht="14.25" customHeight="1">
      <c r="A240" s="3">
        <v>239</v>
      </c>
      <c r="B240" s="3" t="s">
        <v>3771</v>
      </c>
      <c r="C240" s="3" t="s">
        <v>513</v>
      </c>
      <c r="D240" s="3">
        <v>9876544070</v>
      </c>
      <c r="E240" s="3" t="s">
        <v>4418</v>
      </c>
      <c r="F240" s="3" t="str" cm="1">
        <f t="array" ref="F240">IF(E240="","",_xlfn.XLOOKUP(E240,{"FIRST","SECOND","THIRD","FOURTH"},{"SEM-1","SEM-2","SEM-3","SEM-4"},""))</f>
        <v>SEM-1</v>
      </c>
      <c r="G240" s="3">
        <v>89</v>
      </c>
      <c r="H240" s="3">
        <v>89</v>
      </c>
      <c r="I240" s="3">
        <v>97</v>
      </c>
      <c r="J240" s="3">
        <f t="shared" si="9"/>
        <v>275</v>
      </c>
      <c r="K240" s="3" t="str">
        <f t="shared" si="10"/>
        <v>P</v>
      </c>
      <c r="L240" s="3" t="str">
        <f t="shared" si="11"/>
        <v>A</v>
      </c>
    </row>
    <row r="241" spans="1:12" ht="14.25" customHeight="1">
      <c r="A241" s="3">
        <v>240</v>
      </c>
      <c r="B241" s="3" t="s">
        <v>4072</v>
      </c>
      <c r="C241" s="3" t="s">
        <v>1158</v>
      </c>
      <c r="D241" s="3">
        <v>9876544371</v>
      </c>
      <c r="E241" s="3" t="s">
        <v>4419</v>
      </c>
      <c r="F241" s="3" t="str" cm="1">
        <f t="array" ref="F241">IF(E241="","",_xlfn.XLOOKUP(E241,{"FIRST","SECOND","THIRD","FOURTH"},{"SEM-1","SEM-2","SEM-3","SEM-4"},""))</f>
        <v>SEM-2</v>
      </c>
      <c r="G241" s="3">
        <v>17</v>
      </c>
      <c r="H241" s="3">
        <v>64</v>
      </c>
      <c r="I241" s="3">
        <v>70</v>
      </c>
      <c r="J241" s="3">
        <f t="shared" si="9"/>
        <v>151</v>
      </c>
      <c r="K241" s="3" t="str">
        <f t="shared" si="10"/>
        <v>P</v>
      </c>
      <c r="L241" s="3" t="str">
        <f t="shared" si="11"/>
        <v>B</v>
      </c>
    </row>
    <row r="242" spans="1:12" ht="14.25" customHeight="1">
      <c r="A242" s="3">
        <v>241</v>
      </c>
      <c r="B242" s="3" t="s">
        <v>2952</v>
      </c>
      <c r="C242" s="3" t="s">
        <v>50</v>
      </c>
      <c r="D242" s="3">
        <v>9876543251</v>
      </c>
      <c r="E242" s="3" t="s">
        <v>4420</v>
      </c>
      <c r="F242" s="3" t="str" cm="1">
        <f t="array" ref="F242">IF(E242="","",_xlfn.XLOOKUP(E242,{"FIRST","SECOND","THIRD","FOURTH"},{"SEM-1","SEM-2","SEM-3","SEM-4"},""))</f>
        <v>SEM-3</v>
      </c>
      <c r="G242" s="3">
        <v>79</v>
      </c>
      <c r="H242" s="3">
        <v>2</v>
      </c>
      <c r="I242" s="3">
        <v>29</v>
      </c>
      <c r="J242" s="3">
        <f t="shared" si="9"/>
        <v>110</v>
      </c>
      <c r="K242" s="3" t="str">
        <f t="shared" si="10"/>
        <v>P</v>
      </c>
      <c r="L242" s="3" t="str">
        <f t="shared" si="11"/>
        <v>FAIL</v>
      </c>
    </row>
    <row r="243" spans="1:12" ht="14.25" customHeight="1">
      <c r="A243" s="3">
        <v>242</v>
      </c>
      <c r="B243" s="3" t="s">
        <v>4270</v>
      </c>
      <c r="C243" s="3" t="s">
        <v>1351</v>
      </c>
      <c r="D243" s="3">
        <v>9876544569</v>
      </c>
      <c r="E243" s="3" t="s">
        <v>4419</v>
      </c>
      <c r="F243" s="3" t="str" cm="1">
        <f t="array" ref="F243">IF(E243="","",_xlfn.XLOOKUP(E243,{"FIRST","SECOND","THIRD","FOURTH"},{"SEM-1","SEM-2","SEM-3","SEM-4"},""))</f>
        <v>SEM-2</v>
      </c>
      <c r="G243" s="3">
        <v>87</v>
      </c>
      <c r="H243" s="3">
        <v>5</v>
      </c>
      <c r="I243" s="3">
        <v>15</v>
      </c>
      <c r="J243" s="3">
        <f t="shared" si="9"/>
        <v>107</v>
      </c>
      <c r="K243" s="3" t="str">
        <f t="shared" si="10"/>
        <v>P</v>
      </c>
      <c r="L243" s="3" t="str">
        <f t="shared" si="11"/>
        <v>FAIL</v>
      </c>
    </row>
    <row r="244" spans="1:12" ht="14.25" customHeight="1">
      <c r="A244" s="3">
        <v>243</v>
      </c>
      <c r="B244" s="3" t="s">
        <v>3312</v>
      </c>
      <c r="C244" s="3" t="s">
        <v>408</v>
      </c>
      <c r="D244" s="3">
        <v>9876543611</v>
      </c>
      <c r="E244" s="3" t="s">
        <v>4420</v>
      </c>
      <c r="F244" s="3" t="str" cm="1">
        <f t="array" ref="F244">IF(E244="","",_xlfn.XLOOKUP(E244,{"FIRST","SECOND","THIRD","FOURTH"},{"SEM-1","SEM-2","SEM-3","SEM-4"},""))</f>
        <v>SEM-3</v>
      </c>
      <c r="G244" s="3">
        <v>16</v>
      </c>
      <c r="H244" s="3">
        <v>77</v>
      </c>
      <c r="I244" s="3">
        <v>23</v>
      </c>
      <c r="J244" s="3">
        <f t="shared" si="9"/>
        <v>116</v>
      </c>
      <c r="K244" s="3" t="str">
        <f t="shared" si="10"/>
        <v>P</v>
      </c>
      <c r="L244" s="3" t="str">
        <f t="shared" si="11"/>
        <v>FAIL</v>
      </c>
    </row>
    <row r="245" spans="1:12" ht="14.25" customHeight="1">
      <c r="A245" s="3">
        <v>244</v>
      </c>
      <c r="B245" s="3" t="s">
        <v>4407</v>
      </c>
      <c r="C245" s="3" t="s">
        <v>1486</v>
      </c>
      <c r="D245" s="3">
        <v>9876544706</v>
      </c>
      <c r="E245" s="3" t="s">
        <v>4419</v>
      </c>
      <c r="F245" s="3" t="str" cm="1">
        <f t="array" ref="F245">IF(E245="","",_xlfn.XLOOKUP(E245,{"FIRST","SECOND","THIRD","FOURTH"},{"SEM-1","SEM-2","SEM-3","SEM-4"},""))</f>
        <v>SEM-2</v>
      </c>
      <c r="G245" s="3">
        <v>57</v>
      </c>
      <c r="H245" s="3">
        <v>31</v>
      </c>
      <c r="I245" s="3">
        <v>15</v>
      </c>
      <c r="J245" s="3">
        <f t="shared" si="9"/>
        <v>103</v>
      </c>
      <c r="K245" s="3" t="str">
        <f t="shared" si="10"/>
        <v>F</v>
      </c>
      <c r="L245" s="3" t="str">
        <f t="shared" si="11"/>
        <v>FAIL</v>
      </c>
    </row>
    <row r="246" spans="1:12" ht="14.25" customHeight="1">
      <c r="A246" s="3">
        <v>245</v>
      </c>
      <c r="B246" s="3" t="s">
        <v>4118</v>
      </c>
      <c r="C246" s="3" t="s">
        <v>1203</v>
      </c>
      <c r="D246" s="3">
        <v>9876544417</v>
      </c>
      <c r="E246" s="3" t="s">
        <v>4420</v>
      </c>
      <c r="F246" s="3" t="str" cm="1">
        <f t="array" ref="F246">IF(E246="","",_xlfn.XLOOKUP(E246,{"FIRST","SECOND","THIRD","FOURTH"},{"SEM-1","SEM-2","SEM-3","SEM-4"},""))</f>
        <v>SEM-3</v>
      </c>
      <c r="G246" s="3">
        <v>67</v>
      </c>
      <c r="H246" s="3">
        <v>92</v>
      </c>
      <c r="I246" s="3">
        <v>26</v>
      </c>
      <c r="J246" s="3">
        <f t="shared" si="9"/>
        <v>185</v>
      </c>
      <c r="K246" s="3" t="str">
        <f t="shared" si="10"/>
        <v>P</v>
      </c>
      <c r="L246" s="3" t="str">
        <f t="shared" si="11"/>
        <v>B</v>
      </c>
    </row>
    <row r="247" spans="1:12" ht="14.25" customHeight="1">
      <c r="A247" s="3">
        <v>246</v>
      </c>
      <c r="B247" s="3" t="s">
        <v>3207</v>
      </c>
      <c r="C247" s="3" t="s">
        <v>305</v>
      </c>
      <c r="D247" s="3">
        <v>9876543506</v>
      </c>
      <c r="E247" s="3" t="s">
        <v>4420</v>
      </c>
      <c r="F247" s="3" t="str" cm="1">
        <f t="array" ref="F247">IF(E247="","",_xlfn.XLOOKUP(E247,{"FIRST","SECOND","THIRD","FOURTH"},{"SEM-1","SEM-2","SEM-3","SEM-4"},""))</f>
        <v>SEM-3</v>
      </c>
      <c r="G247" s="3">
        <v>15</v>
      </c>
      <c r="H247" s="3">
        <v>19</v>
      </c>
      <c r="I247" s="3">
        <v>94</v>
      </c>
      <c r="J247" s="3">
        <f t="shared" si="9"/>
        <v>128</v>
      </c>
      <c r="K247" s="3" t="str">
        <f t="shared" si="10"/>
        <v>P</v>
      </c>
      <c r="L247" s="3" t="str">
        <f t="shared" si="11"/>
        <v>C</v>
      </c>
    </row>
    <row r="248" spans="1:12" ht="14.25" customHeight="1">
      <c r="A248" s="3">
        <v>247</v>
      </c>
      <c r="B248" s="3" t="s">
        <v>4320</v>
      </c>
      <c r="C248" s="3" t="s">
        <v>1400</v>
      </c>
      <c r="D248" s="3">
        <v>9876544619</v>
      </c>
      <c r="E248" s="3" t="s">
        <v>4418</v>
      </c>
      <c r="F248" s="3" t="str" cm="1">
        <f t="array" ref="F248">IF(E248="","",_xlfn.XLOOKUP(E248,{"FIRST","SECOND","THIRD","FOURTH"},{"SEM-1","SEM-2","SEM-3","SEM-4"},""))</f>
        <v>SEM-1</v>
      </c>
      <c r="G248" s="3">
        <v>88</v>
      </c>
      <c r="H248" s="3">
        <v>9</v>
      </c>
      <c r="I248" s="3">
        <v>14</v>
      </c>
      <c r="J248" s="3">
        <f t="shared" si="9"/>
        <v>111</v>
      </c>
      <c r="K248" s="3" t="str">
        <f t="shared" si="10"/>
        <v>P</v>
      </c>
      <c r="L248" s="3" t="str">
        <f t="shared" si="11"/>
        <v>FAIL</v>
      </c>
    </row>
    <row r="249" spans="1:12" ht="14.25" customHeight="1">
      <c r="A249" s="3">
        <v>248</v>
      </c>
      <c r="B249" s="3" t="s">
        <v>4334</v>
      </c>
      <c r="C249" s="3" t="s">
        <v>1413</v>
      </c>
      <c r="D249" s="3">
        <v>9876544633</v>
      </c>
      <c r="E249" s="3" t="s">
        <v>4419</v>
      </c>
      <c r="F249" s="3" t="str" cm="1">
        <f t="array" ref="F249">IF(E249="","",_xlfn.XLOOKUP(E249,{"FIRST","SECOND","THIRD","FOURTH"},{"SEM-1","SEM-2","SEM-3","SEM-4"},""))</f>
        <v>SEM-2</v>
      </c>
      <c r="G249" s="3">
        <v>98</v>
      </c>
      <c r="H249" s="3">
        <v>47</v>
      </c>
      <c r="I249" s="3">
        <v>21</v>
      </c>
      <c r="J249" s="3">
        <f t="shared" si="9"/>
        <v>166</v>
      </c>
      <c r="K249" s="3" t="str">
        <f t="shared" si="10"/>
        <v>P</v>
      </c>
      <c r="L249" s="3" t="str">
        <f t="shared" si="11"/>
        <v>B</v>
      </c>
    </row>
    <row r="250" spans="1:12" ht="14.25" customHeight="1">
      <c r="A250" s="3">
        <v>249</v>
      </c>
      <c r="B250" s="3" t="s">
        <v>3405</v>
      </c>
      <c r="C250" s="3" t="s">
        <v>501</v>
      </c>
      <c r="D250" s="3">
        <v>9876543704</v>
      </c>
      <c r="E250" s="3" t="s">
        <v>4420</v>
      </c>
      <c r="F250" s="3" t="str" cm="1">
        <f t="array" ref="F250">IF(E250="","",_xlfn.XLOOKUP(E250,{"FIRST","SECOND","THIRD","FOURTH"},{"SEM-1","SEM-2","SEM-3","SEM-4"},""))</f>
        <v>SEM-3</v>
      </c>
      <c r="G250" s="3">
        <v>55</v>
      </c>
      <c r="H250" s="3">
        <v>8</v>
      </c>
      <c r="I250" s="3">
        <v>64</v>
      </c>
      <c r="J250" s="3">
        <f t="shared" si="9"/>
        <v>127</v>
      </c>
      <c r="K250" s="3" t="str">
        <f t="shared" si="10"/>
        <v>P</v>
      </c>
      <c r="L250" s="3" t="str">
        <f t="shared" si="11"/>
        <v>C</v>
      </c>
    </row>
    <row r="251" spans="1:12" ht="14.25" customHeight="1">
      <c r="A251" s="3">
        <v>250</v>
      </c>
      <c r="B251" s="3" t="s">
        <v>2957</v>
      </c>
      <c r="C251" s="3" t="s">
        <v>55</v>
      </c>
      <c r="D251" s="3">
        <v>9876543256</v>
      </c>
      <c r="E251" s="3" t="s">
        <v>4418</v>
      </c>
      <c r="F251" s="3" t="str" cm="1">
        <f t="array" ref="F251">IF(E251="","",_xlfn.XLOOKUP(E251,{"FIRST","SECOND","THIRD","FOURTH"},{"SEM-1","SEM-2","SEM-3","SEM-4"},""))</f>
        <v>SEM-1</v>
      </c>
      <c r="G251" s="3">
        <v>11</v>
      </c>
      <c r="H251" s="3">
        <v>9</v>
      </c>
      <c r="I251" s="3">
        <v>88</v>
      </c>
      <c r="J251" s="3">
        <f t="shared" si="9"/>
        <v>108</v>
      </c>
      <c r="K251" s="3" t="str">
        <f t="shared" si="10"/>
        <v>P</v>
      </c>
      <c r="L251" s="3" t="str">
        <f t="shared" si="11"/>
        <v>FAIL</v>
      </c>
    </row>
    <row r="252" spans="1:12" ht="14.25" customHeight="1">
      <c r="A252" s="3">
        <v>251</v>
      </c>
      <c r="B252" s="3" t="s">
        <v>3885</v>
      </c>
      <c r="C252" s="3" t="s">
        <v>976</v>
      </c>
      <c r="D252" s="3">
        <v>9876544184</v>
      </c>
      <c r="E252" s="3" t="s">
        <v>4419</v>
      </c>
      <c r="F252" s="3" t="str" cm="1">
        <f t="array" ref="F252">IF(E252="","",_xlfn.XLOOKUP(E252,{"FIRST","SECOND","THIRD","FOURTH"},{"SEM-1","SEM-2","SEM-3","SEM-4"},""))</f>
        <v>SEM-2</v>
      </c>
      <c r="G252" s="3">
        <v>82</v>
      </c>
      <c r="H252" s="3">
        <v>23</v>
      </c>
      <c r="I252" s="3">
        <v>66</v>
      </c>
      <c r="J252" s="3">
        <f t="shared" si="9"/>
        <v>171</v>
      </c>
      <c r="K252" s="3" t="str">
        <f t="shared" si="10"/>
        <v>P</v>
      </c>
      <c r="L252" s="3" t="str">
        <f t="shared" si="11"/>
        <v>B</v>
      </c>
    </row>
    <row r="253" spans="1:12" ht="14.25" customHeight="1">
      <c r="A253" s="3">
        <v>252</v>
      </c>
      <c r="B253" s="3" t="s">
        <v>4179</v>
      </c>
      <c r="C253" s="3" t="s">
        <v>1264</v>
      </c>
      <c r="D253" s="3">
        <v>9876544478</v>
      </c>
      <c r="E253" s="3" t="s">
        <v>4420</v>
      </c>
      <c r="F253" s="3" t="str" cm="1">
        <f t="array" ref="F253">IF(E253="","",_xlfn.XLOOKUP(E253,{"FIRST","SECOND","THIRD","FOURTH"},{"SEM-1","SEM-2","SEM-3","SEM-4"},""))</f>
        <v>SEM-3</v>
      </c>
      <c r="G253" s="3">
        <v>90</v>
      </c>
      <c r="H253" s="3">
        <v>95</v>
      </c>
      <c r="I253" s="3">
        <v>58</v>
      </c>
      <c r="J253" s="3">
        <f t="shared" si="9"/>
        <v>243</v>
      </c>
      <c r="K253" s="3" t="str">
        <f t="shared" si="10"/>
        <v>P</v>
      </c>
      <c r="L253" s="3" t="str">
        <f t="shared" si="11"/>
        <v>A</v>
      </c>
    </row>
    <row r="254" spans="1:12" ht="14.25" customHeight="1">
      <c r="A254" s="3">
        <v>253</v>
      </c>
      <c r="B254" s="3" t="s">
        <v>3199</v>
      </c>
      <c r="C254" s="3" t="s">
        <v>297</v>
      </c>
      <c r="D254" s="3">
        <v>9876543498</v>
      </c>
      <c r="E254" s="3" t="s">
        <v>4418</v>
      </c>
      <c r="F254" s="3" t="str" cm="1">
        <f t="array" ref="F254">IF(E254="","",_xlfn.XLOOKUP(E254,{"FIRST","SECOND","THIRD","FOURTH"},{"SEM-1","SEM-2","SEM-3","SEM-4"},""))</f>
        <v>SEM-1</v>
      </c>
      <c r="G254" s="3">
        <v>70</v>
      </c>
      <c r="H254" s="3">
        <v>52</v>
      </c>
      <c r="I254" s="3">
        <v>14</v>
      </c>
      <c r="J254" s="3">
        <f t="shared" si="9"/>
        <v>136</v>
      </c>
      <c r="K254" s="3" t="str">
        <f t="shared" si="10"/>
        <v>P</v>
      </c>
      <c r="L254" s="3" t="str">
        <f t="shared" si="11"/>
        <v>C</v>
      </c>
    </row>
    <row r="255" spans="1:12" ht="14.25" customHeight="1">
      <c r="A255" s="3">
        <v>254</v>
      </c>
      <c r="B255" s="3" t="s">
        <v>4346</v>
      </c>
      <c r="C255" s="3" t="s">
        <v>1425</v>
      </c>
      <c r="D255" s="3">
        <v>9876544645</v>
      </c>
      <c r="E255" s="3" t="s">
        <v>4418</v>
      </c>
      <c r="F255" s="3" t="str" cm="1">
        <f t="array" ref="F255">IF(E255="","",_xlfn.XLOOKUP(E255,{"FIRST","SECOND","THIRD","FOURTH"},{"SEM-1","SEM-2","SEM-3","SEM-4"},""))</f>
        <v>SEM-1</v>
      </c>
      <c r="G255" s="3">
        <v>53</v>
      </c>
      <c r="H255" s="3">
        <v>57</v>
      </c>
      <c r="I255" s="3">
        <v>15</v>
      </c>
      <c r="J255" s="3">
        <f t="shared" si="9"/>
        <v>125</v>
      </c>
      <c r="K255" s="3" t="str">
        <f t="shared" si="10"/>
        <v>P</v>
      </c>
      <c r="L255" s="3" t="str">
        <f t="shared" si="11"/>
        <v>C</v>
      </c>
    </row>
    <row r="256" spans="1:12" ht="14.25" customHeight="1">
      <c r="A256" s="3">
        <v>255</v>
      </c>
      <c r="B256" s="3" t="s">
        <v>3148</v>
      </c>
      <c r="C256" s="3" t="s">
        <v>246</v>
      </c>
      <c r="D256" s="3">
        <v>9876543447</v>
      </c>
      <c r="E256" s="3" t="s">
        <v>4418</v>
      </c>
      <c r="F256" s="3" t="str" cm="1">
        <f t="array" ref="F256">IF(E256="","",_xlfn.XLOOKUP(E256,{"FIRST","SECOND","THIRD","FOURTH"},{"SEM-1","SEM-2","SEM-3","SEM-4"},""))</f>
        <v>SEM-1</v>
      </c>
      <c r="G256" s="3">
        <v>33</v>
      </c>
      <c r="H256" s="3">
        <v>99</v>
      </c>
      <c r="I256" s="3">
        <v>59</v>
      </c>
      <c r="J256" s="3">
        <f t="shared" si="9"/>
        <v>191</v>
      </c>
      <c r="K256" s="3" t="str">
        <f t="shared" si="10"/>
        <v>P</v>
      </c>
      <c r="L256" s="3" t="str">
        <f t="shared" si="11"/>
        <v>A</v>
      </c>
    </row>
    <row r="257" spans="1:12" ht="14.25" customHeight="1">
      <c r="A257" s="3">
        <v>256</v>
      </c>
      <c r="B257" s="3" t="s">
        <v>3999</v>
      </c>
      <c r="C257" s="3" t="s">
        <v>1088</v>
      </c>
      <c r="D257" s="3">
        <v>9876544298</v>
      </c>
      <c r="E257" s="3" t="s">
        <v>4420</v>
      </c>
      <c r="F257" s="3" t="str" cm="1">
        <f t="array" ref="F257">IF(E257="","",_xlfn.XLOOKUP(E257,{"FIRST","SECOND","THIRD","FOURTH"},{"SEM-1","SEM-2","SEM-3","SEM-4"},""))</f>
        <v>SEM-3</v>
      </c>
      <c r="G257" s="3">
        <v>54</v>
      </c>
      <c r="H257" s="3">
        <v>4</v>
      </c>
      <c r="I257" s="3">
        <v>36</v>
      </c>
      <c r="J257" s="3">
        <f t="shared" si="9"/>
        <v>94</v>
      </c>
      <c r="K257" s="3" t="str">
        <f t="shared" si="10"/>
        <v>F</v>
      </c>
      <c r="L257" s="3" t="str">
        <f t="shared" si="11"/>
        <v>FAIL</v>
      </c>
    </row>
    <row r="258" spans="1:12" ht="14.25" customHeight="1">
      <c r="A258" s="3">
        <v>257</v>
      </c>
      <c r="B258" s="3" t="s">
        <v>4233</v>
      </c>
      <c r="C258" s="3" t="s">
        <v>1316</v>
      </c>
      <c r="D258" s="3">
        <v>9876544532</v>
      </c>
      <c r="E258" s="3" t="s">
        <v>4420</v>
      </c>
      <c r="F258" s="3" t="str" cm="1">
        <f t="array" ref="F258">IF(E258="","",_xlfn.XLOOKUP(E258,{"FIRST","SECOND","THIRD","FOURTH"},{"SEM-1","SEM-2","SEM-3","SEM-4"},""))</f>
        <v>SEM-3</v>
      </c>
      <c r="G258" s="3">
        <v>25</v>
      </c>
      <c r="H258" s="3">
        <v>38</v>
      </c>
      <c r="I258" s="3">
        <v>56</v>
      </c>
      <c r="J258" s="3">
        <f t="shared" ref="J258:J321" si="12">SUM(G258:I258)</f>
        <v>119</v>
      </c>
      <c r="K258" s="3" t="str">
        <f t="shared" ref="K258:K321" si="13">IF(OR(G258&gt;=70,H258&gt;=70,I258&gt;=70,J258&gt;=120),"P","F")</f>
        <v>F</v>
      </c>
      <c r="L258" s="3" t="str">
        <f t="shared" ref="L258:L321" si="14">IF(J258&gt;=190,"A",IF(J258&gt;=150,"B",IF(J258&gt;=120,"C","FAIL")))</f>
        <v>FAIL</v>
      </c>
    </row>
    <row r="259" spans="1:12" ht="14.25" customHeight="1">
      <c r="A259" s="3">
        <v>258</v>
      </c>
      <c r="B259" s="3" t="s">
        <v>3408</v>
      </c>
      <c r="C259" s="3" t="s">
        <v>504</v>
      </c>
      <c r="D259" s="3">
        <v>9876543707</v>
      </c>
      <c r="E259" s="3" t="s">
        <v>4419</v>
      </c>
      <c r="F259" s="3" t="str" cm="1">
        <f t="array" ref="F259">IF(E259="","",_xlfn.XLOOKUP(E259,{"FIRST","SECOND","THIRD","FOURTH"},{"SEM-1","SEM-2","SEM-3","SEM-4"},""))</f>
        <v>SEM-2</v>
      </c>
      <c r="G259" s="3">
        <v>26</v>
      </c>
      <c r="H259" s="3">
        <v>97</v>
      </c>
      <c r="I259" s="3">
        <v>33</v>
      </c>
      <c r="J259" s="3">
        <f t="shared" si="12"/>
        <v>156</v>
      </c>
      <c r="K259" s="3" t="str">
        <f t="shared" si="13"/>
        <v>P</v>
      </c>
      <c r="L259" s="3" t="str">
        <f t="shared" si="14"/>
        <v>B</v>
      </c>
    </row>
    <row r="260" spans="1:12" ht="14.25" customHeight="1">
      <c r="A260" s="3">
        <v>259</v>
      </c>
      <c r="B260" s="3" t="s">
        <v>3316</v>
      </c>
      <c r="C260" s="3" t="s">
        <v>412</v>
      </c>
      <c r="D260" s="3">
        <v>9876543615</v>
      </c>
      <c r="E260" s="3" t="s">
        <v>4419</v>
      </c>
      <c r="F260" s="3" t="str" cm="1">
        <f t="array" ref="F260">IF(E260="","",_xlfn.XLOOKUP(E260,{"FIRST","SECOND","THIRD","FOURTH"},{"SEM-1","SEM-2","SEM-3","SEM-4"},""))</f>
        <v>SEM-2</v>
      </c>
      <c r="G260" s="3">
        <v>3</v>
      </c>
      <c r="H260" s="3">
        <v>53</v>
      </c>
      <c r="I260" s="3">
        <v>96</v>
      </c>
      <c r="J260" s="3">
        <f t="shared" si="12"/>
        <v>152</v>
      </c>
      <c r="K260" s="3" t="str">
        <f t="shared" si="13"/>
        <v>P</v>
      </c>
      <c r="L260" s="3" t="str">
        <f t="shared" si="14"/>
        <v>B</v>
      </c>
    </row>
    <row r="261" spans="1:12" ht="14.25" customHeight="1">
      <c r="A261" s="3">
        <v>260</v>
      </c>
      <c r="B261" s="3" t="s">
        <v>2971</v>
      </c>
      <c r="C261" s="3" t="s">
        <v>69</v>
      </c>
      <c r="D261" s="3">
        <v>9876543270</v>
      </c>
      <c r="E261" s="3" t="s">
        <v>4419</v>
      </c>
      <c r="F261" s="3" t="str" cm="1">
        <f t="array" ref="F261">IF(E261="","",_xlfn.XLOOKUP(E261,{"FIRST","SECOND","THIRD","FOURTH"},{"SEM-1","SEM-2","SEM-3","SEM-4"},""))</f>
        <v>SEM-2</v>
      </c>
      <c r="G261" s="3">
        <v>14</v>
      </c>
      <c r="H261" s="3">
        <v>22</v>
      </c>
      <c r="I261" s="3">
        <v>71</v>
      </c>
      <c r="J261" s="3">
        <f t="shared" si="12"/>
        <v>107</v>
      </c>
      <c r="K261" s="3" t="str">
        <f t="shared" si="13"/>
        <v>P</v>
      </c>
      <c r="L261" s="3" t="str">
        <f t="shared" si="14"/>
        <v>FAIL</v>
      </c>
    </row>
    <row r="262" spans="1:12" ht="14.25" customHeight="1">
      <c r="A262" s="3">
        <v>261</v>
      </c>
      <c r="B262" s="3" t="s">
        <v>3814</v>
      </c>
      <c r="C262" s="3" t="s">
        <v>906</v>
      </c>
      <c r="D262" s="3">
        <v>9876544113</v>
      </c>
      <c r="E262" s="3" t="s">
        <v>4420</v>
      </c>
      <c r="F262" s="3" t="str" cm="1">
        <f t="array" ref="F262">IF(E262="","",_xlfn.XLOOKUP(E262,{"FIRST","SECOND","THIRD","FOURTH"},{"SEM-1","SEM-2","SEM-3","SEM-4"},""))</f>
        <v>SEM-3</v>
      </c>
      <c r="G262" s="3">
        <v>59</v>
      </c>
      <c r="H262" s="3">
        <v>22</v>
      </c>
      <c r="I262" s="3">
        <v>46</v>
      </c>
      <c r="J262" s="3">
        <f t="shared" si="12"/>
        <v>127</v>
      </c>
      <c r="K262" s="3" t="str">
        <f t="shared" si="13"/>
        <v>P</v>
      </c>
      <c r="L262" s="3" t="str">
        <f t="shared" si="14"/>
        <v>C</v>
      </c>
    </row>
    <row r="263" spans="1:12" ht="14.25" customHeight="1">
      <c r="A263" s="3">
        <v>262</v>
      </c>
      <c r="B263" s="3" t="s">
        <v>4372</v>
      </c>
      <c r="C263" s="3" t="s">
        <v>1451</v>
      </c>
      <c r="D263" s="3">
        <v>9876544671</v>
      </c>
      <c r="E263" s="3" t="s">
        <v>4419</v>
      </c>
      <c r="F263" s="3" t="str" cm="1">
        <f t="array" ref="F263">IF(E263="","",_xlfn.XLOOKUP(E263,{"FIRST","SECOND","THIRD","FOURTH"},{"SEM-1","SEM-2","SEM-3","SEM-4"},""))</f>
        <v>SEM-2</v>
      </c>
      <c r="G263" s="3">
        <v>36</v>
      </c>
      <c r="H263" s="3">
        <v>9</v>
      </c>
      <c r="I263" s="3">
        <v>98</v>
      </c>
      <c r="J263" s="3">
        <f t="shared" si="12"/>
        <v>143</v>
      </c>
      <c r="K263" s="3" t="str">
        <f t="shared" si="13"/>
        <v>P</v>
      </c>
      <c r="L263" s="3" t="str">
        <f t="shared" si="14"/>
        <v>C</v>
      </c>
    </row>
    <row r="264" spans="1:12" ht="14.25" customHeight="1">
      <c r="A264" s="3">
        <v>263</v>
      </c>
      <c r="B264" s="3" t="s">
        <v>3897</v>
      </c>
      <c r="C264" s="3" t="s">
        <v>988</v>
      </c>
      <c r="D264" s="3">
        <v>9876544196</v>
      </c>
      <c r="E264" s="3" t="s">
        <v>4420</v>
      </c>
      <c r="F264" s="3" t="str" cm="1">
        <f t="array" ref="F264">IF(E264="","",_xlfn.XLOOKUP(E264,{"FIRST","SECOND","THIRD","FOURTH"},{"SEM-1","SEM-2","SEM-3","SEM-4"},""))</f>
        <v>SEM-3</v>
      </c>
      <c r="G264" s="3">
        <v>8</v>
      </c>
      <c r="H264" s="3">
        <v>8</v>
      </c>
      <c r="I264" s="3">
        <v>15</v>
      </c>
      <c r="J264" s="3">
        <f t="shared" si="12"/>
        <v>31</v>
      </c>
      <c r="K264" s="3" t="str">
        <f t="shared" si="13"/>
        <v>F</v>
      </c>
      <c r="L264" s="3" t="str">
        <f t="shared" si="14"/>
        <v>FAIL</v>
      </c>
    </row>
    <row r="265" spans="1:12" ht="14.25" customHeight="1">
      <c r="A265" s="3">
        <v>264</v>
      </c>
      <c r="B265" s="3" t="s">
        <v>3600</v>
      </c>
      <c r="C265" s="3" t="s">
        <v>694</v>
      </c>
      <c r="D265" s="3">
        <v>9876543899</v>
      </c>
      <c r="E265" s="3" t="s">
        <v>4418</v>
      </c>
      <c r="F265" s="3" t="str" cm="1">
        <f t="array" ref="F265">IF(E265="","",_xlfn.XLOOKUP(E265,{"FIRST","SECOND","THIRD","FOURTH"},{"SEM-1","SEM-2","SEM-3","SEM-4"},""))</f>
        <v>SEM-1</v>
      </c>
      <c r="G265" s="3">
        <v>68</v>
      </c>
      <c r="H265" s="3">
        <v>77</v>
      </c>
      <c r="I265" s="3">
        <v>22</v>
      </c>
      <c r="J265" s="3">
        <f t="shared" si="12"/>
        <v>167</v>
      </c>
      <c r="K265" s="3" t="str">
        <f t="shared" si="13"/>
        <v>P</v>
      </c>
      <c r="L265" s="3" t="str">
        <f t="shared" si="14"/>
        <v>B</v>
      </c>
    </row>
    <row r="266" spans="1:12" ht="14.25" customHeight="1">
      <c r="A266" s="3">
        <v>265</v>
      </c>
      <c r="B266" s="3" t="s">
        <v>3304</v>
      </c>
      <c r="C266" s="3" t="s">
        <v>400</v>
      </c>
      <c r="D266" s="3">
        <v>9876543603</v>
      </c>
      <c r="E266" s="3" t="s">
        <v>4420</v>
      </c>
      <c r="F266" s="3" t="str" cm="1">
        <f t="array" ref="F266">IF(E266="","",_xlfn.XLOOKUP(E266,{"FIRST","SECOND","THIRD","FOURTH"},{"SEM-1","SEM-2","SEM-3","SEM-4"},""))</f>
        <v>SEM-3</v>
      </c>
      <c r="G266" s="3">
        <v>61</v>
      </c>
      <c r="H266" s="3">
        <v>31</v>
      </c>
      <c r="I266" s="3">
        <v>68</v>
      </c>
      <c r="J266" s="3">
        <f t="shared" si="12"/>
        <v>160</v>
      </c>
      <c r="K266" s="3" t="str">
        <f t="shared" si="13"/>
        <v>P</v>
      </c>
      <c r="L266" s="3" t="str">
        <f t="shared" si="14"/>
        <v>B</v>
      </c>
    </row>
    <row r="267" spans="1:12" ht="14.25" customHeight="1">
      <c r="A267" s="3">
        <v>266</v>
      </c>
      <c r="B267" s="3" t="s">
        <v>3302</v>
      </c>
      <c r="C267" s="3" t="s">
        <v>398</v>
      </c>
      <c r="D267" s="3">
        <v>9876543601</v>
      </c>
      <c r="E267" s="3" t="s">
        <v>4420</v>
      </c>
      <c r="F267" s="3" t="str" cm="1">
        <f t="array" ref="F267">IF(E267="","",_xlfn.XLOOKUP(E267,{"FIRST","SECOND","THIRD","FOURTH"},{"SEM-1","SEM-2","SEM-3","SEM-4"},""))</f>
        <v>SEM-3</v>
      </c>
      <c r="G267" s="3">
        <v>83</v>
      </c>
      <c r="H267" s="3">
        <v>55</v>
      </c>
      <c r="I267" s="3">
        <v>16</v>
      </c>
      <c r="J267" s="3">
        <f t="shared" si="12"/>
        <v>154</v>
      </c>
      <c r="K267" s="3" t="str">
        <f t="shared" si="13"/>
        <v>P</v>
      </c>
      <c r="L267" s="3" t="str">
        <f t="shared" si="14"/>
        <v>B</v>
      </c>
    </row>
    <row r="268" spans="1:12" ht="14.25" customHeight="1">
      <c r="A268" s="3">
        <v>267</v>
      </c>
      <c r="B268" s="3" t="s">
        <v>3005</v>
      </c>
      <c r="C268" s="3" t="s">
        <v>103</v>
      </c>
      <c r="D268" s="3">
        <v>9876543304</v>
      </c>
      <c r="E268" s="3" t="s">
        <v>4419</v>
      </c>
      <c r="F268" s="3" t="str" cm="1">
        <f t="array" ref="F268">IF(E268="","",_xlfn.XLOOKUP(E268,{"FIRST","SECOND","THIRD","FOURTH"},{"SEM-1","SEM-2","SEM-3","SEM-4"},""))</f>
        <v>SEM-2</v>
      </c>
      <c r="G268" s="3">
        <v>18</v>
      </c>
      <c r="H268" s="3">
        <v>14</v>
      </c>
      <c r="I268" s="3">
        <v>66</v>
      </c>
      <c r="J268" s="3">
        <f t="shared" si="12"/>
        <v>98</v>
      </c>
      <c r="K268" s="3" t="str">
        <f t="shared" si="13"/>
        <v>F</v>
      </c>
      <c r="L268" s="3" t="str">
        <f t="shared" si="14"/>
        <v>FAIL</v>
      </c>
    </row>
    <row r="269" spans="1:12" ht="14.25" customHeight="1">
      <c r="A269" s="3">
        <v>268</v>
      </c>
      <c r="B269" s="3" t="s">
        <v>3165</v>
      </c>
      <c r="C269" s="3" t="s">
        <v>263</v>
      </c>
      <c r="D269" s="3">
        <v>9876543464</v>
      </c>
      <c r="E269" s="3" t="s">
        <v>4418</v>
      </c>
      <c r="F269" s="3" t="str" cm="1">
        <f t="array" ref="F269">IF(E269="","",_xlfn.XLOOKUP(E269,{"FIRST","SECOND","THIRD","FOURTH"},{"SEM-1","SEM-2","SEM-3","SEM-4"},""))</f>
        <v>SEM-1</v>
      </c>
      <c r="G269" s="3">
        <v>12</v>
      </c>
      <c r="H269" s="3">
        <v>16</v>
      </c>
      <c r="I269" s="3">
        <v>7</v>
      </c>
      <c r="J269" s="3">
        <f t="shared" si="12"/>
        <v>35</v>
      </c>
      <c r="K269" s="3" t="str">
        <f t="shared" si="13"/>
        <v>F</v>
      </c>
      <c r="L269" s="3" t="str">
        <f t="shared" si="14"/>
        <v>FAIL</v>
      </c>
    </row>
    <row r="270" spans="1:12" ht="14.25" customHeight="1">
      <c r="A270" s="3">
        <v>269</v>
      </c>
      <c r="B270" s="3" t="s">
        <v>3524</v>
      </c>
      <c r="C270" s="3" t="s">
        <v>619</v>
      </c>
      <c r="D270" s="3">
        <v>9876543823</v>
      </c>
      <c r="E270" s="3" t="s">
        <v>4420</v>
      </c>
      <c r="F270" s="3" t="str" cm="1">
        <f t="array" ref="F270">IF(E270="","",_xlfn.XLOOKUP(E270,{"FIRST","SECOND","THIRD","FOURTH"},{"SEM-1","SEM-2","SEM-3","SEM-4"},""))</f>
        <v>SEM-3</v>
      </c>
      <c r="G270" s="3">
        <v>32</v>
      </c>
      <c r="H270" s="3">
        <v>76</v>
      </c>
      <c r="I270" s="3">
        <v>11</v>
      </c>
      <c r="J270" s="3">
        <f t="shared" si="12"/>
        <v>119</v>
      </c>
      <c r="K270" s="3" t="str">
        <f t="shared" si="13"/>
        <v>P</v>
      </c>
      <c r="L270" s="3" t="str">
        <f t="shared" si="14"/>
        <v>FAIL</v>
      </c>
    </row>
    <row r="271" spans="1:12" ht="14.25" customHeight="1">
      <c r="A271" s="3">
        <v>270</v>
      </c>
      <c r="B271" s="3" t="s">
        <v>3662</v>
      </c>
      <c r="C271" s="3" t="s">
        <v>755</v>
      </c>
      <c r="D271" s="3">
        <v>9876543961</v>
      </c>
      <c r="E271" s="3" t="s">
        <v>4419</v>
      </c>
      <c r="F271" s="3" t="str" cm="1">
        <f t="array" ref="F271">IF(E271="","",_xlfn.XLOOKUP(E271,{"FIRST","SECOND","THIRD","FOURTH"},{"SEM-1","SEM-2","SEM-3","SEM-4"},""))</f>
        <v>SEM-2</v>
      </c>
      <c r="G271" s="3">
        <v>90</v>
      </c>
      <c r="H271" s="3">
        <v>76</v>
      </c>
      <c r="I271" s="3">
        <v>0</v>
      </c>
      <c r="J271" s="3">
        <f t="shared" si="12"/>
        <v>166</v>
      </c>
      <c r="K271" s="3" t="str">
        <f t="shared" si="13"/>
        <v>P</v>
      </c>
      <c r="L271" s="3" t="str">
        <f t="shared" si="14"/>
        <v>B</v>
      </c>
    </row>
    <row r="272" spans="1:12" ht="14.25" customHeight="1">
      <c r="A272" s="3">
        <v>271</v>
      </c>
      <c r="B272" s="3" t="s">
        <v>2925</v>
      </c>
      <c r="C272" s="3" t="s">
        <v>23</v>
      </c>
      <c r="D272" s="3">
        <v>9876543224</v>
      </c>
      <c r="E272" s="3" t="s">
        <v>4419</v>
      </c>
      <c r="F272" s="3" t="str" cm="1">
        <f t="array" ref="F272">IF(E272="","",_xlfn.XLOOKUP(E272,{"FIRST","SECOND","THIRD","FOURTH"},{"SEM-1","SEM-2","SEM-3","SEM-4"},""))</f>
        <v>SEM-2</v>
      </c>
      <c r="G272" s="3">
        <v>100</v>
      </c>
      <c r="H272" s="3">
        <v>84</v>
      </c>
      <c r="I272" s="3">
        <v>67</v>
      </c>
      <c r="J272" s="3">
        <f t="shared" si="12"/>
        <v>251</v>
      </c>
      <c r="K272" s="3" t="str">
        <f t="shared" si="13"/>
        <v>P</v>
      </c>
      <c r="L272" s="3" t="str">
        <f t="shared" si="14"/>
        <v>A</v>
      </c>
    </row>
    <row r="273" spans="1:12" ht="14.25" customHeight="1">
      <c r="A273" s="3">
        <v>272</v>
      </c>
      <c r="B273" s="3" t="s">
        <v>3142</v>
      </c>
      <c r="C273" s="3" t="s">
        <v>240</v>
      </c>
      <c r="D273" s="3">
        <v>9876543441</v>
      </c>
      <c r="E273" s="3" t="s">
        <v>4420</v>
      </c>
      <c r="F273" s="3" t="str" cm="1">
        <f t="array" ref="F273">IF(E273="","",_xlfn.XLOOKUP(E273,{"FIRST","SECOND","THIRD","FOURTH"},{"SEM-1","SEM-2","SEM-3","SEM-4"},""))</f>
        <v>SEM-3</v>
      </c>
      <c r="G273" s="3">
        <v>4</v>
      </c>
      <c r="H273" s="3">
        <v>51</v>
      </c>
      <c r="I273" s="3">
        <v>64</v>
      </c>
      <c r="J273" s="3">
        <f t="shared" si="12"/>
        <v>119</v>
      </c>
      <c r="K273" s="3" t="str">
        <f t="shared" si="13"/>
        <v>F</v>
      </c>
      <c r="L273" s="3" t="str">
        <f t="shared" si="14"/>
        <v>FAIL</v>
      </c>
    </row>
    <row r="274" spans="1:12" ht="14.25" customHeight="1">
      <c r="A274" s="3">
        <v>273</v>
      </c>
      <c r="B274" s="3" t="s">
        <v>3465</v>
      </c>
      <c r="C274" s="3" t="s">
        <v>561</v>
      </c>
      <c r="D274" s="3">
        <v>9876543764</v>
      </c>
      <c r="E274" s="3" t="s">
        <v>4419</v>
      </c>
      <c r="F274" s="3" t="str" cm="1">
        <f t="array" ref="F274">IF(E274="","",_xlfn.XLOOKUP(E274,{"FIRST","SECOND","THIRD","FOURTH"},{"SEM-1","SEM-2","SEM-3","SEM-4"},""))</f>
        <v>SEM-2</v>
      </c>
      <c r="G274" s="3">
        <v>25</v>
      </c>
      <c r="H274" s="3">
        <v>40</v>
      </c>
      <c r="I274" s="3">
        <v>87</v>
      </c>
      <c r="J274" s="3">
        <f t="shared" si="12"/>
        <v>152</v>
      </c>
      <c r="K274" s="3" t="str">
        <f t="shared" si="13"/>
        <v>P</v>
      </c>
      <c r="L274" s="3" t="str">
        <f t="shared" si="14"/>
        <v>B</v>
      </c>
    </row>
    <row r="275" spans="1:12" ht="14.25" customHeight="1">
      <c r="A275" s="3">
        <v>274</v>
      </c>
      <c r="B275" s="3" t="s">
        <v>4154</v>
      </c>
      <c r="C275" s="3" t="s">
        <v>1239</v>
      </c>
      <c r="D275" s="3">
        <v>9876544453</v>
      </c>
      <c r="E275" s="3" t="s">
        <v>4418</v>
      </c>
      <c r="F275" s="3" t="str" cm="1">
        <f t="array" ref="F275">IF(E275="","",_xlfn.XLOOKUP(E275,{"FIRST","SECOND","THIRD","FOURTH"},{"SEM-1","SEM-2","SEM-3","SEM-4"},""))</f>
        <v>SEM-1</v>
      </c>
      <c r="G275" s="3">
        <v>16</v>
      </c>
      <c r="H275" s="3">
        <v>89</v>
      </c>
      <c r="I275" s="3">
        <v>30</v>
      </c>
      <c r="J275" s="3">
        <f t="shared" si="12"/>
        <v>135</v>
      </c>
      <c r="K275" s="3" t="str">
        <f t="shared" si="13"/>
        <v>P</v>
      </c>
      <c r="L275" s="3" t="str">
        <f t="shared" si="14"/>
        <v>C</v>
      </c>
    </row>
    <row r="276" spans="1:12" ht="14.25" customHeight="1">
      <c r="A276" s="3">
        <v>275</v>
      </c>
      <c r="B276" s="3" t="s">
        <v>3288</v>
      </c>
      <c r="C276" s="3" t="s">
        <v>385</v>
      </c>
      <c r="D276" s="3">
        <v>9876543587</v>
      </c>
      <c r="E276" s="3" t="s">
        <v>4419</v>
      </c>
      <c r="F276" s="3" t="str" cm="1">
        <f t="array" ref="F276">IF(E276="","",_xlfn.XLOOKUP(E276,{"FIRST","SECOND","THIRD","FOURTH"},{"SEM-1","SEM-2","SEM-3","SEM-4"},""))</f>
        <v>SEM-2</v>
      </c>
      <c r="G276" s="3">
        <v>41</v>
      </c>
      <c r="H276" s="3">
        <v>91</v>
      </c>
      <c r="I276" s="3">
        <v>42</v>
      </c>
      <c r="J276" s="3">
        <f t="shared" si="12"/>
        <v>174</v>
      </c>
      <c r="K276" s="3" t="str">
        <f t="shared" si="13"/>
        <v>P</v>
      </c>
      <c r="L276" s="3" t="str">
        <f t="shared" si="14"/>
        <v>B</v>
      </c>
    </row>
    <row r="277" spans="1:12" ht="14.25" customHeight="1">
      <c r="A277" s="3">
        <v>276</v>
      </c>
      <c r="B277" s="3" t="s">
        <v>3158</v>
      </c>
      <c r="C277" s="3" t="s">
        <v>256</v>
      </c>
      <c r="D277" s="3">
        <v>9876543457</v>
      </c>
      <c r="E277" s="3" t="s">
        <v>4419</v>
      </c>
      <c r="F277" s="3" t="str" cm="1">
        <f t="array" ref="F277">IF(E277="","",_xlfn.XLOOKUP(E277,{"FIRST","SECOND","THIRD","FOURTH"},{"SEM-1","SEM-2","SEM-3","SEM-4"},""))</f>
        <v>SEM-2</v>
      </c>
      <c r="G277" s="3">
        <v>40</v>
      </c>
      <c r="H277" s="3">
        <v>68</v>
      </c>
      <c r="I277" s="3">
        <v>6</v>
      </c>
      <c r="J277" s="3">
        <f t="shared" si="12"/>
        <v>114</v>
      </c>
      <c r="K277" s="3" t="str">
        <f t="shared" si="13"/>
        <v>F</v>
      </c>
      <c r="L277" s="3" t="str">
        <f t="shared" si="14"/>
        <v>FAIL</v>
      </c>
    </row>
    <row r="278" spans="1:12" ht="14.25" customHeight="1">
      <c r="A278" s="3">
        <v>277</v>
      </c>
      <c r="B278" s="3" t="s">
        <v>3290</v>
      </c>
      <c r="C278" s="3" t="s">
        <v>256</v>
      </c>
      <c r="D278" s="3">
        <v>9876543589</v>
      </c>
      <c r="E278" s="3" t="s">
        <v>4419</v>
      </c>
      <c r="F278" s="3" t="str" cm="1">
        <f t="array" ref="F278">IF(E278="","",_xlfn.XLOOKUP(E278,{"FIRST","SECOND","THIRD","FOURTH"},{"SEM-1","SEM-2","SEM-3","SEM-4"},""))</f>
        <v>SEM-2</v>
      </c>
      <c r="G278" s="3">
        <v>25</v>
      </c>
      <c r="H278" s="3">
        <v>93</v>
      </c>
      <c r="I278" s="3">
        <v>100</v>
      </c>
      <c r="J278" s="3">
        <f t="shared" si="12"/>
        <v>218</v>
      </c>
      <c r="K278" s="3" t="str">
        <f t="shared" si="13"/>
        <v>P</v>
      </c>
      <c r="L278" s="3" t="str">
        <f t="shared" si="14"/>
        <v>A</v>
      </c>
    </row>
    <row r="279" spans="1:12" ht="14.25" customHeight="1">
      <c r="A279" s="3">
        <v>278</v>
      </c>
      <c r="B279" s="3" t="s">
        <v>3235</v>
      </c>
      <c r="C279" s="3" t="s">
        <v>332</v>
      </c>
      <c r="D279" s="3">
        <v>9876543534</v>
      </c>
      <c r="E279" s="3" t="s">
        <v>4419</v>
      </c>
      <c r="F279" s="3" t="str" cm="1">
        <f t="array" ref="F279">IF(E279="","",_xlfn.XLOOKUP(E279,{"FIRST","SECOND","THIRD","FOURTH"},{"SEM-1","SEM-2","SEM-3","SEM-4"},""))</f>
        <v>SEM-2</v>
      </c>
      <c r="G279" s="3">
        <v>34</v>
      </c>
      <c r="H279" s="3">
        <v>87</v>
      </c>
      <c r="I279" s="3">
        <v>55</v>
      </c>
      <c r="J279" s="3">
        <f t="shared" si="12"/>
        <v>176</v>
      </c>
      <c r="K279" s="3" t="str">
        <f t="shared" si="13"/>
        <v>P</v>
      </c>
      <c r="L279" s="3" t="str">
        <f t="shared" si="14"/>
        <v>B</v>
      </c>
    </row>
    <row r="280" spans="1:12" ht="14.25" customHeight="1">
      <c r="A280" s="3">
        <v>279</v>
      </c>
      <c r="B280" s="3" t="s">
        <v>4401</v>
      </c>
      <c r="C280" s="3" t="s">
        <v>1480</v>
      </c>
      <c r="D280" s="3">
        <v>9876544700</v>
      </c>
      <c r="E280" s="3" t="s">
        <v>4418</v>
      </c>
      <c r="F280" s="3" t="str" cm="1">
        <f t="array" ref="F280">IF(E280="","",_xlfn.XLOOKUP(E280,{"FIRST","SECOND","THIRD","FOURTH"},{"SEM-1","SEM-2","SEM-3","SEM-4"},""))</f>
        <v>SEM-1</v>
      </c>
      <c r="G280" s="3">
        <v>17</v>
      </c>
      <c r="H280" s="3">
        <v>53</v>
      </c>
      <c r="I280" s="3">
        <v>30</v>
      </c>
      <c r="J280" s="3">
        <f t="shared" si="12"/>
        <v>100</v>
      </c>
      <c r="K280" s="3" t="str">
        <f t="shared" si="13"/>
        <v>F</v>
      </c>
      <c r="L280" s="3" t="str">
        <f t="shared" si="14"/>
        <v>FAIL</v>
      </c>
    </row>
    <row r="281" spans="1:12" ht="14.25" customHeight="1">
      <c r="A281" s="3">
        <v>280</v>
      </c>
      <c r="B281" s="3" t="s">
        <v>2941</v>
      </c>
      <c r="C281" s="3" t="s">
        <v>39</v>
      </c>
      <c r="D281" s="3">
        <v>9876543240</v>
      </c>
      <c r="E281" s="3" t="s">
        <v>4419</v>
      </c>
      <c r="F281" s="3" t="str" cm="1">
        <f t="array" ref="F281">IF(E281="","",_xlfn.XLOOKUP(E281,{"FIRST","SECOND","THIRD","FOURTH"},{"SEM-1","SEM-2","SEM-3","SEM-4"},""))</f>
        <v>SEM-2</v>
      </c>
      <c r="G281" s="3">
        <v>18</v>
      </c>
      <c r="H281" s="3">
        <v>79</v>
      </c>
      <c r="I281" s="3">
        <v>43</v>
      </c>
      <c r="J281" s="3">
        <f t="shared" si="12"/>
        <v>140</v>
      </c>
      <c r="K281" s="3" t="str">
        <f t="shared" si="13"/>
        <v>P</v>
      </c>
      <c r="L281" s="3" t="str">
        <f t="shared" si="14"/>
        <v>C</v>
      </c>
    </row>
    <row r="282" spans="1:12" ht="14.25" customHeight="1">
      <c r="A282" s="3">
        <v>281</v>
      </c>
      <c r="B282" s="3" t="s">
        <v>4231</v>
      </c>
      <c r="C282" s="3" t="s">
        <v>1314</v>
      </c>
      <c r="D282" s="3">
        <v>9876544530</v>
      </c>
      <c r="E282" s="3" t="s">
        <v>4418</v>
      </c>
      <c r="F282" s="3" t="str" cm="1">
        <f t="array" ref="F282">IF(E282="","",_xlfn.XLOOKUP(E282,{"FIRST","SECOND","THIRD","FOURTH"},{"SEM-1","SEM-2","SEM-3","SEM-4"},""))</f>
        <v>SEM-1</v>
      </c>
      <c r="G282" s="3">
        <v>1</v>
      </c>
      <c r="H282" s="3">
        <v>11</v>
      </c>
      <c r="I282" s="3">
        <v>29</v>
      </c>
      <c r="J282" s="3">
        <f t="shared" si="12"/>
        <v>41</v>
      </c>
      <c r="K282" s="3" t="str">
        <f t="shared" si="13"/>
        <v>F</v>
      </c>
      <c r="L282" s="3" t="str">
        <f t="shared" si="14"/>
        <v>FAIL</v>
      </c>
    </row>
    <row r="283" spans="1:12" ht="14.25" customHeight="1">
      <c r="A283" s="3">
        <v>282</v>
      </c>
      <c r="B283" s="3" t="s">
        <v>3726</v>
      </c>
      <c r="C283" s="3" t="s">
        <v>819</v>
      </c>
      <c r="D283" s="3">
        <v>9876544025</v>
      </c>
      <c r="E283" s="3" t="s">
        <v>4420</v>
      </c>
      <c r="F283" s="3" t="str" cm="1">
        <f t="array" ref="F283">IF(E283="","",_xlfn.XLOOKUP(E283,{"FIRST","SECOND","THIRD","FOURTH"},{"SEM-1","SEM-2","SEM-3","SEM-4"},""))</f>
        <v>SEM-3</v>
      </c>
      <c r="G283" s="3">
        <v>98</v>
      </c>
      <c r="H283" s="3">
        <v>95</v>
      </c>
      <c r="I283" s="3">
        <v>60</v>
      </c>
      <c r="J283" s="3">
        <f t="shared" si="12"/>
        <v>253</v>
      </c>
      <c r="K283" s="3" t="str">
        <f t="shared" si="13"/>
        <v>P</v>
      </c>
      <c r="L283" s="3" t="str">
        <f t="shared" si="14"/>
        <v>A</v>
      </c>
    </row>
    <row r="284" spans="1:12" ht="14.25" customHeight="1">
      <c r="A284" s="3">
        <v>283</v>
      </c>
      <c r="B284" s="3" t="s">
        <v>2999</v>
      </c>
      <c r="C284" s="3" t="s">
        <v>97</v>
      </c>
      <c r="D284" s="3">
        <v>9876543298</v>
      </c>
      <c r="E284" s="3" t="s">
        <v>4419</v>
      </c>
      <c r="F284" s="3" t="str" cm="1">
        <f t="array" ref="F284">IF(E284="","",_xlfn.XLOOKUP(E284,{"FIRST","SECOND","THIRD","FOURTH"},{"SEM-1","SEM-2","SEM-3","SEM-4"},""))</f>
        <v>SEM-2</v>
      </c>
      <c r="G284" s="3">
        <v>80</v>
      </c>
      <c r="H284" s="3">
        <v>16</v>
      </c>
      <c r="I284" s="3">
        <v>14</v>
      </c>
      <c r="J284" s="3">
        <f t="shared" si="12"/>
        <v>110</v>
      </c>
      <c r="K284" s="3" t="str">
        <f t="shared" si="13"/>
        <v>P</v>
      </c>
      <c r="L284" s="3" t="str">
        <f t="shared" si="14"/>
        <v>FAIL</v>
      </c>
    </row>
    <row r="285" spans="1:12" ht="14.25" customHeight="1">
      <c r="A285" s="3">
        <v>284</v>
      </c>
      <c r="B285" s="3" t="s">
        <v>3826</v>
      </c>
      <c r="C285" s="3" t="s">
        <v>918</v>
      </c>
      <c r="D285" s="3">
        <v>9876544125</v>
      </c>
      <c r="E285" s="3" t="s">
        <v>4418</v>
      </c>
      <c r="F285" s="3" t="str" cm="1">
        <f t="array" ref="F285">IF(E285="","",_xlfn.XLOOKUP(E285,{"FIRST","SECOND","THIRD","FOURTH"},{"SEM-1","SEM-2","SEM-3","SEM-4"},""))</f>
        <v>SEM-1</v>
      </c>
      <c r="G285" s="3">
        <v>91</v>
      </c>
      <c r="H285" s="3">
        <v>27</v>
      </c>
      <c r="I285" s="3">
        <v>75</v>
      </c>
      <c r="J285" s="3">
        <f t="shared" si="12"/>
        <v>193</v>
      </c>
      <c r="K285" s="3" t="str">
        <f t="shared" si="13"/>
        <v>P</v>
      </c>
      <c r="L285" s="3" t="str">
        <f t="shared" si="14"/>
        <v>A</v>
      </c>
    </row>
    <row r="286" spans="1:12" ht="14.25" customHeight="1">
      <c r="A286" s="3">
        <v>285</v>
      </c>
      <c r="B286" s="3" t="s">
        <v>4366</v>
      </c>
      <c r="C286" s="3" t="s">
        <v>1445</v>
      </c>
      <c r="D286" s="3">
        <v>9876544665</v>
      </c>
      <c r="E286" s="3" t="s">
        <v>4420</v>
      </c>
      <c r="F286" s="3" t="str" cm="1">
        <f t="array" ref="F286">IF(E286="","",_xlfn.XLOOKUP(E286,{"FIRST","SECOND","THIRD","FOURTH"},{"SEM-1","SEM-2","SEM-3","SEM-4"},""))</f>
        <v>SEM-3</v>
      </c>
      <c r="G286" s="3">
        <v>40</v>
      </c>
      <c r="H286" s="3">
        <v>96</v>
      </c>
      <c r="I286" s="3">
        <v>37</v>
      </c>
      <c r="J286" s="3">
        <f t="shared" si="12"/>
        <v>173</v>
      </c>
      <c r="K286" s="3" t="str">
        <f t="shared" si="13"/>
        <v>P</v>
      </c>
      <c r="L286" s="3" t="str">
        <f t="shared" si="14"/>
        <v>B</v>
      </c>
    </row>
    <row r="287" spans="1:12" ht="14.25" customHeight="1">
      <c r="A287" s="3">
        <v>286</v>
      </c>
      <c r="B287" s="3" t="s">
        <v>3574</v>
      </c>
      <c r="C287" s="3" t="s">
        <v>668</v>
      </c>
      <c r="D287" s="3">
        <v>9876543873</v>
      </c>
      <c r="E287" s="3" t="s">
        <v>4418</v>
      </c>
      <c r="F287" s="3" t="str" cm="1">
        <f t="array" ref="F287">IF(E287="","",_xlfn.XLOOKUP(E287,{"FIRST","SECOND","THIRD","FOURTH"},{"SEM-1","SEM-2","SEM-3","SEM-4"},""))</f>
        <v>SEM-1</v>
      </c>
      <c r="G287" s="3">
        <v>69</v>
      </c>
      <c r="H287" s="3">
        <v>66</v>
      </c>
      <c r="I287" s="3">
        <v>58</v>
      </c>
      <c r="J287" s="3">
        <f t="shared" si="12"/>
        <v>193</v>
      </c>
      <c r="K287" s="3" t="str">
        <f t="shared" si="13"/>
        <v>P</v>
      </c>
      <c r="L287" s="3" t="str">
        <f t="shared" si="14"/>
        <v>A</v>
      </c>
    </row>
    <row r="288" spans="1:12" ht="14.25" customHeight="1">
      <c r="A288" s="3">
        <v>287</v>
      </c>
      <c r="B288" s="3" t="s">
        <v>3960</v>
      </c>
      <c r="C288" s="3" t="s">
        <v>1050</v>
      </c>
      <c r="D288" s="3">
        <v>9876544259</v>
      </c>
      <c r="E288" s="3" t="s">
        <v>4420</v>
      </c>
      <c r="F288" s="3" t="str" cm="1">
        <f t="array" ref="F288">IF(E288="","",_xlfn.XLOOKUP(E288,{"FIRST","SECOND","THIRD","FOURTH"},{"SEM-1","SEM-2","SEM-3","SEM-4"},""))</f>
        <v>SEM-3</v>
      </c>
      <c r="G288" s="3">
        <v>84</v>
      </c>
      <c r="H288" s="3">
        <v>83</v>
      </c>
      <c r="I288" s="3">
        <v>99</v>
      </c>
      <c r="J288" s="3">
        <f t="shared" si="12"/>
        <v>266</v>
      </c>
      <c r="K288" s="3" t="str">
        <f t="shared" si="13"/>
        <v>P</v>
      </c>
      <c r="L288" s="3" t="str">
        <f t="shared" si="14"/>
        <v>A</v>
      </c>
    </row>
    <row r="289" spans="1:12" ht="14.25" customHeight="1">
      <c r="A289" s="3">
        <v>288</v>
      </c>
      <c r="B289" s="3" t="s">
        <v>3121</v>
      </c>
      <c r="C289" s="3" t="s">
        <v>219</v>
      </c>
      <c r="D289" s="3">
        <v>9876543420</v>
      </c>
      <c r="E289" s="3" t="s">
        <v>4418</v>
      </c>
      <c r="F289" s="3" t="str" cm="1">
        <f t="array" ref="F289">IF(E289="","",_xlfn.XLOOKUP(E289,{"FIRST","SECOND","THIRD","FOURTH"},{"SEM-1","SEM-2","SEM-3","SEM-4"},""))</f>
        <v>SEM-1</v>
      </c>
      <c r="G289" s="3">
        <v>65</v>
      </c>
      <c r="H289" s="3">
        <v>90</v>
      </c>
      <c r="I289" s="3">
        <v>47</v>
      </c>
      <c r="J289" s="3">
        <f t="shared" si="12"/>
        <v>202</v>
      </c>
      <c r="K289" s="3" t="str">
        <f t="shared" si="13"/>
        <v>P</v>
      </c>
      <c r="L289" s="3" t="str">
        <f t="shared" si="14"/>
        <v>A</v>
      </c>
    </row>
    <row r="290" spans="1:12" ht="14.25" customHeight="1">
      <c r="A290" s="3">
        <v>289</v>
      </c>
      <c r="B290" s="3" t="s">
        <v>4349</v>
      </c>
      <c r="C290" s="3" t="s">
        <v>1428</v>
      </c>
      <c r="D290" s="3">
        <v>9876544648</v>
      </c>
      <c r="E290" s="3" t="s">
        <v>4420</v>
      </c>
      <c r="F290" s="3" t="str" cm="1">
        <f t="array" ref="F290">IF(E290="","",_xlfn.XLOOKUP(E290,{"FIRST","SECOND","THIRD","FOURTH"},{"SEM-1","SEM-2","SEM-3","SEM-4"},""))</f>
        <v>SEM-3</v>
      </c>
      <c r="G290" s="3">
        <v>71</v>
      </c>
      <c r="H290" s="3">
        <v>49</v>
      </c>
      <c r="I290" s="3">
        <v>75</v>
      </c>
      <c r="J290" s="3">
        <f t="shared" si="12"/>
        <v>195</v>
      </c>
      <c r="K290" s="3" t="str">
        <f t="shared" si="13"/>
        <v>P</v>
      </c>
      <c r="L290" s="3" t="str">
        <f t="shared" si="14"/>
        <v>A</v>
      </c>
    </row>
    <row r="291" spans="1:12" ht="14.25" customHeight="1">
      <c r="A291" s="3">
        <v>290</v>
      </c>
      <c r="B291" s="3" t="s">
        <v>4298</v>
      </c>
      <c r="C291" s="3" t="s">
        <v>1379</v>
      </c>
      <c r="D291" s="3">
        <v>9876544597</v>
      </c>
      <c r="E291" s="3" t="s">
        <v>4420</v>
      </c>
      <c r="F291" s="3" t="str" cm="1">
        <f t="array" ref="F291">IF(E291="","",_xlfn.XLOOKUP(E291,{"FIRST","SECOND","THIRD","FOURTH"},{"SEM-1","SEM-2","SEM-3","SEM-4"},""))</f>
        <v>SEM-3</v>
      </c>
      <c r="G291" s="3">
        <v>86</v>
      </c>
      <c r="H291" s="3">
        <v>40</v>
      </c>
      <c r="I291" s="3">
        <v>38</v>
      </c>
      <c r="J291" s="3">
        <f t="shared" si="12"/>
        <v>164</v>
      </c>
      <c r="K291" s="3" t="str">
        <f t="shared" si="13"/>
        <v>P</v>
      </c>
      <c r="L291" s="3" t="str">
        <f t="shared" si="14"/>
        <v>B</v>
      </c>
    </row>
    <row r="292" spans="1:12" ht="14.25" customHeight="1">
      <c r="A292" s="3">
        <v>291</v>
      </c>
      <c r="B292" s="3" t="s">
        <v>4138</v>
      </c>
      <c r="C292" s="3" t="s">
        <v>1223</v>
      </c>
      <c r="D292" s="3">
        <v>9876544437</v>
      </c>
      <c r="E292" s="3" t="s">
        <v>4420</v>
      </c>
      <c r="F292" s="3" t="str" cm="1">
        <f t="array" ref="F292">IF(E292="","",_xlfn.XLOOKUP(E292,{"FIRST","SECOND","THIRD","FOURTH"},{"SEM-1","SEM-2","SEM-3","SEM-4"},""))</f>
        <v>SEM-3</v>
      </c>
      <c r="G292" s="3">
        <v>20</v>
      </c>
      <c r="H292" s="3">
        <v>66</v>
      </c>
      <c r="I292" s="3">
        <v>23</v>
      </c>
      <c r="J292" s="3">
        <f t="shared" si="12"/>
        <v>109</v>
      </c>
      <c r="K292" s="3" t="str">
        <f t="shared" si="13"/>
        <v>F</v>
      </c>
      <c r="L292" s="3" t="str">
        <f t="shared" si="14"/>
        <v>FAIL</v>
      </c>
    </row>
    <row r="293" spans="1:12" ht="14.25" customHeight="1">
      <c r="A293" s="3">
        <v>292</v>
      </c>
      <c r="B293" s="3" t="s">
        <v>3252</v>
      </c>
      <c r="C293" s="3" t="s">
        <v>349</v>
      </c>
      <c r="D293" s="3">
        <v>9876543551</v>
      </c>
      <c r="E293" s="3" t="s">
        <v>4419</v>
      </c>
      <c r="F293" s="3" t="str" cm="1">
        <f t="array" ref="F293">IF(E293="","",_xlfn.XLOOKUP(E293,{"FIRST","SECOND","THIRD","FOURTH"},{"SEM-1","SEM-2","SEM-3","SEM-4"},""))</f>
        <v>SEM-2</v>
      </c>
      <c r="G293" s="3">
        <v>92</v>
      </c>
      <c r="H293" s="3">
        <v>42</v>
      </c>
      <c r="I293" s="3">
        <v>36</v>
      </c>
      <c r="J293" s="3">
        <f t="shared" si="12"/>
        <v>170</v>
      </c>
      <c r="K293" s="3" t="str">
        <f t="shared" si="13"/>
        <v>P</v>
      </c>
      <c r="L293" s="3" t="str">
        <f t="shared" si="14"/>
        <v>B</v>
      </c>
    </row>
    <row r="294" spans="1:12" ht="14.25" customHeight="1">
      <c r="A294" s="3">
        <v>293</v>
      </c>
      <c r="B294" s="3" t="s">
        <v>3344</v>
      </c>
      <c r="C294" s="3" t="s">
        <v>440</v>
      </c>
      <c r="D294" s="3">
        <v>9876543643</v>
      </c>
      <c r="E294" s="3" t="s">
        <v>4420</v>
      </c>
      <c r="F294" s="3" t="str" cm="1">
        <f t="array" ref="F294">IF(E294="","",_xlfn.XLOOKUP(E294,{"FIRST","SECOND","THIRD","FOURTH"},{"SEM-1","SEM-2","SEM-3","SEM-4"},""))</f>
        <v>SEM-3</v>
      </c>
      <c r="G294" s="3">
        <v>61</v>
      </c>
      <c r="H294" s="3">
        <v>53</v>
      </c>
      <c r="I294" s="3">
        <v>1</v>
      </c>
      <c r="J294" s="3">
        <f t="shared" si="12"/>
        <v>115</v>
      </c>
      <c r="K294" s="3" t="str">
        <f t="shared" si="13"/>
        <v>F</v>
      </c>
      <c r="L294" s="3" t="str">
        <f t="shared" si="14"/>
        <v>FAIL</v>
      </c>
    </row>
    <row r="295" spans="1:12" ht="14.25" customHeight="1">
      <c r="A295" s="3">
        <v>294</v>
      </c>
      <c r="B295" s="3" t="s">
        <v>3579</v>
      </c>
      <c r="C295" s="3" t="s">
        <v>673</v>
      </c>
      <c r="D295" s="3">
        <v>9876543878</v>
      </c>
      <c r="E295" s="3" t="s">
        <v>4418</v>
      </c>
      <c r="F295" s="3" t="str" cm="1">
        <f t="array" ref="F295">IF(E295="","",_xlfn.XLOOKUP(E295,{"FIRST","SECOND","THIRD","FOURTH"},{"SEM-1","SEM-2","SEM-3","SEM-4"},""))</f>
        <v>SEM-1</v>
      </c>
      <c r="G295" s="3">
        <v>77</v>
      </c>
      <c r="H295" s="3">
        <v>37</v>
      </c>
      <c r="I295" s="3">
        <v>92</v>
      </c>
      <c r="J295" s="3">
        <f t="shared" si="12"/>
        <v>206</v>
      </c>
      <c r="K295" s="3" t="str">
        <f t="shared" si="13"/>
        <v>P</v>
      </c>
      <c r="L295" s="3" t="str">
        <f t="shared" si="14"/>
        <v>A</v>
      </c>
    </row>
    <row r="296" spans="1:12" ht="14.25" customHeight="1">
      <c r="A296" s="3">
        <v>295</v>
      </c>
      <c r="B296" s="3" t="s">
        <v>4219</v>
      </c>
      <c r="C296" s="3" t="s">
        <v>1302</v>
      </c>
      <c r="D296" s="3">
        <v>9876544518</v>
      </c>
      <c r="E296" s="3" t="s">
        <v>4419</v>
      </c>
      <c r="F296" s="3" t="str" cm="1">
        <f t="array" ref="F296">IF(E296="","",_xlfn.XLOOKUP(E296,{"FIRST","SECOND","THIRD","FOURTH"},{"SEM-1","SEM-2","SEM-3","SEM-4"},""))</f>
        <v>SEM-2</v>
      </c>
      <c r="G296" s="3">
        <v>87</v>
      </c>
      <c r="H296" s="3">
        <v>7</v>
      </c>
      <c r="I296" s="3">
        <v>28</v>
      </c>
      <c r="J296" s="3">
        <f t="shared" si="12"/>
        <v>122</v>
      </c>
      <c r="K296" s="3" t="str">
        <f t="shared" si="13"/>
        <v>P</v>
      </c>
      <c r="L296" s="3" t="str">
        <f t="shared" si="14"/>
        <v>C</v>
      </c>
    </row>
    <row r="297" spans="1:12" ht="14.25" customHeight="1">
      <c r="A297" s="3">
        <v>296</v>
      </c>
      <c r="B297" s="3" t="s">
        <v>4266</v>
      </c>
      <c r="C297" s="3" t="s">
        <v>1347</v>
      </c>
      <c r="D297" s="3">
        <v>9876544565</v>
      </c>
      <c r="E297" s="3" t="s">
        <v>4419</v>
      </c>
      <c r="F297" s="3" t="str" cm="1">
        <f t="array" ref="F297">IF(E297="","",_xlfn.XLOOKUP(E297,{"FIRST","SECOND","THIRD","FOURTH"},{"SEM-1","SEM-2","SEM-3","SEM-4"},""))</f>
        <v>SEM-2</v>
      </c>
      <c r="G297" s="3">
        <v>47</v>
      </c>
      <c r="H297" s="3">
        <v>86</v>
      </c>
      <c r="I297" s="3">
        <v>82</v>
      </c>
      <c r="J297" s="3">
        <f t="shared" si="12"/>
        <v>215</v>
      </c>
      <c r="K297" s="3" t="str">
        <f t="shared" si="13"/>
        <v>P</v>
      </c>
      <c r="L297" s="3" t="str">
        <f t="shared" si="14"/>
        <v>A</v>
      </c>
    </row>
    <row r="298" spans="1:12" ht="14.25" customHeight="1">
      <c r="A298" s="3">
        <v>297</v>
      </c>
      <c r="B298" s="3" t="s">
        <v>4385</v>
      </c>
      <c r="C298" s="3" t="s">
        <v>1464</v>
      </c>
      <c r="D298" s="3">
        <v>9876544684</v>
      </c>
      <c r="E298" s="3" t="s">
        <v>4419</v>
      </c>
      <c r="F298" s="3" t="str" cm="1">
        <f t="array" ref="F298">IF(E298="","",_xlfn.XLOOKUP(E298,{"FIRST","SECOND","THIRD","FOURTH"},{"SEM-1","SEM-2","SEM-3","SEM-4"},""))</f>
        <v>SEM-2</v>
      </c>
      <c r="G298" s="3">
        <v>78</v>
      </c>
      <c r="H298" s="3">
        <v>85</v>
      </c>
      <c r="I298" s="3">
        <v>66</v>
      </c>
      <c r="J298" s="3">
        <f t="shared" si="12"/>
        <v>229</v>
      </c>
      <c r="K298" s="3" t="str">
        <f t="shared" si="13"/>
        <v>P</v>
      </c>
      <c r="L298" s="3" t="str">
        <f t="shared" si="14"/>
        <v>A</v>
      </c>
    </row>
    <row r="299" spans="1:12" ht="14.25" customHeight="1">
      <c r="A299" s="3">
        <v>298</v>
      </c>
      <c r="B299" s="3" t="s">
        <v>4008</v>
      </c>
      <c r="C299" s="3" t="s">
        <v>1097</v>
      </c>
      <c r="D299" s="3">
        <v>9876544307</v>
      </c>
      <c r="E299" s="3" t="s">
        <v>4420</v>
      </c>
      <c r="F299" s="3" t="str" cm="1">
        <f t="array" ref="F299">IF(E299="","",_xlfn.XLOOKUP(E299,{"FIRST","SECOND","THIRD","FOURTH"},{"SEM-1","SEM-2","SEM-3","SEM-4"},""))</f>
        <v>SEM-3</v>
      </c>
      <c r="G299" s="3">
        <v>27</v>
      </c>
      <c r="H299" s="3">
        <v>100</v>
      </c>
      <c r="I299" s="3">
        <v>57</v>
      </c>
      <c r="J299" s="3">
        <f t="shared" si="12"/>
        <v>184</v>
      </c>
      <c r="K299" s="3" t="str">
        <f t="shared" si="13"/>
        <v>P</v>
      </c>
      <c r="L299" s="3" t="str">
        <f t="shared" si="14"/>
        <v>B</v>
      </c>
    </row>
    <row r="300" spans="1:12" ht="14.25" customHeight="1">
      <c r="A300" s="3">
        <v>299</v>
      </c>
      <c r="B300" s="3" t="s">
        <v>3996</v>
      </c>
      <c r="C300" s="3" t="s">
        <v>1085</v>
      </c>
      <c r="D300" s="3">
        <v>9876544295</v>
      </c>
      <c r="E300" s="3" t="s">
        <v>4418</v>
      </c>
      <c r="F300" s="3" t="str" cm="1">
        <f t="array" ref="F300">IF(E300="","",_xlfn.XLOOKUP(E300,{"FIRST","SECOND","THIRD","FOURTH"},{"SEM-1","SEM-2","SEM-3","SEM-4"},""))</f>
        <v>SEM-1</v>
      </c>
      <c r="G300" s="3">
        <v>63</v>
      </c>
      <c r="H300" s="3">
        <v>41</v>
      </c>
      <c r="I300" s="3">
        <v>84</v>
      </c>
      <c r="J300" s="3">
        <f t="shared" si="12"/>
        <v>188</v>
      </c>
      <c r="K300" s="3" t="str">
        <f t="shared" si="13"/>
        <v>P</v>
      </c>
      <c r="L300" s="3" t="str">
        <f t="shared" si="14"/>
        <v>B</v>
      </c>
    </row>
    <row r="301" spans="1:12" ht="14.25" customHeight="1">
      <c r="A301" s="3">
        <v>300</v>
      </c>
      <c r="B301" s="3" t="s">
        <v>3053</v>
      </c>
      <c r="C301" s="3" t="s">
        <v>151</v>
      </c>
      <c r="D301" s="3">
        <v>9876543352</v>
      </c>
      <c r="E301" s="3" t="s">
        <v>4418</v>
      </c>
      <c r="F301" s="3" t="str" cm="1">
        <f t="array" ref="F301">IF(E301="","",_xlfn.XLOOKUP(E301,{"FIRST","SECOND","THIRD","FOURTH"},{"SEM-1","SEM-2","SEM-3","SEM-4"},""))</f>
        <v>SEM-1</v>
      </c>
      <c r="G301" s="3">
        <v>63</v>
      </c>
      <c r="H301" s="3">
        <v>85</v>
      </c>
      <c r="I301" s="3">
        <v>30</v>
      </c>
      <c r="J301" s="3">
        <f t="shared" si="12"/>
        <v>178</v>
      </c>
      <c r="K301" s="3" t="str">
        <f t="shared" si="13"/>
        <v>P</v>
      </c>
      <c r="L301" s="3" t="str">
        <f t="shared" si="14"/>
        <v>B</v>
      </c>
    </row>
    <row r="302" spans="1:12" ht="14.25" customHeight="1">
      <c r="A302" s="3">
        <v>301</v>
      </c>
      <c r="B302" s="3" t="s">
        <v>4354</v>
      </c>
      <c r="C302" s="3" t="s">
        <v>1433</v>
      </c>
      <c r="D302" s="3">
        <v>9876544653</v>
      </c>
      <c r="E302" s="3" t="s">
        <v>4418</v>
      </c>
      <c r="F302" s="3" t="str" cm="1">
        <f t="array" ref="F302">IF(E302="","",_xlfn.XLOOKUP(E302,{"FIRST","SECOND","THIRD","FOURTH"},{"SEM-1","SEM-2","SEM-3","SEM-4"},""))</f>
        <v>SEM-1</v>
      </c>
      <c r="G302" s="3">
        <v>46</v>
      </c>
      <c r="H302" s="3">
        <v>18</v>
      </c>
      <c r="I302" s="3">
        <v>29</v>
      </c>
      <c r="J302" s="3">
        <f t="shared" si="12"/>
        <v>93</v>
      </c>
      <c r="K302" s="3" t="str">
        <f t="shared" si="13"/>
        <v>F</v>
      </c>
      <c r="L302" s="3" t="str">
        <f t="shared" si="14"/>
        <v>FAIL</v>
      </c>
    </row>
    <row r="303" spans="1:12" ht="14.25" customHeight="1">
      <c r="A303" s="3">
        <v>302</v>
      </c>
      <c r="B303" s="3" t="s">
        <v>3576</v>
      </c>
      <c r="C303" s="3" t="s">
        <v>670</v>
      </c>
      <c r="D303" s="3">
        <v>9876543875</v>
      </c>
      <c r="E303" s="3" t="s">
        <v>4419</v>
      </c>
      <c r="F303" s="3" t="str" cm="1">
        <f t="array" ref="F303">IF(E303="","",_xlfn.XLOOKUP(E303,{"FIRST","SECOND","THIRD","FOURTH"},{"SEM-1","SEM-2","SEM-3","SEM-4"},""))</f>
        <v>SEM-2</v>
      </c>
      <c r="G303" s="3">
        <v>53</v>
      </c>
      <c r="H303" s="3">
        <v>34</v>
      </c>
      <c r="I303" s="3">
        <v>67</v>
      </c>
      <c r="J303" s="3">
        <f t="shared" si="12"/>
        <v>154</v>
      </c>
      <c r="K303" s="3" t="str">
        <f t="shared" si="13"/>
        <v>P</v>
      </c>
      <c r="L303" s="3" t="str">
        <f t="shared" si="14"/>
        <v>B</v>
      </c>
    </row>
    <row r="304" spans="1:12" ht="14.25" customHeight="1">
      <c r="A304" s="3">
        <v>303</v>
      </c>
      <c r="B304" s="3" t="s">
        <v>3775</v>
      </c>
      <c r="C304" s="3" t="s">
        <v>867</v>
      </c>
      <c r="D304" s="3">
        <v>9876544074</v>
      </c>
      <c r="E304" s="3" t="s">
        <v>4418</v>
      </c>
      <c r="F304" s="3" t="str" cm="1">
        <f t="array" ref="F304">IF(E304="","",_xlfn.XLOOKUP(E304,{"FIRST","SECOND","THIRD","FOURTH"},{"SEM-1","SEM-2","SEM-3","SEM-4"},""))</f>
        <v>SEM-1</v>
      </c>
      <c r="G304" s="3">
        <v>54</v>
      </c>
      <c r="H304" s="3">
        <v>31</v>
      </c>
      <c r="I304" s="3">
        <v>97</v>
      </c>
      <c r="J304" s="3">
        <f t="shared" si="12"/>
        <v>182</v>
      </c>
      <c r="K304" s="3" t="str">
        <f t="shared" si="13"/>
        <v>P</v>
      </c>
      <c r="L304" s="3" t="str">
        <f t="shared" si="14"/>
        <v>B</v>
      </c>
    </row>
    <row r="305" spans="1:12" ht="14.25" customHeight="1">
      <c r="A305" s="3">
        <v>304</v>
      </c>
      <c r="B305" s="3" t="s">
        <v>3599</v>
      </c>
      <c r="C305" s="3" t="s">
        <v>693</v>
      </c>
      <c r="D305" s="3">
        <v>9876543898</v>
      </c>
      <c r="E305" s="3" t="s">
        <v>4420</v>
      </c>
      <c r="F305" s="3" t="str" cm="1">
        <f t="array" ref="F305">IF(E305="","",_xlfn.XLOOKUP(E305,{"FIRST","SECOND","THIRD","FOURTH"},{"SEM-1","SEM-2","SEM-3","SEM-4"},""))</f>
        <v>SEM-3</v>
      </c>
      <c r="G305" s="3">
        <v>19</v>
      </c>
      <c r="H305" s="3">
        <v>17</v>
      </c>
      <c r="I305" s="3">
        <v>82</v>
      </c>
      <c r="J305" s="3">
        <f t="shared" si="12"/>
        <v>118</v>
      </c>
      <c r="K305" s="3" t="str">
        <f t="shared" si="13"/>
        <v>P</v>
      </c>
      <c r="L305" s="3" t="str">
        <f t="shared" si="14"/>
        <v>FAIL</v>
      </c>
    </row>
    <row r="306" spans="1:12" ht="14.25" customHeight="1">
      <c r="A306" s="3">
        <v>305</v>
      </c>
      <c r="B306" s="3" t="s">
        <v>2989</v>
      </c>
      <c r="C306" s="3" t="s">
        <v>87</v>
      </c>
      <c r="D306" s="3">
        <v>9876543288</v>
      </c>
      <c r="E306" s="3" t="s">
        <v>4420</v>
      </c>
      <c r="F306" s="3" t="str" cm="1">
        <f t="array" ref="F306">IF(E306="","",_xlfn.XLOOKUP(E306,{"FIRST","SECOND","THIRD","FOURTH"},{"SEM-1","SEM-2","SEM-3","SEM-4"},""))</f>
        <v>SEM-3</v>
      </c>
      <c r="G306" s="3">
        <v>82</v>
      </c>
      <c r="H306" s="3">
        <v>85</v>
      </c>
      <c r="I306" s="3">
        <v>38</v>
      </c>
      <c r="J306" s="3">
        <f t="shared" si="12"/>
        <v>205</v>
      </c>
      <c r="K306" s="3" t="str">
        <f t="shared" si="13"/>
        <v>P</v>
      </c>
      <c r="L306" s="3" t="str">
        <f t="shared" si="14"/>
        <v>A</v>
      </c>
    </row>
    <row r="307" spans="1:12" ht="14.25" customHeight="1">
      <c r="A307" s="3">
        <v>306</v>
      </c>
      <c r="B307" s="3" t="s">
        <v>4056</v>
      </c>
      <c r="C307" s="3" t="s">
        <v>1144</v>
      </c>
      <c r="D307" s="3">
        <v>9876544355</v>
      </c>
      <c r="E307" s="3" t="s">
        <v>4418</v>
      </c>
      <c r="F307" s="3" t="str" cm="1">
        <f t="array" ref="F307">IF(E307="","",_xlfn.XLOOKUP(E307,{"FIRST","SECOND","THIRD","FOURTH"},{"SEM-1","SEM-2","SEM-3","SEM-4"},""))</f>
        <v>SEM-1</v>
      </c>
      <c r="G307" s="3">
        <v>97</v>
      </c>
      <c r="H307" s="3">
        <v>90</v>
      </c>
      <c r="I307" s="3">
        <v>77</v>
      </c>
      <c r="J307" s="3">
        <f t="shared" si="12"/>
        <v>264</v>
      </c>
      <c r="K307" s="3" t="str">
        <f t="shared" si="13"/>
        <v>P</v>
      </c>
      <c r="L307" s="3" t="str">
        <f t="shared" si="14"/>
        <v>A</v>
      </c>
    </row>
    <row r="308" spans="1:12" ht="14.25" customHeight="1">
      <c r="A308" s="3">
        <v>307</v>
      </c>
      <c r="B308" s="3" t="s">
        <v>3593</v>
      </c>
      <c r="C308" s="3" t="s">
        <v>687</v>
      </c>
      <c r="D308" s="3">
        <v>9876543892</v>
      </c>
      <c r="E308" s="3" t="s">
        <v>4419</v>
      </c>
      <c r="F308" s="3" t="str" cm="1">
        <f t="array" ref="F308">IF(E308="","",_xlfn.XLOOKUP(E308,{"FIRST","SECOND","THIRD","FOURTH"},{"SEM-1","SEM-2","SEM-3","SEM-4"},""))</f>
        <v>SEM-2</v>
      </c>
      <c r="G308" s="3">
        <v>25</v>
      </c>
      <c r="H308" s="3">
        <v>88</v>
      </c>
      <c r="I308" s="3">
        <v>68</v>
      </c>
      <c r="J308" s="3">
        <f t="shared" si="12"/>
        <v>181</v>
      </c>
      <c r="K308" s="3" t="str">
        <f t="shared" si="13"/>
        <v>P</v>
      </c>
      <c r="L308" s="3" t="str">
        <f t="shared" si="14"/>
        <v>B</v>
      </c>
    </row>
    <row r="309" spans="1:12" ht="14.25" customHeight="1">
      <c r="A309" s="3">
        <v>308</v>
      </c>
      <c r="B309" s="3" t="s">
        <v>3483</v>
      </c>
      <c r="C309" s="3" t="s">
        <v>579</v>
      </c>
      <c r="D309" s="3">
        <v>9876543782</v>
      </c>
      <c r="E309" s="3" t="s">
        <v>4420</v>
      </c>
      <c r="F309" s="3" t="str" cm="1">
        <f t="array" ref="F309">IF(E309="","",_xlfn.XLOOKUP(E309,{"FIRST","SECOND","THIRD","FOURTH"},{"SEM-1","SEM-2","SEM-3","SEM-4"},""))</f>
        <v>SEM-3</v>
      </c>
      <c r="G309" s="3">
        <v>45</v>
      </c>
      <c r="H309" s="3">
        <v>100</v>
      </c>
      <c r="I309" s="3">
        <v>97</v>
      </c>
      <c r="J309" s="3">
        <f t="shared" si="12"/>
        <v>242</v>
      </c>
      <c r="K309" s="3" t="str">
        <f t="shared" si="13"/>
        <v>P</v>
      </c>
      <c r="L309" s="3" t="str">
        <f t="shared" si="14"/>
        <v>A</v>
      </c>
    </row>
    <row r="310" spans="1:12" ht="14.25" customHeight="1">
      <c r="A310" s="3">
        <v>309</v>
      </c>
      <c r="B310" s="3" t="s">
        <v>2915</v>
      </c>
      <c r="C310" s="3" t="s">
        <v>13</v>
      </c>
      <c r="D310" s="3">
        <v>9876543214</v>
      </c>
      <c r="E310" s="3" t="s">
        <v>4418</v>
      </c>
      <c r="F310" s="3" t="str" cm="1">
        <f t="array" ref="F310">IF(E310="","",_xlfn.XLOOKUP(E310,{"FIRST","SECOND","THIRD","FOURTH"},{"SEM-1","SEM-2","SEM-3","SEM-4"},""))</f>
        <v>SEM-1</v>
      </c>
      <c r="G310" s="3">
        <v>24</v>
      </c>
      <c r="H310" s="3">
        <v>40</v>
      </c>
      <c r="I310" s="3">
        <v>1</v>
      </c>
      <c r="J310" s="3">
        <f t="shared" si="12"/>
        <v>65</v>
      </c>
      <c r="K310" s="3" t="str">
        <f t="shared" si="13"/>
        <v>F</v>
      </c>
      <c r="L310" s="3" t="str">
        <f t="shared" si="14"/>
        <v>FAIL</v>
      </c>
    </row>
    <row r="311" spans="1:12" ht="14.25" customHeight="1">
      <c r="A311" s="3">
        <v>310</v>
      </c>
      <c r="B311" s="3" t="s">
        <v>4066</v>
      </c>
      <c r="C311" s="3" t="s">
        <v>1152</v>
      </c>
      <c r="D311" s="3">
        <v>9876544365</v>
      </c>
      <c r="E311" s="3" t="s">
        <v>4419</v>
      </c>
      <c r="F311" s="3" t="str" cm="1">
        <f t="array" ref="F311">IF(E311="","",_xlfn.XLOOKUP(E311,{"FIRST","SECOND","THIRD","FOURTH"},{"SEM-1","SEM-2","SEM-3","SEM-4"},""))</f>
        <v>SEM-2</v>
      </c>
      <c r="G311" s="3">
        <v>48</v>
      </c>
      <c r="H311" s="3">
        <v>1</v>
      </c>
      <c r="I311" s="3">
        <v>47</v>
      </c>
      <c r="J311" s="3">
        <f t="shared" si="12"/>
        <v>96</v>
      </c>
      <c r="K311" s="3" t="str">
        <f t="shared" si="13"/>
        <v>F</v>
      </c>
      <c r="L311" s="3" t="str">
        <f t="shared" si="14"/>
        <v>FAIL</v>
      </c>
    </row>
    <row r="312" spans="1:12" ht="14.25" customHeight="1">
      <c r="A312" s="3">
        <v>311</v>
      </c>
      <c r="B312" s="3" t="s">
        <v>3790</v>
      </c>
      <c r="C312" s="3" t="s">
        <v>882</v>
      </c>
      <c r="D312" s="3">
        <v>9876544089</v>
      </c>
      <c r="E312" s="3" t="s">
        <v>4420</v>
      </c>
      <c r="F312" s="3" t="str" cm="1">
        <f t="array" ref="F312">IF(E312="","",_xlfn.XLOOKUP(E312,{"FIRST","SECOND","THIRD","FOURTH"},{"SEM-1","SEM-2","SEM-3","SEM-4"},""))</f>
        <v>SEM-3</v>
      </c>
      <c r="G312" s="3">
        <v>39</v>
      </c>
      <c r="H312" s="3">
        <v>44</v>
      </c>
      <c r="I312" s="3">
        <v>12</v>
      </c>
      <c r="J312" s="3">
        <f t="shared" si="12"/>
        <v>95</v>
      </c>
      <c r="K312" s="3" t="str">
        <f t="shared" si="13"/>
        <v>F</v>
      </c>
      <c r="L312" s="3" t="str">
        <f t="shared" si="14"/>
        <v>FAIL</v>
      </c>
    </row>
    <row r="313" spans="1:12" ht="14.25" customHeight="1">
      <c r="A313" s="3">
        <v>312</v>
      </c>
      <c r="B313" s="3" t="s">
        <v>3350</v>
      </c>
      <c r="C313" s="3" t="s">
        <v>446</v>
      </c>
      <c r="D313" s="3">
        <v>9876543649</v>
      </c>
      <c r="E313" s="3" t="s">
        <v>4419</v>
      </c>
      <c r="F313" s="3" t="str" cm="1">
        <f t="array" ref="F313">IF(E313="","",_xlfn.XLOOKUP(E313,{"FIRST","SECOND","THIRD","FOURTH"},{"SEM-1","SEM-2","SEM-3","SEM-4"},""))</f>
        <v>SEM-2</v>
      </c>
      <c r="G313" s="3">
        <v>19</v>
      </c>
      <c r="H313" s="3">
        <v>42</v>
      </c>
      <c r="I313" s="3">
        <v>93</v>
      </c>
      <c r="J313" s="3">
        <f t="shared" si="12"/>
        <v>154</v>
      </c>
      <c r="K313" s="3" t="str">
        <f t="shared" si="13"/>
        <v>P</v>
      </c>
      <c r="L313" s="3" t="str">
        <f t="shared" si="14"/>
        <v>B</v>
      </c>
    </row>
    <row r="314" spans="1:12" ht="14.25" customHeight="1">
      <c r="A314" s="3">
        <v>313</v>
      </c>
      <c r="B314" s="3" t="s">
        <v>3054</v>
      </c>
      <c r="C314" s="3" t="s">
        <v>152</v>
      </c>
      <c r="D314" s="3">
        <v>9876543353</v>
      </c>
      <c r="E314" s="3" t="s">
        <v>4420</v>
      </c>
      <c r="F314" s="3" t="str" cm="1">
        <f t="array" ref="F314">IF(E314="","",_xlfn.XLOOKUP(E314,{"FIRST","SECOND","THIRD","FOURTH"},{"SEM-1","SEM-2","SEM-3","SEM-4"},""))</f>
        <v>SEM-3</v>
      </c>
      <c r="G314" s="3">
        <v>55</v>
      </c>
      <c r="H314" s="3">
        <v>28</v>
      </c>
      <c r="I314" s="3">
        <v>36</v>
      </c>
      <c r="J314" s="3">
        <f t="shared" si="12"/>
        <v>119</v>
      </c>
      <c r="K314" s="3" t="str">
        <f t="shared" si="13"/>
        <v>F</v>
      </c>
      <c r="L314" s="3" t="str">
        <f t="shared" si="14"/>
        <v>FAIL</v>
      </c>
    </row>
    <row r="315" spans="1:12" ht="14.25" customHeight="1">
      <c r="A315" s="3">
        <v>314</v>
      </c>
      <c r="B315" s="3" t="s">
        <v>3968</v>
      </c>
      <c r="C315" s="3" t="s">
        <v>1058</v>
      </c>
      <c r="D315" s="3">
        <v>9876544267</v>
      </c>
      <c r="E315" s="3" t="s">
        <v>4419</v>
      </c>
      <c r="F315" s="3" t="str" cm="1">
        <f t="array" ref="F315">IF(E315="","",_xlfn.XLOOKUP(E315,{"FIRST","SECOND","THIRD","FOURTH"},{"SEM-1","SEM-2","SEM-3","SEM-4"},""))</f>
        <v>SEM-2</v>
      </c>
      <c r="G315" s="3">
        <v>7</v>
      </c>
      <c r="H315" s="3">
        <v>86</v>
      </c>
      <c r="I315" s="3">
        <v>3</v>
      </c>
      <c r="J315" s="3">
        <f t="shared" si="12"/>
        <v>96</v>
      </c>
      <c r="K315" s="3" t="str">
        <f t="shared" si="13"/>
        <v>P</v>
      </c>
      <c r="L315" s="3" t="str">
        <f t="shared" si="14"/>
        <v>FAIL</v>
      </c>
    </row>
    <row r="316" spans="1:12" ht="14.25" customHeight="1">
      <c r="A316" s="3">
        <v>315</v>
      </c>
      <c r="B316" s="3" t="s">
        <v>3917</v>
      </c>
      <c r="C316" s="3" t="s">
        <v>1007</v>
      </c>
      <c r="D316" s="3">
        <v>9876544216</v>
      </c>
      <c r="E316" s="3" t="s">
        <v>4419</v>
      </c>
      <c r="F316" s="3" t="str" cm="1">
        <f t="array" ref="F316">IF(E316="","",_xlfn.XLOOKUP(E316,{"FIRST","SECOND","THIRD","FOURTH"},{"SEM-1","SEM-2","SEM-3","SEM-4"},""))</f>
        <v>SEM-2</v>
      </c>
      <c r="G316" s="3">
        <v>23</v>
      </c>
      <c r="H316" s="3">
        <v>32</v>
      </c>
      <c r="I316" s="3">
        <v>8</v>
      </c>
      <c r="J316" s="3">
        <f t="shared" si="12"/>
        <v>63</v>
      </c>
      <c r="K316" s="3" t="str">
        <f t="shared" si="13"/>
        <v>F</v>
      </c>
      <c r="L316" s="3" t="str">
        <f t="shared" si="14"/>
        <v>FAIL</v>
      </c>
    </row>
    <row r="317" spans="1:12" ht="14.25" customHeight="1">
      <c r="A317" s="3">
        <v>316</v>
      </c>
      <c r="B317" s="3" t="s">
        <v>3084</v>
      </c>
      <c r="C317" s="3" t="s">
        <v>182</v>
      </c>
      <c r="D317" s="3">
        <v>9876543383</v>
      </c>
      <c r="E317" s="3" t="s">
        <v>4419</v>
      </c>
      <c r="F317" s="3" t="str" cm="1">
        <f t="array" ref="F317">IF(E317="","",_xlfn.XLOOKUP(E317,{"FIRST","SECOND","THIRD","FOURTH"},{"SEM-1","SEM-2","SEM-3","SEM-4"},""))</f>
        <v>SEM-2</v>
      </c>
      <c r="G317" s="3">
        <v>90</v>
      </c>
      <c r="H317" s="3">
        <v>30</v>
      </c>
      <c r="I317" s="3">
        <v>75</v>
      </c>
      <c r="J317" s="3">
        <f t="shared" si="12"/>
        <v>195</v>
      </c>
      <c r="K317" s="3" t="str">
        <f t="shared" si="13"/>
        <v>P</v>
      </c>
      <c r="L317" s="3" t="str">
        <f t="shared" si="14"/>
        <v>A</v>
      </c>
    </row>
    <row r="318" spans="1:12" ht="14.25" customHeight="1">
      <c r="A318" s="3">
        <v>317</v>
      </c>
      <c r="B318" s="3" t="s">
        <v>3067</v>
      </c>
      <c r="C318" s="3" t="s">
        <v>165</v>
      </c>
      <c r="D318" s="3">
        <v>9876543366</v>
      </c>
      <c r="E318" s="3" t="s">
        <v>4419</v>
      </c>
      <c r="F318" s="3" t="str" cm="1">
        <f t="array" ref="F318">IF(E318="","",_xlfn.XLOOKUP(E318,{"FIRST","SECOND","THIRD","FOURTH"},{"SEM-1","SEM-2","SEM-3","SEM-4"},""))</f>
        <v>SEM-2</v>
      </c>
      <c r="G318" s="3">
        <v>37</v>
      </c>
      <c r="H318" s="3">
        <v>94</v>
      </c>
      <c r="I318" s="3">
        <v>56</v>
      </c>
      <c r="J318" s="3">
        <f t="shared" si="12"/>
        <v>187</v>
      </c>
      <c r="K318" s="3" t="str">
        <f t="shared" si="13"/>
        <v>P</v>
      </c>
      <c r="L318" s="3" t="str">
        <f t="shared" si="14"/>
        <v>B</v>
      </c>
    </row>
    <row r="319" spans="1:12" ht="14.25" customHeight="1">
      <c r="A319" s="3">
        <v>318</v>
      </c>
      <c r="B319" s="3" t="s">
        <v>3285</v>
      </c>
      <c r="C319" s="3" t="s">
        <v>382</v>
      </c>
      <c r="D319" s="3">
        <v>9876543584</v>
      </c>
      <c r="E319" s="3" t="s">
        <v>4420</v>
      </c>
      <c r="F319" s="3" t="str" cm="1">
        <f t="array" ref="F319">IF(E319="","",_xlfn.XLOOKUP(E319,{"FIRST","SECOND","THIRD","FOURTH"},{"SEM-1","SEM-2","SEM-3","SEM-4"},""))</f>
        <v>SEM-3</v>
      </c>
      <c r="G319" s="3">
        <v>87</v>
      </c>
      <c r="H319" s="3">
        <v>84</v>
      </c>
      <c r="I319" s="3">
        <v>35</v>
      </c>
      <c r="J319" s="3">
        <f t="shared" si="12"/>
        <v>206</v>
      </c>
      <c r="K319" s="3" t="str">
        <f t="shared" si="13"/>
        <v>P</v>
      </c>
      <c r="L319" s="3" t="str">
        <f t="shared" si="14"/>
        <v>A</v>
      </c>
    </row>
    <row r="320" spans="1:12" ht="14.25" customHeight="1">
      <c r="A320" s="3">
        <v>319</v>
      </c>
      <c r="B320" s="3" t="s">
        <v>3205</v>
      </c>
      <c r="C320" s="3" t="s">
        <v>303</v>
      </c>
      <c r="D320" s="3">
        <v>9876543504</v>
      </c>
      <c r="E320" s="3" t="s">
        <v>4418</v>
      </c>
      <c r="F320" s="3" t="str" cm="1">
        <f t="array" ref="F320">IF(E320="","",_xlfn.XLOOKUP(E320,{"FIRST","SECOND","THIRD","FOURTH"},{"SEM-1","SEM-2","SEM-3","SEM-4"},""))</f>
        <v>SEM-1</v>
      </c>
      <c r="G320" s="3">
        <v>18</v>
      </c>
      <c r="H320" s="3">
        <v>52</v>
      </c>
      <c r="I320" s="3">
        <v>81</v>
      </c>
      <c r="J320" s="3">
        <f t="shared" si="12"/>
        <v>151</v>
      </c>
      <c r="K320" s="3" t="str">
        <f t="shared" si="13"/>
        <v>P</v>
      </c>
      <c r="L320" s="3" t="str">
        <f t="shared" si="14"/>
        <v>B</v>
      </c>
    </row>
    <row r="321" spans="1:12" ht="14.25" customHeight="1">
      <c r="A321" s="3">
        <v>320</v>
      </c>
      <c r="B321" s="3" t="s">
        <v>3130</v>
      </c>
      <c r="C321" s="3" t="s">
        <v>228</v>
      </c>
      <c r="D321" s="3">
        <v>9876543429</v>
      </c>
      <c r="E321" s="3" t="s">
        <v>4420</v>
      </c>
      <c r="F321" s="3" t="str" cm="1">
        <f t="array" ref="F321">IF(E321="","",_xlfn.XLOOKUP(E321,{"FIRST","SECOND","THIRD","FOURTH"},{"SEM-1","SEM-2","SEM-3","SEM-4"},""))</f>
        <v>SEM-3</v>
      </c>
      <c r="G321" s="3">
        <v>93</v>
      </c>
      <c r="H321" s="3">
        <v>23</v>
      </c>
      <c r="I321" s="3">
        <v>8</v>
      </c>
      <c r="J321" s="3">
        <f t="shared" si="12"/>
        <v>124</v>
      </c>
      <c r="K321" s="3" t="str">
        <f t="shared" si="13"/>
        <v>P</v>
      </c>
      <c r="L321" s="3" t="str">
        <f t="shared" si="14"/>
        <v>C</v>
      </c>
    </row>
    <row r="322" spans="1:12" ht="14.25" customHeight="1">
      <c r="A322" s="3">
        <v>321</v>
      </c>
      <c r="B322" s="3" t="s">
        <v>3334</v>
      </c>
      <c r="C322" s="3" t="s">
        <v>430</v>
      </c>
      <c r="D322" s="3">
        <v>9876543633</v>
      </c>
      <c r="E322" s="3" t="s">
        <v>4419</v>
      </c>
      <c r="F322" s="3" t="str" cm="1">
        <f t="array" ref="F322">IF(E322="","",_xlfn.XLOOKUP(E322,{"FIRST","SECOND","THIRD","FOURTH"},{"SEM-1","SEM-2","SEM-3","SEM-4"},""))</f>
        <v>SEM-2</v>
      </c>
      <c r="G322" s="3">
        <v>54</v>
      </c>
      <c r="H322" s="3">
        <v>77</v>
      </c>
      <c r="I322" s="3">
        <v>71</v>
      </c>
      <c r="J322" s="3">
        <f t="shared" ref="J322:J385" si="15">SUM(G322:I322)</f>
        <v>202</v>
      </c>
      <c r="K322" s="3" t="str">
        <f t="shared" ref="K322:K385" si="16">IF(OR(G322&gt;=70,H322&gt;=70,I322&gt;=70,J322&gt;=120),"P","F")</f>
        <v>P</v>
      </c>
      <c r="L322" s="3" t="str">
        <f t="shared" ref="L322:L385" si="17">IF(J322&gt;=190,"A",IF(J322&gt;=150,"B",IF(J322&gt;=120,"C","FAIL")))</f>
        <v>A</v>
      </c>
    </row>
    <row r="323" spans="1:12" ht="14.25" customHeight="1">
      <c r="A323" s="3">
        <v>322</v>
      </c>
      <c r="B323" s="3" t="s">
        <v>3467</v>
      </c>
      <c r="C323" s="3" t="s">
        <v>563</v>
      </c>
      <c r="D323" s="3">
        <v>9876543766</v>
      </c>
      <c r="E323" s="3" t="s">
        <v>4420</v>
      </c>
      <c r="F323" s="3" t="str" cm="1">
        <f t="array" ref="F323">IF(E323="","",_xlfn.XLOOKUP(E323,{"FIRST","SECOND","THIRD","FOURTH"},{"SEM-1","SEM-2","SEM-3","SEM-4"},""))</f>
        <v>SEM-3</v>
      </c>
      <c r="G323" s="3">
        <v>30</v>
      </c>
      <c r="H323" s="3">
        <v>15</v>
      </c>
      <c r="I323" s="3">
        <v>94</v>
      </c>
      <c r="J323" s="3">
        <f t="shared" si="15"/>
        <v>139</v>
      </c>
      <c r="K323" s="3" t="str">
        <f t="shared" si="16"/>
        <v>P</v>
      </c>
      <c r="L323" s="3" t="str">
        <f t="shared" si="17"/>
        <v>C</v>
      </c>
    </row>
    <row r="324" spans="1:12" ht="14.25" customHeight="1">
      <c r="A324" s="3">
        <v>323</v>
      </c>
      <c r="B324" s="3" t="s">
        <v>4057</v>
      </c>
      <c r="C324" s="3" t="s">
        <v>1145</v>
      </c>
      <c r="D324" s="3">
        <v>9876544356</v>
      </c>
      <c r="E324" s="3" t="s">
        <v>4418</v>
      </c>
      <c r="F324" s="3" t="str" cm="1">
        <f t="array" ref="F324">IF(E324="","",_xlfn.XLOOKUP(E324,{"FIRST","SECOND","THIRD","FOURTH"},{"SEM-1","SEM-2","SEM-3","SEM-4"},""))</f>
        <v>SEM-1</v>
      </c>
      <c r="G324" s="3">
        <v>74</v>
      </c>
      <c r="H324" s="3">
        <v>51</v>
      </c>
      <c r="I324" s="3">
        <v>81</v>
      </c>
      <c r="J324" s="3">
        <f t="shared" si="15"/>
        <v>206</v>
      </c>
      <c r="K324" s="3" t="str">
        <f t="shared" si="16"/>
        <v>P</v>
      </c>
      <c r="L324" s="3" t="str">
        <f t="shared" si="17"/>
        <v>A</v>
      </c>
    </row>
    <row r="325" spans="1:12" ht="14.25" customHeight="1">
      <c r="A325" s="3">
        <v>324</v>
      </c>
      <c r="B325" s="3" t="s">
        <v>3830</v>
      </c>
      <c r="C325" s="3" t="s">
        <v>922</v>
      </c>
      <c r="D325" s="3">
        <v>9876544129</v>
      </c>
      <c r="E325" s="3" t="s">
        <v>4418</v>
      </c>
      <c r="F325" s="3" t="str" cm="1">
        <f t="array" ref="F325">IF(E325="","",_xlfn.XLOOKUP(E325,{"FIRST","SECOND","THIRD","FOURTH"},{"SEM-1","SEM-2","SEM-3","SEM-4"},""))</f>
        <v>SEM-1</v>
      </c>
      <c r="G325" s="3">
        <v>98</v>
      </c>
      <c r="H325" s="3">
        <v>95</v>
      </c>
      <c r="I325" s="3">
        <v>69</v>
      </c>
      <c r="J325" s="3">
        <f t="shared" si="15"/>
        <v>262</v>
      </c>
      <c r="K325" s="3" t="str">
        <f t="shared" si="16"/>
        <v>P</v>
      </c>
      <c r="L325" s="3" t="str">
        <f t="shared" si="17"/>
        <v>A</v>
      </c>
    </row>
    <row r="326" spans="1:12" ht="14.25" customHeight="1">
      <c r="A326" s="3">
        <v>325</v>
      </c>
      <c r="B326" s="3" t="s">
        <v>3072</v>
      </c>
      <c r="C326" s="3" t="s">
        <v>170</v>
      </c>
      <c r="D326" s="3">
        <v>9876543371</v>
      </c>
      <c r="E326" s="3" t="s">
        <v>4418</v>
      </c>
      <c r="F326" s="3" t="str" cm="1">
        <f t="array" ref="F326">IF(E326="","",_xlfn.XLOOKUP(E326,{"FIRST","SECOND","THIRD","FOURTH"},{"SEM-1","SEM-2","SEM-3","SEM-4"},""))</f>
        <v>SEM-1</v>
      </c>
      <c r="G326" s="3">
        <v>90</v>
      </c>
      <c r="H326" s="3">
        <v>20</v>
      </c>
      <c r="I326" s="3">
        <v>72</v>
      </c>
      <c r="J326" s="3">
        <f t="shared" si="15"/>
        <v>182</v>
      </c>
      <c r="K326" s="3" t="str">
        <f t="shared" si="16"/>
        <v>P</v>
      </c>
      <c r="L326" s="3" t="str">
        <f t="shared" si="17"/>
        <v>B</v>
      </c>
    </row>
    <row r="327" spans="1:12" ht="14.25" customHeight="1">
      <c r="A327" s="3">
        <v>326</v>
      </c>
      <c r="B327" s="3" t="s">
        <v>3456</v>
      </c>
      <c r="C327" s="3" t="s">
        <v>552</v>
      </c>
      <c r="D327" s="3">
        <v>9876543755</v>
      </c>
      <c r="E327" s="3" t="s">
        <v>4420</v>
      </c>
      <c r="F327" s="3" t="str" cm="1">
        <f t="array" ref="F327">IF(E327="","",_xlfn.XLOOKUP(E327,{"FIRST","SECOND","THIRD","FOURTH"},{"SEM-1","SEM-2","SEM-3","SEM-4"},""))</f>
        <v>SEM-3</v>
      </c>
      <c r="G327" s="3">
        <v>92</v>
      </c>
      <c r="H327" s="3">
        <v>72</v>
      </c>
      <c r="I327" s="3">
        <v>76</v>
      </c>
      <c r="J327" s="3">
        <f t="shared" si="15"/>
        <v>240</v>
      </c>
      <c r="K327" s="3" t="str">
        <f t="shared" si="16"/>
        <v>P</v>
      </c>
      <c r="L327" s="3" t="str">
        <f t="shared" si="17"/>
        <v>A</v>
      </c>
    </row>
    <row r="328" spans="1:12" ht="14.25" customHeight="1">
      <c r="A328" s="3">
        <v>327</v>
      </c>
      <c r="B328" s="3" t="s">
        <v>3423</v>
      </c>
      <c r="C328" s="3" t="s">
        <v>519</v>
      </c>
      <c r="D328" s="3">
        <v>9876543722</v>
      </c>
      <c r="E328" s="3" t="s">
        <v>4418</v>
      </c>
      <c r="F328" s="3" t="str" cm="1">
        <f t="array" ref="F328">IF(E328="","",_xlfn.XLOOKUP(E328,{"FIRST","SECOND","THIRD","FOURTH"},{"SEM-1","SEM-2","SEM-3","SEM-4"},""))</f>
        <v>SEM-1</v>
      </c>
      <c r="G328" s="3">
        <v>19</v>
      </c>
      <c r="H328" s="3">
        <v>76</v>
      </c>
      <c r="I328" s="3">
        <v>46</v>
      </c>
      <c r="J328" s="3">
        <f t="shared" si="15"/>
        <v>141</v>
      </c>
      <c r="K328" s="3" t="str">
        <f t="shared" si="16"/>
        <v>P</v>
      </c>
      <c r="L328" s="3" t="str">
        <f t="shared" si="17"/>
        <v>C</v>
      </c>
    </row>
    <row r="329" spans="1:12" ht="14.25" customHeight="1">
      <c r="A329" s="3">
        <v>328</v>
      </c>
      <c r="B329" s="3" t="s">
        <v>3024</v>
      </c>
      <c r="C329" s="3" t="s">
        <v>122</v>
      </c>
      <c r="D329" s="3">
        <v>9876543323</v>
      </c>
      <c r="E329" s="3" t="s">
        <v>4420</v>
      </c>
      <c r="F329" s="3" t="str" cm="1">
        <f t="array" ref="F329">IF(E329="","",_xlfn.XLOOKUP(E329,{"FIRST","SECOND","THIRD","FOURTH"},{"SEM-1","SEM-2","SEM-3","SEM-4"},""))</f>
        <v>SEM-3</v>
      </c>
      <c r="G329" s="3">
        <v>1</v>
      </c>
      <c r="H329" s="3">
        <v>77</v>
      </c>
      <c r="I329" s="3">
        <v>89</v>
      </c>
      <c r="J329" s="3">
        <f t="shared" si="15"/>
        <v>167</v>
      </c>
      <c r="K329" s="3" t="str">
        <f t="shared" si="16"/>
        <v>P</v>
      </c>
      <c r="L329" s="3" t="str">
        <f t="shared" si="17"/>
        <v>B</v>
      </c>
    </row>
    <row r="330" spans="1:12" ht="14.25" customHeight="1">
      <c r="A330" s="3">
        <v>329</v>
      </c>
      <c r="B330" s="3" t="s">
        <v>2920</v>
      </c>
      <c r="C330" s="3" t="s">
        <v>18</v>
      </c>
      <c r="D330" s="3">
        <v>9876543219</v>
      </c>
      <c r="E330" s="3" t="s">
        <v>4419</v>
      </c>
      <c r="F330" s="3" t="str" cm="1">
        <f t="array" ref="F330">IF(E330="","",_xlfn.XLOOKUP(E330,{"FIRST","SECOND","THIRD","FOURTH"},{"SEM-1","SEM-2","SEM-3","SEM-4"},""))</f>
        <v>SEM-2</v>
      </c>
      <c r="G330" s="3">
        <v>87</v>
      </c>
      <c r="H330" s="3">
        <v>38</v>
      </c>
      <c r="I330" s="3">
        <v>2</v>
      </c>
      <c r="J330" s="3">
        <f t="shared" si="15"/>
        <v>127</v>
      </c>
      <c r="K330" s="3" t="str">
        <f t="shared" si="16"/>
        <v>P</v>
      </c>
      <c r="L330" s="3" t="str">
        <f t="shared" si="17"/>
        <v>C</v>
      </c>
    </row>
    <row r="331" spans="1:12" ht="14.25" customHeight="1">
      <c r="A331" s="3">
        <v>330</v>
      </c>
      <c r="B331" s="3" t="s">
        <v>4050</v>
      </c>
      <c r="C331" s="3" t="s">
        <v>1138</v>
      </c>
      <c r="D331" s="3">
        <v>9876544349</v>
      </c>
      <c r="E331" s="3" t="s">
        <v>4420</v>
      </c>
      <c r="F331" s="3" t="str" cm="1">
        <f t="array" ref="F331">IF(E331="","",_xlfn.XLOOKUP(E331,{"FIRST","SECOND","THIRD","FOURTH"},{"SEM-1","SEM-2","SEM-3","SEM-4"},""))</f>
        <v>SEM-3</v>
      </c>
      <c r="G331" s="3">
        <v>18</v>
      </c>
      <c r="H331" s="3">
        <v>35</v>
      </c>
      <c r="I331" s="3">
        <v>47</v>
      </c>
      <c r="J331" s="3">
        <f t="shared" si="15"/>
        <v>100</v>
      </c>
      <c r="K331" s="3" t="str">
        <f t="shared" si="16"/>
        <v>F</v>
      </c>
      <c r="L331" s="3" t="str">
        <f t="shared" si="17"/>
        <v>FAIL</v>
      </c>
    </row>
    <row r="332" spans="1:12" ht="14.25" customHeight="1">
      <c r="A332" s="3">
        <v>331</v>
      </c>
      <c r="B332" s="3" t="s">
        <v>3992</v>
      </c>
      <c r="C332" s="3" t="s">
        <v>1082</v>
      </c>
      <c r="D332" s="3">
        <v>9876544291</v>
      </c>
      <c r="E332" s="3" t="s">
        <v>4418</v>
      </c>
      <c r="F332" s="3" t="str" cm="1">
        <f t="array" ref="F332">IF(E332="","",_xlfn.XLOOKUP(E332,{"FIRST","SECOND","THIRD","FOURTH"},{"SEM-1","SEM-2","SEM-3","SEM-4"},""))</f>
        <v>SEM-1</v>
      </c>
      <c r="G332" s="3">
        <v>49</v>
      </c>
      <c r="H332" s="3">
        <v>51</v>
      </c>
      <c r="I332" s="3">
        <v>40</v>
      </c>
      <c r="J332" s="3">
        <f t="shared" si="15"/>
        <v>140</v>
      </c>
      <c r="K332" s="3" t="str">
        <f t="shared" si="16"/>
        <v>P</v>
      </c>
      <c r="L332" s="3" t="str">
        <f t="shared" si="17"/>
        <v>C</v>
      </c>
    </row>
    <row r="333" spans="1:12" ht="14.25" customHeight="1">
      <c r="A333" s="3">
        <v>332</v>
      </c>
      <c r="B333" s="3" t="s">
        <v>3733</v>
      </c>
      <c r="C333" s="3" t="s">
        <v>826</v>
      </c>
      <c r="D333" s="3">
        <v>9876544032</v>
      </c>
      <c r="E333" s="3" t="s">
        <v>4418</v>
      </c>
      <c r="F333" s="3" t="str" cm="1">
        <f t="array" ref="F333">IF(E333="","",_xlfn.XLOOKUP(E333,{"FIRST","SECOND","THIRD","FOURTH"},{"SEM-1","SEM-2","SEM-3","SEM-4"},""))</f>
        <v>SEM-1</v>
      </c>
      <c r="G333" s="3">
        <v>24</v>
      </c>
      <c r="H333" s="3">
        <v>95</v>
      </c>
      <c r="I333" s="3">
        <v>13</v>
      </c>
      <c r="J333" s="3">
        <f t="shared" si="15"/>
        <v>132</v>
      </c>
      <c r="K333" s="3" t="str">
        <f t="shared" si="16"/>
        <v>P</v>
      </c>
      <c r="L333" s="3" t="str">
        <f t="shared" si="17"/>
        <v>C</v>
      </c>
    </row>
    <row r="334" spans="1:12" ht="14.25" customHeight="1">
      <c r="A334" s="3">
        <v>333</v>
      </c>
      <c r="B334" s="3" t="s">
        <v>4370</v>
      </c>
      <c r="C334" s="3" t="s">
        <v>1449</v>
      </c>
      <c r="D334" s="3">
        <v>9876544669</v>
      </c>
      <c r="E334" s="3" t="s">
        <v>4420</v>
      </c>
      <c r="F334" s="3" t="str" cm="1">
        <f t="array" ref="F334">IF(E334="","",_xlfn.XLOOKUP(E334,{"FIRST","SECOND","THIRD","FOURTH"},{"SEM-1","SEM-2","SEM-3","SEM-4"},""))</f>
        <v>SEM-3</v>
      </c>
      <c r="G334" s="3">
        <v>99</v>
      </c>
      <c r="H334" s="3">
        <v>43</v>
      </c>
      <c r="I334" s="3">
        <v>3</v>
      </c>
      <c r="J334" s="3">
        <f t="shared" si="15"/>
        <v>145</v>
      </c>
      <c r="K334" s="3" t="str">
        <f t="shared" si="16"/>
        <v>P</v>
      </c>
      <c r="L334" s="3" t="str">
        <f t="shared" si="17"/>
        <v>C</v>
      </c>
    </row>
    <row r="335" spans="1:12" ht="14.25" customHeight="1">
      <c r="A335" s="3">
        <v>334</v>
      </c>
      <c r="B335" s="3" t="s">
        <v>3904</v>
      </c>
      <c r="C335" s="3" t="s">
        <v>995</v>
      </c>
      <c r="D335" s="3">
        <v>9876544203</v>
      </c>
      <c r="E335" s="3" t="s">
        <v>4419</v>
      </c>
      <c r="F335" s="3" t="str" cm="1">
        <f t="array" ref="F335">IF(E335="","",_xlfn.XLOOKUP(E335,{"FIRST","SECOND","THIRD","FOURTH"},{"SEM-1","SEM-2","SEM-3","SEM-4"},""))</f>
        <v>SEM-2</v>
      </c>
      <c r="G335" s="3">
        <v>57</v>
      </c>
      <c r="H335" s="3">
        <v>15</v>
      </c>
      <c r="I335" s="3">
        <v>60</v>
      </c>
      <c r="J335" s="3">
        <f t="shared" si="15"/>
        <v>132</v>
      </c>
      <c r="K335" s="3" t="str">
        <f t="shared" si="16"/>
        <v>P</v>
      </c>
      <c r="L335" s="3" t="str">
        <f t="shared" si="17"/>
        <v>C</v>
      </c>
    </row>
    <row r="336" spans="1:12" ht="14.25" customHeight="1">
      <c r="A336" s="3">
        <v>335</v>
      </c>
      <c r="B336" s="3" t="s">
        <v>4143</v>
      </c>
      <c r="C336" s="3" t="s">
        <v>1228</v>
      </c>
      <c r="D336" s="3">
        <v>9876544442</v>
      </c>
      <c r="E336" s="3" t="s">
        <v>4419</v>
      </c>
      <c r="F336" s="3" t="str" cm="1">
        <f t="array" ref="F336">IF(E336="","",_xlfn.XLOOKUP(E336,{"FIRST","SECOND","THIRD","FOURTH"},{"SEM-1","SEM-2","SEM-3","SEM-4"},""))</f>
        <v>SEM-2</v>
      </c>
      <c r="G336" s="3">
        <v>85</v>
      </c>
      <c r="H336" s="3">
        <v>21</v>
      </c>
      <c r="I336" s="3">
        <v>97</v>
      </c>
      <c r="J336" s="3">
        <f t="shared" si="15"/>
        <v>203</v>
      </c>
      <c r="K336" s="3" t="str">
        <f t="shared" si="16"/>
        <v>P</v>
      </c>
      <c r="L336" s="3" t="str">
        <f t="shared" si="17"/>
        <v>A</v>
      </c>
    </row>
    <row r="337" spans="1:12" ht="14.25" customHeight="1">
      <c r="A337" s="3">
        <v>336</v>
      </c>
      <c r="B337" s="3" t="s">
        <v>3540</v>
      </c>
      <c r="C337" s="3" t="s">
        <v>634</v>
      </c>
      <c r="D337" s="3">
        <v>9876543839</v>
      </c>
      <c r="E337" s="3" t="s">
        <v>4418</v>
      </c>
      <c r="F337" s="3" t="str" cm="1">
        <f t="array" ref="F337">IF(E337="","",_xlfn.XLOOKUP(E337,{"FIRST","SECOND","THIRD","FOURTH"},{"SEM-1","SEM-2","SEM-3","SEM-4"},""))</f>
        <v>SEM-1</v>
      </c>
      <c r="G337" s="3">
        <v>66</v>
      </c>
      <c r="H337" s="3">
        <v>21</v>
      </c>
      <c r="I337" s="3">
        <v>4</v>
      </c>
      <c r="J337" s="3">
        <f t="shared" si="15"/>
        <v>91</v>
      </c>
      <c r="K337" s="3" t="str">
        <f t="shared" si="16"/>
        <v>F</v>
      </c>
      <c r="L337" s="3" t="str">
        <f t="shared" si="17"/>
        <v>FAIL</v>
      </c>
    </row>
    <row r="338" spans="1:12" ht="14.25" customHeight="1">
      <c r="A338" s="3">
        <v>337</v>
      </c>
      <c r="B338" s="3" t="s">
        <v>3751</v>
      </c>
      <c r="C338" s="3" t="s">
        <v>844</v>
      </c>
      <c r="D338" s="3">
        <v>9876544050</v>
      </c>
      <c r="E338" s="3" t="s">
        <v>4418</v>
      </c>
      <c r="F338" s="3" t="str" cm="1">
        <f t="array" ref="F338">IF(E338="","",_xlfn.XLOOKUP(E338,{"FIRST","SECOND","THIRD","FOURTH"},{"SEM-1","SEM-2","SEM-3","SEM-4"},""))</f>
        <v>SEM-1</v>
      </c>
      <c r="G338" s="3">
        <v>69</v>
      </c>
      <c r="H338" s="3">
        <v>39</v>
      </c>
      <c r="I338" s="3">
        <v>88</v>
      </c>
      <c r="J338" s="3">
        <f t="shared" si="15"/>
        <v>196</v>
      </c>
      <c r="K338" s="3" t="str">
        <f t="shared" si="16"/>
        <v>P</v>
      </c>
      <c r="L338" s="3" t="str">
        <f t="shared" si="17"/>
        <v>A</v>
      </c>
    </row>
    <row r="339" spans="1:12" ht="14.25" customHeight="1">
      <c r="A339" s="3">
        <v>338</v>
      </c>
      <c r="B339" s="3" t="s">
        <v>4123</v>
      </c>
      <c r="C339" s="3" t="s">
        <v>1208</v>
      </c>
      <c r="D339" s="3">
        <v>9876544422</v>
      </c>
      <c r="E339" s="3" t="s">
        <v>4419</v>
      </c>
      <c r="F339" s="3" t="str" cm="1">
        <f t="array" ref="F339">IF(E339="","",_xlfn.XLOOKUP(E339,{"FIRST","SECOND","THIRD","FOURTH"},{"SEM-1","SEM-2","SEM-3","SEM-4"},""))</f>
        <v>SEM-2</v>
      </c>
      <c r="G339" s="3">
        <v>23</v>
      </c>
      <c r="H339" s="3">
        <v>38</v>
      </c>
      <c r="I339" s="3">
        <v>9</v>
      </c>
      <c r="J339" s="3">
        <f t="shared" si="15"/>
        <v>70</v>
      </c>
      <c r="K339" s="3" t="str">
        <f t="shared" si="16"/>
        <v>F</v>
      </c>
      <c r="L339" s="3" t="str">
        <f t="shared" si="17"/>
        <v>FAIL</v>
      </c>
    </row>
    <row r="340" spans="1:12" ht="14.25" customHeight="1">
      <c r="A340" s="3">
        <v>339</v>
      </c>
      <c r="B340" s="3" t="s">
        <v>3257</v>
      </c>
      <c r="C340" s="3" t="s">
        <v>354</v>
      </c>
      <c r="D340" s="3">
        <v>9876543556</v>
      </c>
      <c r="E340" s="3" t="s">
        <v>4418</v>
      </c>
      <c r="F340" s="3" t="str" cm="1">
        <f t="array" ref="F340">IF(E340="","",_xlfn.XLOOKUP(E340,{"FIRST","SECOND","THIRD","FOURTH"},{"SEM-1","SEM-2","SEM-3","SEM-4"},""))</f>
        <v>SEM-1</v>
      </c>
      <c r="G340" s="3">
        <v>25</v>
      </c>
      <c r="H340" s="3">
        <v>80</v>
      </c>
      <c r="I340" s="3">
        <v>68</v>
      </c>
      <c r="J340" s="3">
        <f t="shared" si="15"/>
        <v>173</v>
      </c>
      <c r="K340" s="3" t="str">
        <f t="shared" si="16"/>
        <v>P</v>
      </c>
      <c r="L340" s="3" t="str">
        <f t="shared" si="17"/>
        <v>B</v>
      </c>
    </row>
    <row r="341" spans="1:12" ht="14.25" customHeight="1">
      <c r="A341" s="3">
        <v>340</v>
      </c>
      <c r="B341" s="3" t="s">
        <v>4195</v>
      </c>
      <c r="C341" s="3" t="s">
        <v>1279</v>
      </c>
      <c r="D341" s="3">
        <v>9876544494</v>
      </c>
      <c r="E341" s="3" t="s">
        <v>4418</v>
      </c>
      <c r="F341" s="3" t="str" cm="1">
        <f t="array" ref="F341">IF(E341="","",_xlfn.XLOOKUP(E341,{"FIRST","SECOND","THIRD","FOURTH"},{"SEM-1","SEM-2","SEM-3","SEM-4"},""))</f>
        <v>SEM-1</v>
      </c>
      <c r="G341" s="3">
        <v>100</v>
      </c>
      <c r="H341" s="3">
        <v>58</v>
      </c>
      <c r="I341" s="3">
        <v>22</v>
      </c>
      <c r="J341" s="3">
        <f t="shared" si="15"/>
        <v>180</v>
      </c>
      <c r="K341" s="3" t="str">
        <f t="shared" si="16"/>
        <v>P</v>
      </c>
      <c r="L341" s="3" t="str">
        <f t="shared" si="17"/>
        <v>B</v>
      </c>
    </row>
    <row r="342" spans="1:12" ht="14.25" customHeight="1">
      <c r="A342" s="3">
        <v>341</v>
      </c>
      <c r="B342" s="3" t="s">
        <v>4181</v>
      </c>
      <c r="C342" s="3" t="s">
        <v>1266</v>
      </c>
      <c r="D342" s="3">
        <v>9876544480</v>
      </c>
      <c r="E342" s="3" t="s">
        <v>4419</v>
      </c>
      <c r="F342" s="3" t="str" cm="1">
        <f t="array" ref="F342">IF(E342="","",_xlfn.XLOOKUP(E342,{"FIRST","SECOND","THIRD","FOURTH"},{"SEM-1","SEM-2","SEM-3","SEM-4"},""))</f>
        <v>SEM-2</v>
      </c>
      <c r="G342" s="3">
        <v>61</v>
      </c>
      <c r="H342" s="3">
        <v>39</v>
      </c>
      <c r="I342" s="3">
        <v>95</v>
      </c>
      <c r="J342" s="3">
        <f t="shared" si="15"/>
        <v>195</v>
      </c>
      <c r="K342" s="3" t="str">
        <f t="shared" si="16"/>
        <v>P</v>
      </c>
      <c r="L342" s="3" t="str">
        <f t="shared" si="17"/>
        <v>A</v>
      </c>
    </row>
    <row r="343" spans="1:12" ht="14.25" customHeight="1">
      <c r="A343" s="3">
        <v>342</v>
      </c>
      <c r="B343" s="3" t="s">
        <v>3033</v>
      </c>
      <c r="C343" s="3" t="s">
        <v>131</v>
      </c>
      <c r="D343" s="3">
        <v>9876543332</v>
      </c>
      <c r="E343" s="3" t="s">
        <v>4419</v>
      </c>
      <c r="F343" s="3" t="str" cm="1">
        <f t="array" ref="F343">IF(E343="","",_xlfn.XLOOKUP(E343,{"FIRST","SECOND","THIRD","FOURTH"},{"SEM-1","SEM-2","SEM-3","SEM-4"},""))</f>
        <v>SEM-2</v>
      </c>
      <c r="G343" s="3">
        <v>94</v>
      </c>
      <c r="H343" s="3">
        <v>5</v>
      </c>
      <c r="I343" s="3">
        <v>89</v>
      </c>
      <c r="J343" s="3">
        <f t="shared" si="15"/>
        <v>188</v>
      </c>
      <c r="K343" s="3" t="str">
        <f t="shared" si="16"/>
        <v>P</v>
      </c>
      <c r="L343" s="3" t="str">
        <f t="shared" si="17"/>
        <v>B</v>
      </c>
    </row>
    <row r="344" spans="1:12" ht="14.25" customHeight="1">
      <c r="A344" s="3">
        <v>343</v>
      </c>
      <c r="B344" s="3" t="s">
        <v>2974</v>
      </c>
      <c r="C344" s="3" t="s">
        <v>72</v>
      </c>
      <c r="D344" s="3">
        <v>9876543273</v>
      </c>
      <c r="E344" s="3" t="s">
        <v>4418</v>
      </c>
      <c r="F344" s="3" t="str" cm="1">
        <f t="array" ref="F344">IF(E344="","",_xlfn.XLOOKUP(E344,{"FIRST","SECOND","THIRD","FOURTH"},{"SEM-1","SEM-2","SEM-3","SEM-4"},""))</f>
        <v>SEM-1</v>
      </c>
      <c r="G344" s="3">
        <v>93</v>
      </c>
      <c r="H344" s="3">
        <v>47</v>
      </c>
      <c r="I344" s="3">
        <v>55</v>
      </c>
      <c r="J344" s="3">
        <f t="shared" si="15"/>
        <v>195</v>
      </c>
      <c r="K344" s="3" t="str">
        <f t="shared" si="16"/>
        <v>P</v>
      </c>
      <c r="L344" s="3" t="str">
        <f t="shared" si="17"/>
        <v>A</v>
      </c>
    </row>
    <row r="345" spans="1:12" ht="14.25" customHeight="1">
      <c r="A345" s="3">
        <v>344</v>
      </c>
      <c r="B345" s="3" t="s">
        <v>3419</v>
      </c>
      <c r="C345" s="3" t="s">
        <v>515</v>
      </c>
      <c r="D345" s="3">
        <v>9876543718</v>
      </c>
      <c r="E345" s="3" t="s">
        <v>4419</v>
      </c>
      <c r="F345" s="3" t="str" cm="1">
        <f t="array" ref="F345">IF(E345="","",_xlfn.XLOOKUP(E345,{"FIRST","SECOND","THIRD","FOURTH"},{"SEM-1","SEM-2","SEM-3","SEM-4"},""))</f>
        <v>SEM-2</v>
      </c>
      <c r="G345" s="3">
        <v>18</v>
      </c>
      <c r="H345" s="3">
        <v>22</v>
      </c>
      <c r="I345" s="3">
        <v>42</v>
      </c>
      <c r="J345" s="3">
        <f t="shared" si="15"/>
        <v>82</v>
      </c>
      <c r="K345" s="3" t="str">
        <f t="shared" si="16"/>
        <v>F</v>
      </c>
      <c r="L345" s="3" t="str">
        <f t="shared" si="17"/>
        <v>FAIL</v>
      </c>
    </row>
    <row r="346" spans="1:12" ht="14.25" customHeight="1">
      <c r="A346" s="3">
        <v>345</v>
      </c>
      <c r="B346" s="3" t="s">
        <v>3019</v>
      </c>
      <c r="C346" s="3" t="s">
        <v>117</v>
      </c>
      <c r="D346" s="3">
        <v>9876543318</v>
      </c>
      <c r="E346" s="3" t="s">
        <v>4420</v>
      </c>
      <c r="F346" s="3" t="str" cm="1">
        <f t="array" ref="F346">IF(E346="","",_xlfn.XLOOKUP(E346,{"FIRST","SECOND","THIRD","FOURTH"},{"SEM-1","SEM-2","SEM-3","SEM-4"},""))</f>
        <v>SEM-3</v>
      </c>
      <c r="G346" s="3">
        <v>70</v>
      </c>
      <c r="H346" s="3">
        <v>36</v>
      </c>
      <c r="I346" s="3">
        <v>19</v>
      </c>
      <c r="J346" s="3">
        <f t="shared" si="15"/>
        <v>125</v>
      </c>
      <c r="K346" s="3" t="str">
        <f t="shared" si="16"/>
        <v>P</v>
      </c>
      <c r="L346" s="3" t="str">
        <f t="shared" si="17"/>
        <v>C</v>
      </c>
    </row>
    <row r="347" spans="1:12" ht="14.25" customHeight="1">
      <c r="A347" s="3">
        <v>346</v>
      </c>
      <c r="B347" s="3" t="s">
        <v>4105</v>
      </c>
      <c r="C347" s="3" t="s">
        <v>1190</v>
      </c>
      <c r="D347" s="3">
        <v>9876544404</v>
      </c>
      <c r="E347" s="3" t="s">
        <v>4419</v>
      </c>
      <c r="F347" s="3" t="str" cm="1">
        <f t="array" ref="F347">IF(E347="","",_xlfn.XLOOKUP(E347,{"FIRST","SECOND","THIRD","FOURTH"},{"SEM-1","SEM-2","SEM-3","SEM-4"},""))</f>
        <v>SEM-2</v>
      </c>
      <c r="G347" s="3">
        <v>1</v>
      </c>
      <c r="H347" s="3">
        <v>84</v>
      </c>
      <c r="I347" s="3">
        <v>48</v>
      </c>
      <c r="J347" s="3">
        <f t="shared" si="15"/>
        <v>133</v>
      </c>
      <c r="K347" s="3" t="str">
        <f t="shared" si="16"/>
        <v>P</v>
      </c>
      <c r="L347" s="3" t="str">
        <f t="shared" si="17"/>
        <v>C</v>
      </c>
    </row>
    <row r="348" spans="1:12" ht="14.25" customHeight="1">
      <c r="A348" s="3">
        <v>347</v>
      </c>
      <c r="B348" s="3" t="s">
        <v>3248</v>
      </c>
      <c r="C348" s="3" t="s">
        <v>345</v>
      </c>
      <c r="D348" s="3">
        <v>9876543547</v>
      </c>
      <c r="E348" s="3" t="s">
        <v>4419</v>
      </c>
      <c r="F348" s="3" t="str" cm="1">
        <f t="array" ref="F348">IF(E348="","",_xlfn.XLOOKUP(E348,{"FIRST","SECOND","THIRD","FOURTH"},{"SEM-1","SEM-2","SEM-3","SEM-4"},""))</f>
        <v>SEM-2</v>
      </c>
      <c r="G348" s="3">
        <v>83</v>
      </c>
      <c r="H348" s="3">
        <v>52</v>
      </c>
      <c r="I348" s="3">
        <v>32</v>
      </c>
      <c r="J348" s="3">
        <f t="shared" si="15"/>
        <v>167</v>
      </c>
      <c r="K348" s="3" t="str">
        <f t="shared" si="16"/>
        <v>P</v>
      </c>
      <c r="L348" s="3" t="str">
        <f t="shared" si="17"/>
        <v>B</v>
      </c>
    </row>
    <row r="349" spans="1:12" ht="14.25" customHeight="1">
      <c r="A349" s="3">
        <v>348</v>
      </c>
      <c r="B349" s="3" t="s">
        <v>4002</v>
      </c>
      <c r="C349" s="3" t="s">
        <v>1091</v>
      </c>
      <c r="D349" s="3">
        <v>9876544301</v>
      </c>
      <c r="E349" s="3" t="s">
        <v>4419</v>
      </c>
      <c r="F349" s="3" t="str" cm="1">
        <f t="array" ref="F349">IF(E349="","",_xlfn.XLOOKUP(E349,{"FIRST","SECOND","THIRD","FOURTH"},{"SEM-1","SEM-2","SEM-3","SEM-4"},""))</f>
        <v>SEM-2</v>
      </c>
      <c r="G349" s="3">
        <v>29</v>
      </c>
      <c r="H349" s="3">
        <v>54</v>
      </c>
      <c r="I349" s="3">
        <v>69</v>
      </c>
      <c r="J349" s="3">
        <f t="shared" si="15"/>
        <v>152</v>
      </c>
      <c r="K349" s="3" t="str">
        <f t="shared" si="16"/>
        <v>P</v>
      </c>
      <c r="L349" s="3" t="str">
        <f t="shared" si="17"/>
        <v>B</v>
      </c>
    </row>
    <row r="350" spans="1:12" ht="14.25" customHeight="1">
      <c r="A350" s="3">
        <v>349</v>
      </c>
      <c r="B350" s="3" t="s">
        <v>3602</v>
      </c>
      <c r="C350" s="3" t="s">
        <v>696</v>
      </c>
      <c r="D350" s="3">
        <v>9876543901</v>
      </c>
      <c r="E350" s="3" t="s">
        <v>4420</v>
      </c>
      <c r="F350" s="3" t="str" cm="1">
        <f t="array" ref="F350">IF(E350="","",_xlfn.XLOOKUP(E350,{"FIRST","SECOND","THIRD","FOURTH"},{"SEM-1","SEM-2","SEM-3","SEM-4"},""))</f>
        <v>SEM-3</v>
      </c>
      <c r="G350" s="3">
        <v>100</v>
      </c>
      <c r="H350" s="3">
        <v>30</v>
      </c>
      <c r="I350" s="3">
        <v>33</v>
      </c>
      <c r="J350" s="3">
        <f t="shared" si="15"/>
        <v>163</v>
      </c>
      <c r="K350" s="3" t="str">
        <f t="shared" si="16"/>
        <v>P</v>
      </c>
      <c r="L350" s="3" t="str">
        <f t="shared" si="17"/>
        <v>B</v>
      </c>
    </row>
    <row r="351" spans="1:12" ht="14.25" customHeight="1">
      <c r="A351" s="3">
        <v>350</v>
      </c>
      <c r="B351" s="3" t="s">
        <v>4288</v>
      </c>
      <c r="C351" s="3" t="s">
        <v>1369</v>
      </c>
      <c r="D351" s="3">
        <v>9876544587</v>
      </c>
      <c r="E351" s="3" t="s">
        <v>4419</v>
      </c>
      <c r="F351" s="3" t="str" cm="1">
        <f t="array" ref="F351">IF(E351="","",_xlfn.XLOOKUP(E351,{"FIRST","SECOND","THIRD","FOURTH"},{"SEM-1","SEM-2","SEM-3","SEM-4"},""))</f>
        <v>SEM-2</v>
      </c>
      <c r="G351" s="3">
        <v>56</v>
      </c>
      <c r="H351" s="3">
        <v>40</v>
      </c>
      <c r="I351" s="3">
        <v>45</v>
      </c>
      <c r="J351" s="3">
        <f t="shared" si="15"/>
        <v>141</v>
      </c>
      <c r="K351" s="3" t="str">
        <f t="shared" si="16"/>
        <v>P</v>
      </c>
      <c r="L351" s="3" t="str">
        <f t="shared" si="17"/>
        <v>C</v>
      </c>
    </row>
    <row r="352" spans="1:12" ht="14.25" customHeight="1">
      <c r="A352" s="3">
        <v>351</v>
      </c>
      <c r="B352" s="3" t="s">
        <v>3929</v>
      </c>
      <c r="C352" s="3" t="s">
        <v>1019</v>
      </c>
      <c r="D352" s="3">
        <v>9876544228</v>
      </c>
      <c r="E352" s="3" t="s">
        <v>4419</v>
      </c>
      <c r="F352" s="3" t="str" cm="1">
        <f t="array" ref="F352">IF(E352="","",_xlfn.XLOOKUP(E352,{"FIRST","SECOND","THIRD","FOURTH"},{"SEM-1","SEM-2","SEM-3","SEM-4"},""))</f>
        <v>SEM-2</v>
      </c>
      <c r="G352" s="3">
        <v>4</v>
      </c>
      <c r="H352" s="3">
        <v>15</v>
      </c>
      <c r="I352" s="3">
        <v>64</v>
      </c>
      <c r="J352" s="3">
        <f t="shared" si="15"/>
        <v>83</v>
      </c>
      <c r="K352" s="3" t="str">
        <f t="shared" si="16"/>
        <v>F</v>
      </c>
      <c r="L352" s="3" t="str">
        <f t="shared" si="17"/>
        <v>FAIL</v>
      </c>
    </row>
    <row r="353" spans="1:12" ht="14.25" customHeight="1">
      <c r="A353" s="3">
        <v>352</v>
      </c>
      <c r="B353" s="3" t="s">
        <v>3855</v>
      </c>
      <c r="C353" s="3" t="s">
        <v>947</v>
      </c>
      <c r="D353" s="3">
        <v>9876544154</v>
      </c>
      <c r="E353" s="3" t="s">
        <v>4420</v>
      </c>
      <c r="F353" s="3" t="str" cm="1">
        <f t="array" ref="F353">IF(E353="","",_xlfn.XLOOKUP(E353,{"FIRST","SECOND","THIRD","FOURTH"},{"SEM-1","SEM-2","SEM-3","SEM-4"},""))</f>
        <v>SEM-3</v>
      </c>
      <c r="G353" s="3">
        <v>85</v>
      </c>
      <c r="H353" s="3">
        <v>92</v>
      </c>
      <c r="I353" s="3">
        <v>77</v>
      </c>
      <c r="J353" s="3">
        <f t="shared" si="15"/>
        <v>254</v>
      </c>
      <c r="K353" s="3" t="str">
        <f t="shared" si="16"/>
        <v>P</v>
      </c>
      <c r="L353" s="3" t="str">
        <f t="shared" si="17"/>
        <v>A</v>
      </c>
    </row>
    <row r="354" spans="1:12" ht="14.25" customHeight="1">
      <c r="A354" s="3">
        <v>353</v>
      </c>
      <c r="B354" s="3" t="s">
        <v>4338</v>
      </c>
      <c r="C354" s="3" t="s">
        <v>1417</v>
      </c>
      <c r="D354" s="3">
        <v>9876544637</v>
      </c>
      <c r="E354" s="3" t="s">
        <v>4419</v>
      </c>
      <c r="F354" s="3" t="str" cm="1">
        <f t="array" ref="F354">IF(E354="","",_xlfn.XLOOKUP(E354,{"FIRST","SECOND","THIRD","FOURTH"},{"SEM-1","SEM-2","SEM-3","SEM-4"},""))</f>
        <v>SEM-2</v>
      </c>
      <c r="G354" s="3">
        <v>33</v>
      </c>
      <c r="H354" s="3">
        <v>51</v>
      </c>
      <c r="I354" s="3">
        <v>31</v>
      </c>
      <c r="J354" s="3">
        <f t="shared" si="15"/>
        <v>115</v>
      </c>
      <c r="K354" s="3" t="str">
        <f t="shared" si="16"/>
        <v>F</v>
      </c>
      <c r="L354" s="3" t="str">
        <f t="shared" si="17"/>
        <v>FAIL</v>
      </c>
    </row>
    <row r="355" spans="1:12" ht="14.25" customHeight="1">
      <c r="A355" s="3">
        <v>354</v>
      </c>
      <c r="B355" s="3" t="s">
        <v>3168</v>
      </c>
      <c r="C355" s="3" t="s">
        <v>266</v>
      </c>
      <c r="D355" s="3">
        <v>9876543467</v>
      </c>
      <c r="E355" s="3" t="s">
        <v>4420</v>
      </c>
      <c r="F355" s="3" t="str" cm="1">
        <f t="array" ref="F355">IF(E355="","",_xlfn.XLOOKUP(E355,{"FIRST","SECOND","THIRD","FOURTH"},{"SEM-1","SEM-2","SEM-3","SEM-4"},""))</f>
        <v>SEM-3</v>
      </c>
      <c r="G355" s="3">
        <v>68</v>
      </c>
      <c r="H355" s="3">
        <v>89</v>
      </c>
      <c r="I355" s="3">
        <v>98</v>
      </c>
      <c r="J355" s="3">
        <f t="shared" si="15"/>
        <v>255</v>
      </c>
      <c r="K355" s="3" t="str">
        <f t="shared" si="16"/>
        <v>P</v>
      </c>
      <c r="L355" s="3" t="str">
        <f t="shared" si="17"/>
        <v>A</v>
      </c>
    </row>
    <row r="356" spans="1:12" ht="14.25" customHeight="1">
      <c r="A356" s="3">
        <v>355</v>
      </c>
      <c r="B356" s="3" t="s">
        <v>3284</v>
      </c>
      <c r="C356" s="3" t="s">
        <v>381</v>
      </c>
      <c r="D356" s="3">
        <v>9876543583</v>
      </c>
      <c r="E356" s="3" t="s">
        <v>4418</v>
      </c>
      <c r="F356" s="3" t="str" cm="1">
        <f t="array" ref="F356">IF(E356="","",_xlfn.XLOOKUP(E356,{"FIRST","SECOND","THIRD","FOURTH"},{"SEM-1","SEM-2","SEM-3","SEM-4"},""))</f>
        <v>SEM-1</v>
      </c>
      <c r="G356" s="3">
        <v>2</v>
      </c>
      <c r="H356" s="3">
        <v>80</v>
      </c>
      <c r="I356" s="3">
        <v>10</v>
      </c>
      <c r="J356" s="3">
        <f t="shared" si="15"/>
        <v>92</v>
      </c>
      <c r="K356" s="3" t="str">
        <f t="shared" si="16"/>
        <v>P</v>
      </c>
      <c r="L356" s="3" t="str">
        <f t="shared" si="17"/>
        <v>FAIL</v>
      </c>
    </row>
    <row r="357" spans="1:12" ht="14.25" customHeight="1">
      <c r="A357" s="3">
        <v>356</v>
      </c>
      <c r="B357" s="3" t="s">
        <v>3355</v>
      </c>
      <c r="C357" s="3" t="s">
        <v>451</v>
      </c>
      <c r="D357" s="3">
        <v>9876543654</v>
      </c>
      <c r="E357" s="3" t="s">
        <v>4419</v>
      </c>
      <c r="F357" s="3" t="str" cm="1">
        <f t="array" ref="F357">IF(E357="","",_xlfn.XLOOKUP(E357,{"FIRST","SECOND","THIRD","FOURTH"},{"SEM-1","SEM-2","SEM-3","SEM-4"},""))</f>
        <v>SEM-2</v>
      </c>
      <c r="G357" s="3">
        <v>97</v>
      </c>
      <c r="H357" s="3">
        <v>58</v>
      </c>
      <c r="I357" s="3">
        <v>53</v>
      </c>
      <c r="J357" s="3">
        <f t="shared" si="15"/>
        <v>208</v>
      </c>
      <c r="K357" s="3" t="str">
        <f t="shared" si="16"/>
        <v>P</v>
      </c>
      <c r="L357" s="3" t="str">
        <f t="shared" si="17"/>
        <v>A</v>
      </c>
    </row>
    <row r="358" spans="1:12" ht="14.25" customHeight="1">
      <c r="A358" s="3">
        <v>357</v>
      </c>
      <c r="B358" s="3" t="s">
        <v>3562</v>
      </c>
      <c r="C358" s="3" t="s">
        <v>656</v>
      </c>
      <c r="D358" s="3">
        <v>9876543861</v>
      </c>
      <c r="E358" s="3" t="s">
        <v>4418</v>
      </c>
      <c r="F358" s="3" t="str" cm="1">
        <f t="array" ref="F358">IF(E358="","",_xlfn.XLOOKUP(E358,{"FIRST","SECOND","THIRD","FOURTH"},{"SEM-1","SEM-2","SEM-3","SEM-4"},""))</f>
        <v>SEM-1</v>
      </c>
      <c r="G358" s="3">
        <v>45</v>
      </c>
      <c r="H358" s="3">
        <v>79</v>
      </c>
      <c r="I358" s="3">
        <v>62</v>
      </c>
      <c r="J358" s="3">
        <f t="shared" si="15"/>
        <v>186</v>
      </c>
      <c r="K358" s="3" t="str">
        <f t="shared" si="16"/>
        <v>P</v>
      </c>
      <c r="L358" s="3" t="str">
        <f t="shared" si="17"/>
        <v>B</v>
      </c>
    </row>
    <row r="359" spans="1:12" ht="14.25" customHeight="1">
      <c r="A359" s="3">
        <v>358</v>
      </c>
      <c r="B359" s="3" t="s">
        <v>3368</v>
      </c>
      <c r="C359" s="3" t="s">
        <v>464</v>
      </c>
      <c r="D359" s="3">
        <v>9876543667</v>
      </c>
      <c r="E359" s="3" t="s">
        <v>4419</v>
      </c>
      <c r="F359" s="3" t="str" cm="1">
        <f t="array" ref="F359">IF(E359="","",_xlfn.XLOOKUP(E359,{"FIRST","SECOND","THIRD","FOURTH"},{"SEM-1","SEM-2","SEM-3","SEM-4"},""))</f>
        <v>SEM-2</v>
      </c>
      <c r="G359" s="3">
        <v>25</v>
      </c>
      <c r="H359" s="3">
        <v>19</v>
      </c>
      <c r="I359" s="3">
        <v>50</v>
      </c>
      <c r="J359" s="3">
        <f t="shared" si="15"/>
        <v>94</v>
      </c>
      <c r="K359" s="3" t="str">
        <f t="shared" si="16"/>
        <v>F</v>
      </c>
      <c r="L359" s="3" t="str">
        <f t="shared" si="17"/>
        <v>FAIL</v>
      </c>
    </row>
    <row r="360" spans="1:12" ht="14.25" customHeight="1">
      <c r="A360" s="3">
        <v>359</v>
      </c>
      <c r="B360" s="3" t="s">
        <v>3251</v>
      </c>
      <c r="C360" s="3" t="s">
        <v>348</v>
      </c>
      <c r="D360" s="3">
        <v>9876543550</v>
      </c>
      <c r="E360" s="3" t="s">
        <v>4420</v>
      </c>
      <c r="F360" s="3" t="str" cm="1">
        <f t="array" ref="F360">IF(E360="","",_xlfn.XLOOKUP(E360,{"FIRST","SECOND","THIRD","FOURTH"},{"SEM-1","SEM-2","SEM-3","SEM-4"},""))</f>
        <v>SEM-3</v>
      </c>
      <c r="G360" s="3">
        <v>38</v>
      </c>
      <c r="H360" s="3">
        <v>35</v>
      </c>
      <c r="I360" s="3">
        <v>64</v>
      </c>
      <c r="J360" s="3">
        <f t="shared" si="15"/>
        <v>137</v>
      </c>
      <c r="K360" s="3" t="str">
        <f t="shared" si="16"/>
        <v>P</v>
      </c>
      <c r="L360" s="3" t="str">
        <f t="shared" si="17"/>
        <v>C</v>
      </c>
    </row>
    <row r="361" spans="1:12" ht="14.25" customHeight="1">
      <c r="A361" s="3">
        <v>360</v>
      </c>
      <c r="B361" s="3" t="s">
        <v>3416</v>
      </c>
      <c r="C361" s="3" t="s">
        <v>512</v>
      </c>
      <c r="D361" s="3">
        <v>9876543715</v>
      </c>
      <c r="E361" s="3" t="s">
        <v>4420</v>
      </c>
      <c r="F361" s="3" t="str" cm="1">
        <f t="array" ref="F361">IF(E361="","",_xlfn.XLOOKUP(E361,{"FIRST","SECOND","THIRD","FOURTH"},{"SEM-1","SEM-2","SEM-3","SEM-4"},""))</f>
        <v>SEM-3</v>
      </c>
      <c r="G361" s="3">
        <v>88</v>
      </c>
      <c r="H361" s="3">
        <v>90</v>
      </c>
      <c r="I361" s="3">
        <v>62</v>
      </c>
      <c r="J361" s="3">
        <f t="shared" si="15"/>
        <v>240</v>
      </c>
      <c r="K361" s="3" t="str">
        <f t="shared" si="16"/>
        <v>P</v>
      </c>
      <c r="L361" s="3" t="str">
        <f t="shared" si="17"/>
        <v>A</v>
      </c>
    </row>
    <row r="362" spans="1:12" ht="14.25" customHeight="1">
      <c r="A362" s="3">
        <v>361</v>
      </c>
      <c r="B362" s="3" t="s">
        <v>3289</v>
      </c>
      <c r="C362" s="3" t="s">
        <v>386</v>
      </c>
      <c r="D362" s="3">
        <v>9876543588</v>
      </c>
      <c r="E362" s="3" t="s">
        <v>4418</v>
      </c>
      <c r="F362" s="3" t="str" cm="1">
        <f t="array" ref="F362">IF(E362="","",_xlfn.XLOOKUP(E362,{"FIRST","SECOND","THIRD","FOURTH"},{"SEM-1","SEM-2","SEM-3","SEM-4"},""))</f>
        <v>SEM-1</v>
      </c>
      <c r="G362" s="3">
        <v>51</v>
      </c>
      <c r="H362" s="3">
        <v>1</v>
      </c>
      <c r="I362" s="3">
        <v>83</v>
      </c>
      <c r="J362" s="3">
        <f t="shared" si="15"/>
        <v>135</v>
      </c>
      <c r="K362" s="3" t="str">
        <f t="shared" si="16"/>
        <v>P</v>
      </c>
      <c r="L362" s="3" t="str">
        <f t="shared" si="17"/>
        <v>C</v>
      </c>
    </row>
    <row r="363" spans="1:12" ht="14.25" customHeight="1">
      <c r="A363" s="3">
        <v>362</v>
      </c>
      <c r="B363" s="3" t="s">
        <v>3099</v>
      </c>
      <c r="C363" s="3" t="s">
        <v>197</v>
      </c>
      <c r="D363" s="3">
        <v>9876543398</v>
      </c>
      <c r="E363" s="3" t="s">
        <v>4419</v>
      </c>
      <c r="F363" s="3" t="str" cm="1">
        <f t="array" ref="F363">IF(E363="","",_xlfn.XLOOKUP(E363,{"FIRST","SECOND","THIRD","FOURTH"},{"SEM-1","SEM-2","SEM-3","SEM-4"},""))</f>
        <v>SEM-2</v>
      </c>
      <c r="G363" s="3">
        <v>54</v>
      </c>
      <c r="H363" s="3">
        <v>50</v>
      </c>
      <c r="I363" s="3">
        <v>83</v>
      </c>
      <c r="J363" s="3">
        <f t="shared" si="15"/>
        <v>187</v>
      </c>
      <c r="K363" s="3" t="str">
        <f t="shared" si="16"/>
        <v>P</v>
      </c>
      <c r="L363" s="3" t="str">
        <f t="shared" si="17"/>
        <v>B</v>
      </c>
    </row>
    <row r="364" spans="1:12" ht="14.25" customHeight="1">
      <c r="A364" s="3">
        <v>363</v>
      </c>
      <c r="B364" s="3" t="s">
        <v>3077</v>
      </c>
      <c r="C364" s="3" t="s">
        <v>175</v>
      </c>
      <c r="D364" s="3">
        <v>9876543376</v>
      </c>
      <c r="E364" s="3" t="s">
        <v>4419</v>
      </c>
      <c r="F364" s="3" t="str" cm="1">
        <f t="array" ref="F364">IF(E364="","",_xlfn.XLOOKUP(E364,{"FIRST","SECOND","THIRD","FOURTH"},{"SEM-1","SEM-2","SEM-3","SEM-4"},""))</f>
        <v>SEM-2</v>
      </c>
      <c r="G364" s="3">
        <v>8</v>
      </c>
      <c r="H364" s="3">
        <v>71</v>
      </c>
      <c r="I364" s="3">
        <v>41</v>
      </c>
      <c r="J364" s="3">
        <f t="shared" si="15"/>
        <v>120</v>
      </c>
      <c r="K364" s="3" t="str">
        <f t="shared" si="16"/>
        <v>P</v>
      </c>
      <c r="L364" s="3" t="str">
        <f t="shared" si="17"/>
        <v>C</v>
      </c>
    </row>
    <row r="365" spans="1:12" ht="14.25" customHeight="1">
      <c r="A365" s="3">
        <v>364</v>
      </c>
      <c r="B365" s="3" t="s">
        <v>3675</v>
      </c>
      <c r="C365" s="3" t="s">
        <v>768</v>
      </c>
      <c r="D365" s="3">
        <v>9876543974</v>
      </c>
      <c r="E365" s="3" t="s">
        <v>4420</v>
      </c>
      <c r="F365" s="3" t="str" cm="1">
        <f t="array" ref="F365">IF(E365="","",_xlfn.XLOOKUP(E365,{"FIRST","SECOND","THIRD","FOURTH"},{"SEM-1","SEM-2","SEM-3","SEM-4"},""))</f>
        <v>SEM-3</v>
      </c>
      <c r="G365" s="3">
        <v>22</v>
      </c>
      <c r="H365" s="3">
        <v>17</v>
      </c>
      <c r="I365" s="3">
        <v>51</v>
      </c>
      <c r="J365" s="3">
        <f t="shared" si="15"/>
        <v>90</v>
      </c>
      <c r="K365" s="3" t="str">
        <f t="shared" si="16"/>
        <v>F</v>
      </c>
      <c r="L365" s="3" t="str">
        <f t="shared" si="17"/>
        <v>FAIL</v>
      </c>
    </row>
    <row r="366" spans="1:12" ht="14.25" customHeight="1">
      <c r="A366" s="3">
        <v>365</v>
      </c>
      <c r="B366" s="3" t="s">
        <v>3059</v>
      </c>
      <c r="C366" s="3" t="s">
        <v>157</v>
      </c>
      <c r="D366" s="3">
        <v>9876543358</v>
      </c>
      <c r="E366" s="3" t="s">
        <v>4418</v>
      </c>
      <c r="F366" s="3" t="str" cm="1">
        <f t="array" ref="F366">IF(E366="","",_xlfn.XLOOKUP(E366,{"FIRST","SECOND","THIRD","FOURTH"},{"SEM-1","SEM-2","SEM-3","SEM-4"},""))</f>
        <v>SEM-1</v>
      </c>
      <c r="G366" s="3">
        <v>91</v>
      </c>
      <c r="H366" s="3">
        <v>4</v>
      </c>
      <c r="I366" s="3">
        <v>23</v>
      </c>
      <c r="J366" s="3">
        <f t="shared" si="15"/>
        <v>118</v>
      </c>
      <c r="K366" s="3" t="str">
        <f t="shared" si="16"/>
        <v>P</v>
      </c>
      <c r="L366" s="3" t="str">
        <f t="shared" si="17"/>
        <v>FAIL</v>
      </c>
    </row>
    <row r="367" spans="1:12" ht="14.25" customHeight="1">
      <c r="A367" s="3">
        <v>366</v>
      </c>
      <c r="B367" s="3" t="s">
        <v>3265</v>
      </c>
      <c r="C367" s="3" t="s">
        <v>362</v>
      </c>
      <c r="D367" s="3">
        <v>9876543564</v>
      </c>
      <c r="E367" s="3" t="s">
        <v>4419</v>
      </c>
      <c r="F367" s="3" t="str" cm="1">
        <f t="array" ref="F367">IF(E367="","",_xlfn.XLOOKUP(E367,{"FIRST","SECOND","THIRD","FOURTH"},{"SEM-1","SEM-2","SEM-3","SEM-4"},""))</f>
        <v>SEM-2</v>
      </c>
      <c r="G367" s="3">
        <v>49</v>
      </c>
      <c r="H367" s="3">
        <v>14</v>
      </c>
      <c r="I367" s="3">
        <v>10</v>
      </c>
      <c r="J367" s="3">
        <f t="shared" si="15"/>
        <v>73</v>
      </c>
      <c r="K367" s="3" t="str">
        <f t="shared" si="16"/>
        <v>F</v>
      </c>
      <c r="L367" s="3" t="str">
        <f t="shared" si="17"/>
        <v>FAIL</v>
      </c>
    </row>
    <row r="368" spans="1:12" ht="14.25" customHeight="1">
      <c r="A368" s="3">
        <v>367</v>
      </c>
      <c r="B368" s="3" t="s">
        <v>4165</v>
      </c>
      <c r="C368" s="3" t="s">
        <v>1250</v>
      </c>
      <c r="D368" s="3">
        <v>9876544464</v>
      </c>
      <c r="E368" s="3" t="s">
        <v>4420</v>
      </c>
      <c r="F368" s="3" t="str" cm="1">
        <f t="array" ref="F368">IF(E368="","",_xlfn.XLOOKUP(E368,{"FIRST","SECOND","THIRD","FOURTH"},{"SEM-1","SEM-2","SEM-3","SEM-4"},""))</f>
        <v>SEM-3</v>
      </c>
      <c r="G368" s="3">
        <v>84</v>
      </c>
      <c r="H368" s="3">
        <v>98</v>
      </c>
      <c r="I368" s="3">
        <v>83</v>
      </c>
      <c r="J368" s="3">
        <f t="shared" si="15"/>
        <v>265</v>
      </c>
      <c r="K368" s="3" t="str">
        <f t="shared" si="16"/>
        <v>P</v>
      </c>
      <c r="L368" s="3" t="str">
        <f t="shared" si="17"/>
        <v>A</v>
      </c>
    </row>
    <row r="369" spans="1:12" ht="14.25" customHeight="1">
      <c r="A369" s="3">
        <v>368</v>
      </c>
      <c r="B369" s="3" t="s">
        <v>4296</v>
      </c>
      <c r="C369" s="3" t="s">
        <v>1377</v>
      </c>
      <c r="D369" s="3">
        <v>9876544595</v>
      </c>
      <c r="E369" s="3" t="s">
        <v>4418</v>
      </c>
      <c r="F369" s="3" t="str" cm="1">
        <f t="array" ref="F369">IF(E369="","",_xlfn.XLOOKUP(E369,{"FIRST","SECOND","THIRD","FOURTH"},{"SEM-1","SEM-2","SEM-3","SEM-4"},""))</f>
        <v>SEM-1</v>
      </c>
      <c r="G369" s="3">
        <v>3</v>
      </c>
      <c r="H369" s="3">
        <v>12</v>
      </c>
      <c r="I369" s="3">
        <v>52</v>
      </c>
      <c r="J369" s="3">
        <f t="shared" si="15"/>
        <v>67</v>
      </c>
      <c r="K369" s="3" t="str">
        <f t="shared" si="16"/>
        <v>F</v>
      </c>
      <c r="L369" s="3" t="str">
        <f t="shared" si="17"/>
        <v>FAIL</v>
      </c>
    </row>
    <row r="370" spans="1:12" ht="14.25" customHeight="1">
      <c r="A370" s="3">
        <v>369</v>
      </c>
      <c r="B370" s="3" t="s">
        <v>3906</v>
      </c>
      <c r="C370" s="3" t="s">
        <v>997</v>
      </c>
      <c r="D370" s="3">
        <v>9876544205</v>
      </c>
      <c r="E370" s="3" t="s">
        <v>4420</v>
      </c>
      <c r="F370" s="3" t="str" cm="1">
        <f t="array" ref="F370">IF(E370="","",_xlfn.XLOOKUP(E370,{"FIRST","SECOND","THIRD","FOURTH"},{"SEM-1","SEM-2","SEM-3","SEM-4"},""))</f>
        <v>SEM-3</v>
      </c>
      <c r="G370" s="3">
        <v>84</v>
      </c>
      <c r="H370" s="3">
        <v>93</v>
      </c>
      <c r="I370" s="3">
        <v>50</v>
      </c>
      <c r="J370" s="3">
        <f t="shared" si="15"/>
        <v>227</v>
      </c>
      <c r="K370" s="3" t="str">
        <f t="shared" si="16"/>
        <v>P</v>
      </c>
      <c r="L370" s="3" t="str">
        <f t="shared" si="17"/>
        <v>A</v>
      </c>
    </row>
    <row r="371" spans="1:12" ht="14.25" customHeight="1">
      <c r="A371" s="3">
        <v>370</v>
      </c>
      <c r="B371" s="3" t="s">
        <v>3381</v>
      </c>
      <c r="C371" s="3" t="s">
        <v>477</v>
      </c>
      <c r="D371" s="3">
        <v>9876543680</v>
      </c>
      <c r="E371" s="3" t="s">
        <v>4420</v>
      </c>
      <c r="F371" s="3" t="str" cm="1">
        <f t="array" ref="F371">IF(E371="","",_xlfn.XLOOKUP(E371,{"FIRST","SECOND","THIRD","FOURTH"},{"SEM-1","SEM-2","SEM-3","SEM-4"},""))</f>
        <v>SEM-3</v>
      </c>
      <c r="G371" s="3">
        <v>65</v>
      </c>
      <c r="H371" s="3">
        <v>70</v>
      </c>
      <c r="I371" s="3">
        <v>1</v>
      </c>
      <c r="J371" s="3">
        <f t="shared" si="15"/>
        <v>136</v>
      </c>
      <c r="K371" s="3" t="str">
        <f t="shared" si="16"/>
        <v>P</v>
      </c>
      <c r="L371" s="3" t="str">
        <f t="shared" si="17"/>
        <v>C</v>
      </c>
    </row>
    <row r="372" spans="1:12" ht="14.25" customHeight="1">
      <c r="A372" s="3">
        <v>371</v>
      </c>
      <c r="B372" s="3" t="s">
        <v>3978</v>
      </c>
      <c r="C372" s="3" t="s">
        <v>1068</v>
      </c>
      <c r="D372" s="3">
        <v>9876544277</v>
      </c>
      <c r="E372" s="3" t="s">
        <v>4420</v>
      </c>
      <c r="F372" s="3" t="str" cm="1">
        <f t="array" ref="F372">IF(E372="","",_xlfn.XLOOKUP(E372,{"FIRST","SECOND","THIRD","FOURTH"},{"SEM-1","SEM-2","SEM-3","SEM-4"},""))</f>
        <v>SEM-3</v>
      </c>
      <c r="G372" s="3">
        <v>52</v>
      </c>
      <c r="H372" s="3">
        <v>74</v>
      </c>
      <c r="I372" s="3">
        <v>40</v>
      </c>
      <c r="J372" s="3">
        <f t="shared" si="15"/>
        <v>166</v>
      </c>
      <c r="K372" s="3" t="str">
        <f t="shared" si="16"/>
        <v>P</v>
      </c>
      <c r="L372" s="3" t="str">
        <f t="shared" si="17"/>
        <v>B</v>
      </c>
    </row>
    <row r="373" spans="1:12" ht="14.25" customHeight="1">
      <c r="A373" s="3">
        <v>372</v>
      </c>
      <c r="B373" s="3" t="s">
        <v>3995</v>
      </c>
      <c r="C373" s="3" t="s">
        <v>1084</v>
      </c>
      <c r="D373" s="3">
        <v>9876544294</v>
      </c>
      <c r="E373" s="3" t="s">
        <v>4420</v>
      </c>
      <c r="F373" s="3" t="str" cm="1">
        <f t="array" ref="F373">IF(E373="","",_xlfn.XLOOKUP(E373,{"FIRST","SECOND","THIRD","FOURTH"},{"SEM-1","SEM-2","SEM-3","SEM-4"},""))</f>
        <v>SEM-3</v>
      </c>
      <c r="G373" s="3">
        <v>95</v>
      </c>
      <c r="H373" s="3">
        <v>62</v>
      </c>
      <c r="I373" s="3">
        <v>6</v>
      </c>
      <c r="J373" s="3">
        <f t="shared" si="15"/>
        <v>163</v>
      </c>
      <c r="K373" s="3" t="str">
        <f t="shared" si="16"/>
        <v>P</v>
      </c>
      <c r="L373" s="3" t="str">
        <f t="shared" si="17"/>
        <v>B</v>
      </c>
    </row>
    <row r="374" spans="1:12" ht="14.25" customHeight="1">
      <c r="A374" s="3">
        <v>373</v>
      </c>
      <c r="B374" s="3" t="s">
        <v>4006</v>
      </c>
      <c r="C374" s="3" t="s">
        <v>1095</v>
      </c>
      <c r="D374" s="3">
        <v>9876544305</v>
      </c>
      <c r="E374" s="3" t="s">
        <v>4419</v>
      </c>
      <c r="F374" s="3" t="str" cm="1">
        <f t="array" ref="F374">IF(E374="","",_xlfn.XLOOKUP(E374,{"FIRST","SECOND","THIRD","FOURTH"},{"SEM-1","SEM-2","SEM-3","SEM-4"},""))</f>
        <v>SEM-2</v>
      </c>
      <c r="G374" s="3">
        <v>40</v>
      </c>
      <c r="H374" s="3">
        <v>4</v>
      </c>
      <c r="I374" s="3">
        <v>12</v>
      </c>
      <c r="J374" s="3">
        <f t="shared" si="15"/>
        <v>56</v>
      </c>
      <c r="K374" s="3" t="str">
        <f t="shared" si="16"/>
        <v>F</v>
      </c>
      <c r="L374" s="3" t="str">
        <f t="shared" si="17"/>
        <v>FAIL</v>
      </c>
    </row>
    <row r="375" spans="1:12" ht="14.25" customHeight="1">
      <c r="A375" s="3">
        <v>374</v>
      </c>
      <c r="B375" s="3" t="s">
        <v>3559</v>
      </c>
      <c r="C375" s="3" t="s">
        <v>653</v>
      </c>
      <c r="D375" s="3">
        <v>9876543858</v>
      </c>
      <c r="E375" s="3" t="s">
        <v>4419</v>
      </c>
      <c r="F375" s="3" t="str" cm="1">
        <f t="array" ref="F375">IF(E375="","",_xlfn.XLOOKUP(E375,{"FIRST","SECOND","THIRD","FOURTH"},{"SEM-1","SEM-2","SEM-3","SEM-4"},""))</f>
        <v>SEM-2</v>
      </c>
      <c r="G375" s="3">
        <v>25</v>
      </c>
      <c r="H375" s="3">
        <v>74</v>
      </c>
      <c r="I375" s="3">
        <v>75</v>
      </c>
      <c r="J375" s="3">
        <f t="shared" si="15"/>
        <v>174</v>
      </c>
      <c r="K375" s="3" t="str">
        <f t="shared" si="16"/>
        <v>P</v>
      </c>
      <c r="L375" s="3" t="str">
        <f t="shared" si="17"/>
        <v>B</v>
      </c>
    </row>
    <row r="376" spans="1:12" ht="14.25" customHeight="1">
      <c r="A376" s="3">
        <v>375</v>
      </c>
      <c r="B376" s="3" t="s">
        <v>3357</v>
      </c>
      <c r="C376" s="3" t="s">
        <v>453</v>
      </c>
      <c r="D376" s="3">
        <v>9876543656</v>
      </c>
      <c r="E376" s="3" t="s">
        <v>4419</v>
      </c>
      <c r="F376" s="3" t="str" cm="1">
        <f t="array" ref="F376">IF(E376="","",_xlfn.XLOOKUP(E376,{"FIRST","SECOND","THIRD","FOURTH"},{"SEM-1","SEM-2","SEM-3","SEM-4"},""))</f>
        <v>SEM-2</v>
      </c>
      <c r="G376" s="3">
        <v>43</v>
      </c>
      <c r="H376" s="3">
        <v>53</v>
      </c>
      <c r="I376" s="3">
        <v>77</v>
      </c>
      <c r="J376" s="3">
        <f t="shared" si="15"/>
        <v>173</v>
      </c>
      <c r="K376" s="3" t="str">
        <f t="shared" si="16"/>
        <v>P</v>
      </c>
      <c r="L376" s="3" t="str">
        <f t="shared" si="17"/>
        <v>B</v>
      </c>
    </row>
    <row r="377" spans="1:12" ht="14.25" customHeight="1">
      <c r="A377" s="3">
        <v>376</v>
      </c>
      <c r="B377" s="3" t="s">
        <v>3010</v>
      </c>
      <c r="C377" s="3" t="s">
        <v>108</v>
      </c>
      <c r="D377" s="3">
        <v>9876543309</v>
      </c>
      <c r="E377" s="3" t="s">
        <v>4419</v>
      </c>
      <c r="F377" s="3" t="str" cm="1">
        <f t="array" ref="F377">IF(E377="","",_xlfn.XLOOKUP(E377,{"FIRST","SECOND","THIRD","FOURTH"},{"SEM-1","SEM-2","SEM-3","SEM-4"},""))</f>
        <v>SEM-2</v>
      </c>
      <c r="G377" s="3">
        <v>44</v>
      </c>
      <c r="H377" s="3">
        <v>99</v>
      </c>
      <c r="I377" s="3">
        <v>28</v>
      </c>
      <c r="J377" s="3">
        <f t="shared" si="15"/>
        <v>171</v>
      </c>
      <c r="K377" s="3" t="str">
        <f t="shared" si="16"/>
        <v>P</v>
      </c>
      <c r="L377" s="3" t="str">
        <f t="shared" si="17"/>
        <v>B</v>
      </c>
    </row>
    <row r="378" spans="1:12" ht="14.25" customHeight="1">
      <c r="A378" s="3">
        <v>377</v>
      </c>
      <c r="B378" s="3" t="s">
        <v>4249</v>
      </c>
      <c r="C378" s="3" t="s">
        <v>1332</v>
      </c>
      <c r="D378" s="3">
        <v>9876544548</v>
      </c>
      <c r="E378" s="3" t="s">
        <v>4419</v>
      </c>
      <c r="F378" s="3" t="str" cm="1">
        <f t="array" ref="F378">IF(E378="","",_xlfn.XLOOKUP(E378,{"FIRST","SECOND","THIRD","FOURTH"},{"SEM-1","SEM-2","SEM-3","SEM-4"},""))</f>
        <v>SEM-2</v>
      </c>
      <c r="G378" s="3">
        <v>22</v>
      </c>
      <c r="H378" s="3">
        <v>11</v>
      </c>
      <c r="I378" s="3">
        <v>84</v>
      </c>
      <c r="J378" s="3">
        <f t="shared" si="15"/>
        <v>117</v>
      </c>
      <c r="K378" s="3" t="str">
        <f t="shared" si="16"/>
        <v>P</v>
      </c>
      <c r="L378" s="3" t="str">
        <f t="shared" si="17"/>
        <v>FAIL</v>
      </c>
    </row>
    <row r="379" spans="1:12" ht="14.25" customHeight="1">
      <c r="A379" s="3">
        <v>378</v>
      </c>
      <c r="B379" s="3" t="s">
        <v>3135</v>
      </c>
      <c r="C379" s="3" t="s">
        <v>233</v>
      </c>
      <c r="D379" s="3">
        <v>9876543434</v>
      </c>
      <c r="E379" s="3" t="s">
        <v>4419</v>
      </c>
      <c r="F379" s="3" t="str" cm="1">
        <f t="array" ref="F379">IF(E379="","",_xlfn.XLOOKUP(E379,{"FIRST","SECOND","THIRD","FOURTH"},{"SEM-1","SEM-2","SEM-3","SEM-4"},""))</f>
        <v>SEM-2</v>
      </c>
      <c r="G379" s="3">
        <v>61</v>
      </c>
      <c r="H379" s="3">
        <v>10</v>
      </c>
      <c r="I379" s="3">
        <v>55</v>
      </c>
      <c r="J379" s="3">
        <f t="shared" si="15"/>
        <v>126</v>
      </c>
      <c r="K379" s="3" t="str">
        <f t="shared" si="16"/>
        <v>P</v>
      </c>
      <c r="L379" s="3" t="str">
        <f t="shared" si="17"/>
        <v>C</v>
      </c>
    </row>
    <row r="380" spans="1:12" ht="14.25" customHeight="1">
      <c r="A380" s="3">
        <v>379</v>
      </c>
      <c r="B380" s="3" t="s">
        <v>3232</v>
      </c>
      <c r="C380" s="3" t="s">
        <v>329</v>
      </c>
      <c r="D380" s="3">
        <v>9876543531</v>
      </c>
      <c r="E380" s="3" t="s">
        <v>4420</v>
      </c>
      <c r="F380" s="3" t="str" cm="1">
        <f t="array" ref="F380">IF(E380="","",_xlfn.XLOOKUP(E380,{"FIRST","SECOND","THIRD","FOURTH"},{"SEM-1","SEM-2","SEM-3","SEM-4"},""))</f>
        <v>SEM-3</v>
      </c>
      <c r="G380" s="3">
        <v>24</v>
      </c>
      <c r="H380" s="3">
        <v>84</v>
      </c>
      <c r="I380" s="3">
        <v>99</v>
      </c>
      <c r="J380" s="3">
        <f t="shared" si="15"/>
        <v>207</v>
      </c>
      <c r="K380" s="3" t="str">
        <f t="shared" si="16"/>
        <v>P</v>
      </c>
      <c r="L380" s="3" t="str">
        <f t="shared" si="17"/>
        <v>A</v>
      </c>
    </row>
    <row r="381" spans="1:12" ht="14.25" customHeight="1">
      <c r="A381" s="3">
        <v>380</v>
      </c>
      <c r="B381" s="3" t="s">
        <v>4102</v>
      </c>
      <c r="C381" s="3" t="s">
        <v>1187</v>
      </c>
      <c r="D381" s="3">
        <v>9876544401</v>
      </c>
      <c r="E381" s="3" t="s">
        <v>4418</v>
      </c>
      <c r="F381" s="3" t="str" cm="1">
        <f t="array" ref="F381">IF(E381="","",_xlfn.XLOOKUP(E381,{"FIRST","SECOND","THIRD","FOURTH"},{"SEM-1","SEM-2","SEM-3","SEM-4"},""))</f>
        <v>SEM-1</v>
      </c>
      <c r="G381" s="3">
        <v>54</v>
      </c>
      <c r="H381" s="3">
        <v>44</v>
      </c>
      <c r="I381" s="3">
        <v>84</v>
      </c>
      <c r="J381" s="3">
        <f t="shared" si="15"/>
        <v>182</v>
      </c>
      <c r="K381" s="3" t="str">
        <f t="shared" si="16"/>
        <v>P</v>
      </c>
      <c r="L381" s="3" t="str">
        <f t="shared" si="17"/>
        <v>B</v>
      </c>
    </row>
    <row r="382" spans="1:12" ht="14.25" customHeight="1">
      <c r="A382" s="3">
        <v>381</v>
      </c>
      <c r="B382" s="3" t="s">
        <v>4001</v>
      </c>
      <c r="C382" s="3" t="s">
        <v>1090</v>
      </c>
      <c r="D382" s="3">
        <v>9876544300</v>
      </c>
      <c r="E382" s="3" t="s">
        <v>4420</v>
      </c>
      <c r="F382" s="3" t="str" cm="1">
        <f t="array" ref="F382">IF(E382="","",_xlfn.XLOOKUP(E382,{"FIRST","SECOND","THIRD","FOURTH"},{"SEM-1","SEM-2","SEM-3","SEM-4"},""))</f>
        <v>SEM-3</v>
      </c>
      <c r="G382" s="3">
        <v>87</v>
      </c>
      <c r="H382" s="3">
        <v>73</v>
      </c>
      <c r="I382" s="3">
        <v>82</v>
      </c>
      <c r="J382" s="3">
        <f t="shared" si="15"/>
        <v>242</v>
      </c>
      <c r="K382" s="3" t="str">
        <f t="shared" si="16"/>
        <v>P</v>
      </c>
      <c r="L382" s="3" t="str">
        <f t="shared" si="17"/>
        <v>A</v>
      </c>
    </row>
    <row r="383" spans="1:12" ht="14.25" customHeight="1">
      <c r="A383" s="3">
        <v>382</v>
      </c>
      <c r="B383" s="3" t="s">
        <v>3887</v>
      </c>
      <c r="C383" s="3" t="s">
        <v>978</v>
      </c>
      <c r="D383" s="3">
        <v>9876544186</v>
      </c>
      <c r="E383" s="3" t="s">
        <v>4418</v>
      </c>
      <c r="F383" s="3" t="str" cm="1">
        <f t="array" ref="F383">IF(E383="","",_xlfn.XLOOKUP(E383,{"FIRST","SECOND","THIRD","FOURTH"},{"SEM-1","SEM-2","SEM-3","SEM-4"},""))</f>
        <v>SEM-1</v>
      </c>
      <c r="G383" s="3">
        <v>93</v>
      </c>
      <c r="H383" s="3">
        <v>33</v>
      </c>
      <c r="I383" s="3">
        <v>44</v>
      </c>
      <c r="J383" s="3">
        <f t="shared" si="15"/>
        <v>170</v>
      </c>
      <c r="K383" s="3" t="str">
        <f t="shared" si="16"/>
        <v>P</v>
      </c>
      <c r="L383" s="3" t="str">
        <f t="shared" si="17"/>
        <v>B</v>
      </c>
    </row>
    <row r="384" spans="1:12" ht="14.25" customHeight="1">
      <c r="A384" s="3">
        <v>383</v>
      </c>
      <c r="B384" s="3" t="s">
        <v>3672</v>
      </c>
      <c r="C384" s="3" t="s">
        <v>765</v>
      </c>
      <c r="D384" s="3">
        <v>9876543971</v>
      </c>
      <c r="E384" s="3" t="s">
        <v>4418</v>
      </c>
      <c r="F384" s="3" t="str" cm="1">
        <f t="array" ref="F384">IF(E384="","",_xlfn.XLOOKUP(E384,{"FIRST","SECOND","THIRD","FOURTH"},{"SEM-1","SEM-2","SEM-3","SEM-4"},""))</f>
        <v>SEM-1</v>
      </c>
      <c r="G384" s="3">
        <v>55</v>
      </c>
      <c r="H384" s="3">
        <v>5</v>
      </c>
      <c r="I384" s="3">
        <v>58</v>
      </c>
      <c r="J384" s="3">
        <f t="shared" si="15"/>
        <v>118</v>
      </c>
      <c r="K384" s="3" t="str">
        <f t="shared" si="16"/>
        <v>F</v>
      </c>
      <c r="L384" s="3" t="str">
        <f t="shared" si="17"/>
        <v>FAIL</v>
      </c>
    </row>
    <row r="385" spans="1:12" ht="14.25" customHeight="1">
      <c r="A385" s="3">
        <v>384</v>
      </c>
      <c r="B385" s="3" t="s">
        <v>3724</v>
      </c>
      <c r="C385" s="3" t="s">
        <v>817</v>
      </c>
      <c r="D385" s="3">
        <v>9876544023</v>
      </c>
      <c r="E385" s="3" t="s">
        <v>4419</v>
      </c>
      <c r="F385" s="3" t="str" cm="1">
        <f t="array" ref="F385">IF(E385="","",_xlfn.XLOOKUP(E385,{"FIRST","SECOND","THIRD","FOURTH"},{"SEM-1","SEM-2","SEM-3","SEM-4"},""))</f>
        <v>SEM-2</v>
      </c>
      <c r="G385" s="3">
        <v>67</v>
      </c>
      <c r="H385" s="3">
        <v>52</v>
      </c>
      <c r="I385" s="3">
        <v>11</v>
      </c>
      <c r="J385" s="3">
        <f t="shared" si="15"/>
        <v>130</v>
      </c>
      <c r="K385" s="3" t="str">
        <f t="shared" si="16"/>
        <v>P</v>
      </c>
      <c r="L385" s="3" t="str">
        <f t="shared" si="17"/>
        <v>C</v>
      </c>
    </row>
    <row r="386" spans="1:12" ht="14.25" customHeight="1">
      <c r="A386" s="3">
        <v>385</v>
      </c>
      <c r="B386" s="3" t="s">
        <v>3340</v>
      </c>
      <c r="C386" s="3" t="s">
        <v>436</v>
      </c>
      <c r="D386" s="3">
        <v>9876543639</v>
      </c>
      <c r="E386" s="3" t="s">
        <v>4419</v>
      </c>
      <c r="F386" s="3" t="str" cm="1">
        <f t="array" ref="F386">IF(E386="","",_xlfn.XLOOKUP(E386,{"FIRST","SECOND","THIRD","FOURTH"},{"SEM-1","SEM-2","SEM-3","SEM-4"},""))</f>
        <v>SEM-2</v>
      </c>
      <c r="G386" s="3">
        <v>76</v>
      </c>
      <c r="H386" s="3">
        <v>58</v>
      </c>
      <c r="I386" s="3">
        <v>59</v>
      </c>
      <c r="J386" s="3">
        <f t="shared" ref="J386:J449" si="18">SUM(G386:I386)</f>
        <v>193</v>
      </c>
      <c r="K386" s="3" t="str">
        <f t="shared" ref="K386:K449" si="19">IF(OR(G386&gt;=70,H386&gt;=70,I386&gt;=70,J386&gt;=120),"P","F")</f>
        <v>P</v>
      </c>
      <c r="L386" s="3" t="str">
        <f t="shared" ref="L386:L449" si="20">IF(J386&gt;=190,"A",IF(J386&gt;=150,"B",IF(J386&gt;=120,"C","FAIL")))</f>
        <v>A</v>
      </c>
    </row>
    <row r="387" spans="1:12" ht="14.25" customHeight="1">
      <c r="A387" s="3">
        <v>386</v>
      </c>
      <c r="B387" s="3" t="s">
        <v>4011</v>
      </c>
      <c r="C387" s="3" t="s">
        <v>1100</v>
      </c>
      <c r="D387" s="3">
        <v>9876544310</v>
      </c>
      <c r="E387" s="3" t="s">
        <v>4420</v>
      </c>
      <c r="F387" s="3" t="str" cm="1">
        <f t="array" ref="F387">IF(E387="","",_xlfn.XLOOKUP(E387,{"FIRST","SECOND","THIRD","FOURTH"},{"SEM-1","SEM-2","SEM-3","SEM-4"},""))</f>
        <v>SEM-3</v>
      </c>
      <c r="G387" s="3">
        <v>78</v>
      </c>
      <c r="H387" s="3">
        <v>20</v>
      </c>
      <c r="I387" s="3">
        <v>16</v>
      </c>
      <c r="J387" s="3">
        <f t="shared" si="18"/>
        <v>114</v>
      </c>
      <c r="K387" s="3" t="str">
        <f t="shared" si="19"/>
        <v>P</v>
      </c>
      <c r="L387" s="3" t="str">
        <f t="shared" si="20"/>
        <v>FAIL</v>
      </c>
    </row>
    <row r="388" spans="1:12" ht="14.25" customHeight="1">
      <c r="A388" s="3">
        <v>387</v>
      </c>
      <c r="B388" s="3" t="s">
        <v>3660</v>
      </c>
      <c r="C388" s="3" t="s">
        <v>753</v>
      </c>
      <c r="D388" s="3">
        <v>9876543959</v>
      </c>
      <c r="E388" s="3" t="s">
        <v>4420</v>
      </c>
      <c r="F388" s="3" t="str" cm="1">
        <f t="array" ref="F388">IF(E388="","",_xlfn.XLOOKUP(E388,{"FIRST","SECOND","THIRD","FOURTH"},{"SEM-1","SEM-2","SEM-3","SEM-4"},""))</f>
        <v>SEM-3</v>
      </c>
      <c r="G388" s="3">
        <v>39</v>
      </c>
      <c r="H388" s="3">
        <v>8</v>
      </c>
      <c r="I388" s="3">
        <v>33</v>
      </c>
      <c r="J388" s="3">
        <f t="shared" si="18"/>
        <v>80</v>
      </c>
      <c r="K388" s="3" t="str">
        <f t="shared" si="19"/>
        <v>F</v>
      </c>
      <c r="L388" s="3" t="str">
        <f t="shared" si="20"/>
        <v>FAIL</v>
      </c>
    </row>
    <row r="389" spans="1:12" ht="14.25" customHeight="1">
      <c r="A389" s="3">
        <v>388</v>
      </c>
      <c r="B389" s="3" t="s">
        <v>3566</v>
      </c>
      <c r="C389" s="3" t="s">
        <v>660</v>
      </c>
      <c r="D389" s="3">
        <v>9876543865</v>
      </c>
      <c r="E389" s="3" t="s">
        <v>4418</v>
      </c>
      <c r="F389" s="3" t="str" cm="1">
        <f t="array" ref="F389">IF(E389="","",_xlfn.XLOOKUP(E389,{"FIRST","SECOND","THIRD","FOURTH"},{"SEM-1","SEM-2","SEM-3","SEM-4"},""))</f>
        <v>SEM-1</v>
      </c>
      <c r="G389" s="3">
        <v>42</v>
      </c>
      <c r="H389" s="3">
        <v>85</v>
      </c>
      <c r="I389" s="3">
        <v>59</v>
      </c>
      <c r="J389" s="3">
        <f t="shared" si="18"/>
        <v>186</v>
      </c>
      <c r="K389" s="3" t="str">
        <f t="shared" si="19"/>
        <v>P</v>
      </c>
      <c r="L389" s="3" t="str">
        <f t="shared" si="20"/>
        <v>B</v>
      </c>
    </row>
    <row r="390" spans="1:12" ht="14.25" customHeight="1">
      <c r="A390" s="3">
        <v>389</v>
      </c>
      <c r="B390" s="3" t="s">
        <v>4350</v>
      </c>
      <c r="C390" s="3" t="s">
        <v>1429</v>
      </c>
      <c r="D390" s="3">
        <v>9876544649</v>
      </c>
      <c r="E390" s="3" t="s">
        <v>4418</v>
      </c>
      <c r="F390" s="3" t="str" cm="1">
        <f t="array" ref="F390">IF(E390="","",_xlfn.XLOOKUP(E390,{"FIRST","SECOND","THIRD","FOURTH"},{"SEM-1","SEM-2","SEM-3","SEM-4"},""))</f>
        <v>SEM-1</v>
      </c>
      <c r="G390" s="3">
        <v>72</v>
      </c>
      <c r="H390" s="3">
        <v>100</v>
      </c>
      <c r="I390" s="3">
        <v>51</v>
      </c>
      <c r="J390" s="3">
        <f t="shared" si="18"/>
        <v>223</v>
      </c>
      <c r="K390" s="3" t="str">
        <f t="shared" si="19"/>
        <v>P</v>
      </c>
      <c r="L390" s="3" t="str">
        <f t="shared" si="20"/>
        <v>A</v>
      </c>
    </row>
    <row r="391" spans="1:12" ht="14.25" customHeight="1">
      <c r="A391" s="3">
        <v>390</v>
      </c>
      <c r="B391" s="3" t="s">
        <v>4214</v>
      </c>
      <c r="C391" s="3" t="s">
        <v>1297</v>
      </c>
      <c r="D391" s="3">
        <v>9876544513</v>
      </c>
      <c r="E391" s="3" t="s">
        <v>4418</v>
      </c>
      <c r="F391" s="3" t="str" cm="1">
        <f t="array" ref="F391">IF(E391="","",_xlfn.XLOOKUP(E391,{"FIRST","SECOND","THIRD","FOURTH"},{"SEM-1","SEM-2","SEM-3","SEM-4"},""))</f>
        <v>SEM-1</v>
      </c>
      <c r="G391" s="3">
        <v>73</v>
      </c>
      <c r="H391" s="3">
        <v>67</v>
      </c>
      <c r="I391" s="3">
        <v>13</v>
      </c>
      <c r="J391" s="3">
        <f t="shared" si="18"/>
        <v>153</v>
      </c>
      <c r="K391" s="3" t="str">
        <f t="shared" si="19"/>
        <v>P</v>
      </c>
      <c r="L391" s="3" t="str">
        <f t="shared" si="20"/>
        <v>B</v>
      </c>
    </row>
    <row r="392" spans="1:12" ht="14.25" customHeight="1">
      <c r="A392" s="3">
        <v>391</v>
      </c>
      <c r="B392" s="3" t="s">
        <v>3192</v>
      </c>
      <c r="C392" s="3" t="s">
        <v>290</v>
      </c>
      <c r="D392" s="3">
        <v>9876543491</v>
      </c>
      <c r="E392" s="3" t="s">
        <v>4419</v>
      </c>
      <c r="F392" s="3" t="str" cm="1">
        <f t="array" ref="F392">IF(E392="","",_xlfn.XLOOKUP(E392,{"FIRST","SECOND","THIRD","FOURTH"},{"SEM-1","SEM-2","SEM-3","SEM-4"},""))</f>
        <v>SEM-2</v>
      </c>
      <c r="G392" s="3">
        <v>86</v>
      </c>
      <c r="H392" s="3">
        <v>66</v>
      </c>
      <c r="I392" s="3">
        <v>13</v>
      </c>
      <c r="J392" s="3">
        <f t="shared" si="18"/>
        <v>165</v>
      </c>
      <c r="K392" s="3" t="str">
        <f t="shared" si="19"/>
        <v>P</v>
      </c>
      <c r="L392" s="3" t="str">
        <f t="shared" si="20"/>
        <v>B</v>
      </c>
    </row>
    <row r="393" spans="1:12" ht="14.25" customHeight="1">
      <c r="A393" s="3">
        <v>392</v>
      </c>
      <c r="B393" s="3" t="s">
        <v>4017</v>
      </c>
      <c r="C393" s="3" t="s">
        <v>1106</v>
      </c>
      <c r="D393" s="3">
        <v>9876544316</v>
      </c>
      <c r="E393" s="3" t="s">
        <v>4418</v>
      </c>
      <c r="F393" s="3" t="str" cm="1">
        <f t="array" ref="F393">IF(E393="","",_xlfn.XLOOKUP(E393,{"FIRST","SECOND","THIRD","FOURTH"},{"SEM-1","SEM-2","SEM-3","SEM-4"},""))</f>
        <v>SEM-1</v>
      </c>
      <c r="G393" s="3">
        <v>51</v>
      </c>
      <c r="H393" s="3">
        <v>14</v>
      </c>
      <c r="I393" s="3">
        <v>10</v>
      </c>
      <c r="J393" s="3">
        <f t="shared" si="18"/>
        <v>75</v>
      </c>
      <c r="K393" s="3" t="str">
        <f t="shared" si="19"/>
        <v>F</v>
      </c>
      <c r="L393" s="3" t="str">
        <f t="shared" si="20"/>
        <v>FAIL</v>
      </c>
    </row>
    <row r="394" spans="1:12" ht="14.25" customHeight="1">
      <c r="A394" s="3">
        <v>393</v>
      </c>
      <c r="B394" s="3" t="s">
        <v>3894</v>
      </c>
      <c r="C394" s="3" t="s">
        <v>985</v>
      </c>
      <c r="D394" s="3">
        <v>9876544193</v>
      </c>
      <c r="E394" s="3" t="s">
        <v>4418</v>
      </c>
      <c r="F394" s="3" t="str" cm="1">
        <f t="array" ref="F394">IF(E394="","",_xlfn.XLOOKUP(E394,{"FIRST","SECOND","THIRD","FOURTH"},{"SEM-1","SEM-2","SEM-3","SEM-4"},""))</f>
        <v>SEM-1</v>
      </c>
      <c r="G394" s="3">
        <v>44</v>
      </c>
      <c r="H394" s="3">
        <v>26</v>
      </c>
      <c r="I394" s="3">
        <v>64</v>
      </c>
      <c r="J394" s="3">
        <f t="shared" si="18"/>
        <v>134</v>
      </c>
      <c r="K394" s="3" t="str">
        <f t="shared" si="19"/>
        <v>P</v>
      </c>
      <c r="L394" s="3" t="str">
        <f t="shared" si="20"/>
        <v>C</v>
      </c>
    </row>
    <row r="395" spans="1:12" ht="14.25" customHeight="1">
      <c r="A395" s="3">
        <v>394</v>
      </c>
      <c r="B395" s="3" t="s">
        <v>3078</v>
      </c>
      <c r="C395" s="3" t="s">
        <v>176</v>
      </c>
      <c r="D395" s="3">
        <v>9876543377</v>
      </c>
      <c r="E395" s="3" t="s">
        <v>4419</v>
      </c>
      <c r="F395" s="3" t="str" cm="1">
        <f t="array" ref="F395">IF(E395="","",_xlfn.XLOOKUP(E395,{"FIRST","SECOND","THIRD","FOURTH"},{"SEM-1","SEM-2","SEM-3","SEM-4"},""))</f>
        <v>SEM-2</v>
      </c>
      <c r="G395" s="3">
        <v>20</v>
      </c>
      <c r="H395" s="3">
        <v>83</v>
      </c>
      <c r="I395" s="3">
        <v>61</v>
      </c>
      <c r="J395" s="3">
        <f t="shared" si="18"/>
        <v>164</v>
      </c>
      <c r="K395" s="3" t="str">
        <f t="shared" si="19"/>
        <v>P</v>
      </c>
      <c r="L395" s="3" t="str">
        <f t="shared" si="20"/>
        <v>B</v>
      </c>
    </row>
    <row r="396" spans="1:12" ht="14.25" customHeight="1">
      <c r="A396" s="3">
        <v>395</v>
      </c>
      <c r="B396" s="3" t="s">
        <v>3027</v>
      </c>
      <c r="C396" s="3" t="s">
        <v>125</v>
      </c>
      <c r="D396" s="3">
        <v>9876543326</v>
      </c>
      <c r="E396" s="3" t="s">
        <v>4419</v>
      </c>
      <c r="F396" s="3" t="str" cm="1">
        <f t="array" ref="F396">IF(E396="","",_xlfn.XLOOKUP(E396,{"FIRST","SECOND","THIRD","FOURTH"},{"SEM-1","SEM-2","SEM-3","SEM-4"},""))</f>
        <v>SEM-2</v>
      </c>
      <c r="G396" s="3">
        <v>25</v>
      </c>
      <c r="H396" s="3">
        <v>60</v>
      </c>
      <c r="I396" s="3">
        <v>41</v>
      </c>
      <c r="J396" s="3">
        <f t="shared" si="18"/>
        <v>126</v>
      </c>
      <c r="K396" s="3" t="str">
        <f t="shared" si="19"/>
        <v>P</v>
      </c>
      <c r="L396" s="3" t="str">
        <f t="shared" si="20"/>
        <v>C</v>
      </c>
    </row>
    <row r="397" spans="1:12" ht="14.25" customHeight="1">
      <c r="A397" s="3">
        <v>396</v>
      </c>
      <c r="B397" s="3" t="s">
        <v>4363</v>
      </c>
      <c r="C397" s="3" t="s">
        <v>1442</v>
      </c>
      <c r="D397" s="3">
        <v>9876544662</v>
      </c>
      <c r="E397" s="3" t="s">
        <v>4418</v>
      </c>
      <c r="F397" s="3" t="str" cm="1">
        <f t="array" ref="F397">IF(E397="","",_xlfn.XLOOKUP(E397,{"FIRST","SECOND","THIRD","FOURTH"},{"SEM-1","SEM-2","SEM-3","SEM-4"},""))</f>
        <v>SEM-1</v>
      </c>
      <c r="G397" s="3">
        <v>6</v>
      </c>
      <c r="H397" s="3">
        <v>13</v>
      </c>
      <c r="I397" s="3">
        <v>13</v>
      </c>
      <c r="J397" s="3">
        <f t="shared" si="18"/>
        <v>32</v>
      </c>
      <c r="K397" s="3" t="str">
        <f t="shared" si="19"/>
        <v>F</v>
      </c>
      <c r="L397" s="3" t="str">
        <f t="shared" si="20"/>
        <v>FAIL</v>
      </c>
    </row>
    <row r="398" spans="1:12" ht="14.25" customHeight="1">
      <c r="A398" s="3">
        <v>397</v>
      </c>
      <c r="B398" s="3" t="s">
        <v>4211</v>
      </c>
      <c r="C398" s="3" t="s">
        <v>1294</v>
      </c>
      <c r="D398" s="3">
        <v>9876544510</v>
      </c>
      <c r="E398" s="3" t="s">
        <v>4419</v>
      </c>
      <c r="F398" s="3" t="str" cm="1">
        <f t="array" ref="F398">IF(E398="","",_xlfn.XLOOKUP(E398,{"FIRST","SECOND","THIRD","FOURTH"},{"SEM-1","SEM-2","SEM-3","SEM-4"},""))</f>
        <v>SEM-2</v>
      </c>
      <c r="G398" s="3">
        <v>71</v>
      </c>
      <c r="H398" s="3">
        <v>17</v>
      </c>
      <c r="I398" s="3">
        <v>2</v>
      </c>
      <c r="J398" s="3">
        <f t="shared" si="18"/>
        <v>90</v>
      </c>
      <c r="K398" s="3" t="str">
        <f t="shared" si="19"/>
        <v>P</v>
      </c>
      <c r="L398" s="3" t="str">
        <f t="shared" si="20"/>
        <v>FAIL</v>
      </c>
    </row>
    <row r="399" spans="1:12" ht="14.25" customHeight="1">
      <c r="A399" s="3">
        <v>398</v>
      </c>
      <c r="B399" s="3" t="s">
        <v>3656</v>
      </c>
      <c r="C399" s="3" t="s">
        <v>750</v>
      </c>
      <c r="D399" s="3">
        <v>9876543955</v>
      </c>
      <c r="E399" s="3" t="s">
        <v>4419</v>
      </c>
      <c r="F399" s="3" t="str" cm="1">
        <f t="array" ref="F399">IF(E399="","",_xlfn.XLOOKUP(E399,{"FIRST","SECOND","THIRD","FOURTH"},{"SEM-1","SEM-2","SEM-3","SEM-4"},""))</f>
        <v>SEM-2</v>
      </c>
      <c r="G399" s="3">
        <v>72</v>
      </c>
      <c r="H399" s="3">
        <v>20</v>
      </c>
      <c r="I399" s="3">
        <v>39</v>
      </c>
      <c r="J399" s="3">
        <f t="shared" si="18"/>
        <v>131</v>
      </c>
      <c r="K399" s="3" t="str">
        <f t="shared" si="19"/>
        <v>P</v>
      </c>
      <c r="L399" s="3" t="str">
        <f t="shared" si="20"/>
        <v>C</v>
      </c>
    </row>
    <row r="400" spans="1:12" ht="14.25" customHeight="1">
      <c r="A400" s="3">
        <v>399</v>
      </c>
      <c r="B400" s="3" t="s">
        <v>3029</v>
      </c>
      <c r="C400" s="3" t="s">
        <v>127</v>
      </c>
      <c r="D400" s="3">
        <v>9876543328</v>
      </c>
      <c r="E400" s="3" t="s">
        <v>4418</v>
      </c>
      <c r="F400" s="3" t="str" cm="1">
        <f t="array" ref="F400">IF(E400="","",_xlfn.XLOOKUP(E400,{"FIRST","SECOND","THIRD","FOURTH"},{"SEM-1","SEM-2","SEM-3","SEM-4"},""))</f>
        <v>SEM-1</v>
      </c>
      <c r="G400" s="3">
        <v>85</v>
      </c>
      <c r="H400" s="3">
        <v>1</v>
      </c>
      <c r="I400" s="3">
        <v>46</v>
      </c>
      <c r="J400" s="3">
        <f t="shared" si="18"/>
        <v>132</v>
      </c>
      <c r="K400" s="3" t="str">
        <f t="shared" si="19"/>
        <v>P</v>
      </c>
      <c r="L400" s="3" t="str">
        <f t="shared" si="20"/>
        <v>C</v>
      </c>
    </row>
    <row r="401" spans="1:12" ht="14.25" customHeight="1">
      <c r="A401" s="3">
        <v>400</v>
      </c>
      <c r="B401" s="3" t="s">
        <v>3366</v>
      </c>
      <c r="C401" s="3" t="s">
        <v>462</v>
      </c>
      <c r="D401" s="3">
        <v>9876543665</v>
      </c>
      <c r="E401" s="3" t="s">
        <v>4418</v>
      </c>
      <c r="F401" s="3" t="str" cm="1">
        <f t="array" ref="F401">IF(E401="","",_xlfn.XLOOKUP(E401,{"FIRST","SECOND","THIRD","FOURTH"},{"SEM-1","SEM-2","SEM-3","SEM-4"},""))</f>
        <v>SEM-1</v>
      </c>
      <c r="G401" s="3">
        <v>97</v>
      </c>
      <c r="H401" s="3">
        <v>61</v>
      </c>
      <c r="I401" s="3">
        <v>86</v>
      </c>
      <c r="J401" s="3">
        <f t="shared" si="18"/>
        <v>244</v>
      </c>
      <c r="K401" s="3" t="str">
        <f t="shared" si="19"/>
        <v>P</v>
      </c>
      <c r="L401" s="3" t="str">
        <f t="shared" si="20"/>
        <v>A</v>
      </c>
    </row>
    <row r="402" spans="1:12" ht="14.25" customHeight="1">
      <c r="A402" s="3">
        <v>401</v>
      </c>
      <c r="B402" s="3" t="s">
        <v>3754</v>
      </c>
      <c r="C402" s="3" t="s">
        <v>847</v>
      </c>
      <c r="D402" s="3">
        <v>9876544053</v>
      </c>
      <c r="E402" s="3" t="s">
        <v>4418</v>
      </c>
      <c r="F402" s="3" t="str" cm="1">
        <f t="array" ref="F402">IF(E402="","",_xlfn.XLOOKUP(E402,{"FIRST","SECOND","THIRD","FOURTH"},{"SEM-1","SEM-2","SEM-3","SEM-4"},""))</f>
        <v>SEM-1</v>
      </c>
      <c r="G402" s="3">
        <v>65</v>
      </c>
      <c r="H402" s="3">
        <v>25</v>
      </c>
      <c r="I402" s="3">
        <v>40</v>
      </c>
      <c r="J402" s="3">
        <f t="shared" si="18"/>
        <v>130</v>
      </c>
      <c r="K402" s="3" t="str">
        <f t="shared" si="19"/>
        <v>P</v>
      </c>
      <c r="L402" s="3" t="str">
        <f t="shared" si="20"/>
        <v>C</v>
      </c>
    </row>
    <row r="403" spans="1:12" ht="14.25" customHeight="1">
      <c r="A403" s="3">
        <v>402</v>
      </c>
      <c r="B403" s="3" t="s">
        <v>3075</v>
      </c>
      <c r="C403" s="3" t="s">
        <v>173</v>
      </c>
      <c r="D403" s="3">
        <v>9876543374</v>
      </c>
      <c r="E403" s="3" t="s">
        <v>4420</v>
      </c>
      <c r="F403" s="3" t="str" cm="1">
        <f t="array" ref="F403">IF(E403="","",_xlfn.XLOOKUP(E403,{"FIRST","SECOND","THIRD","FOURTH"},{"SEM-1","SEM-2","SEM-3","SEM-4"},""))</f>
        <v>SEM-3</v>
      </c>
      <c r="G403" s="3">
        <v>71</v>
      </c>
      <c r="H403" s="3">
        <v>50</v>
      </c>
      <c r="I403" s="3">
        <v>4</v>
      </c>
      <c r="J403" s="3">
        <f t="shared" si="18"/>
        <v>125</v>
      </c>
      <c r="K403" s="3" t="str">
        <f t="shared" si="19"/>
        <v>P</v>
      </c>
      <c r="L403" s="3" t="str">
        <f t="shared" si="20"/>
        <v>C</v>
      </c>
    </row>
    <row r="404" spans="1:12" ht="14.25" customHeight="1">
      <c r="A404" s="3">
        <v>403</v>
      </c>
      <c r="B404" s="3" t="s">
        <v>3038</v>
      </c>
      <c r="C404" s="3" t="s">
        <v>136</v>
      </c>
      <c r="D404" s="3">
        <v>9876543337</v>
      </c>
      <c r="E404" s="3" t="s">
        <v>4418</v>
      </c>
      <c r="F404" s="3" t="str" cm="1">
        <f t="array" ref="F404">IF(E404="","",_xlfn.XLOOKUP(E404,{"FIRST","SECOND","THIRD","FOURTH"},{"SEM-1","SEM-2","SEM-3","SEM-4"},""))</f>
        <v>SEM-1</v>
      </c>
      <c r="G404" s="3">
        <v>81</v>
      </c>
      <c r="H404" s="3">
        <v>51</v>
      </c>
      <c r="I404" s="3">
        <v>23</v>
      </c>
      <c r="J404" s="3">
        <f t="shared" si="18"/>
        <v>155</v>
      </c>
      <c r="K404" s="3" t="str">
        <f t="shared" si="19"/>
        <v>P</v>
      </c>
      <c r="L404" s="3" t="str">
        <f t="shared" si="20"/>
        <v>B</v>
      </c>
    </row>
    <row r="405" spans="1:12" ht="14.25" customHeight="1">
      <c r="A405" s="3">
        <v>404</v>
      </c>
      <c r="B405" s="3" t="s">
        <v>3411</v>
      </c>
      <c r="C405" s="3" t="s">
        <v>507</v>
      </c>
      <c r="D405" s="3">
        <v>9876543710</v>
      </c>
      <c r="E405" s="3" t="s">
        <v>4418</v>
      </c>
      <c r="F405" s="3" t="str" cm="1">
        <f t="array" ref="F405">IF(E405="","",_xlfn.XLOOKUP(E405,{"FIRST","SECOND","THIRD","FOURTH"},{"SEM-1","SEM-2","SEM-3","SEM-4"},""))</f>
        <v>SEM-1</v>
      </c>
      <c r="G405" s="3">
        <v>13</v>
      </c>
      <c r="H405" s="3">
        <v>6</v>
      </c>
      <c r="I405" s="3">
        <v>22</v>
      </c>
      <c r="J405" s="3">
        <f t="shared" si="18"/>
        <v>41</v>
      </c>
      <c r="K405" s="3" t="str">
        <f t="shared" si="19"/>
        <v>F</v>
      </c>
      <c r="L405" s="3" t="str">
        <f t="shared" si="20"/>
        <v>FAIL</v>
      </c>
    </row>
    <row r="406" spans="1:12" ht="14.25" customHeight="1">
      <c r="A406" s="3">
        <v>405</v>
      </c>
      <c r="B406" s="3" t="s">
        <v>3772</v>
      </c>
      <c r="C406" s="3" t="s">
        <v>864</v>
      </c>
      <c r="D406" s="3">
        <v>9876544071</v>
      </c>
      <c r="E406" s="3" t="s">
        <v>4419</v>
      </c>
      <c r="F406" s="3" t="str" cm="1">
        <f t="array" ref="F406">IF(E406="","",_xlfn.XLOOKUP(E406,{"FIRST","SECOND","THIRD","FOURTH"},{"SEM-1","SEM-2","SEM-3","SEM-4"},""))</f>
        <v>SEM-2</v>
      </c>
      <c r="G406" s="3">
        <v>11</v>
      </c>
      <c r="H406" s="3">
        <v>9</v>
      </c>
      <c r="I406" s="3">
        <v>26</v>
      </c>
      <c r="J406" s="3">
        <f t="shared" si="18"/>
        <v>46</v>
      </c>
      <c r="K406" s="3" t="str">
        <f t="shared" si="19"/>
        <v>F</v>
      </c>
      <c r="L406" s="3" t="str">
        <f t="shared" si="20"/>
        <v>FAIL</v>
      </c>
    </row>
    <row r="407" spans="1:12" ht="14.25" customHeight="1">
      <c r="A407" s="3">
        <v>406</v>
      </c>
      <c r="B407" s="3" t="s">
        <v>3737</v>
      </c>
      <c r="C407" s="3" t="s">
        <v>830</v>
      </c>
      <c r="D407" s="3">
        <v>9876544036</v>
      </c>
      <c r="E407" s="3" t="s">
        <v>4418</v>
      </c>
      <c r="F407" s="3" t="str" cm="1">
        <f t="array" ref="F407">IF(E407="","",_xlfn.XLOOKUP(E407,{"FIRST","SECOND","THIRD","FOURTH"},{"SEM-1","SEM-2","SEM-3","SEM-4"},""))</f>
        <v>SEM-1</v>
      </c>
      <c r="G407" s="3">
        <v>70</v>
      </c>
      <c r="H407" s="3">
        <v>65</v>
      </c>
      <c r="I407" s="3">
        <v>88</v>
      </c>
      <c r="J407" s="3">
        <f t="shared" si="18"/>
        <v>223</v>
      </c>
      <c r="K407" s="3" t="str">
        <f t="shared" si="19"/>
        <v>P</v>
      </c>
      <c r="L407" s="3" t="str">
        <f t="shared" si="20"/>
        <v>A</v>
      </c>
    </row>
    <row r="408" spans="1:12" ht="14.25" customHeight="1">
      <c r="A408" s="3">
        <v>407</v>
      </c>
      <c r="B408" s="3" t="s">
        <v>3254</v>
      </c>
      <c r="C408" s="3" t="s">
        <v>351</v>
      </c>
      <c r="D408" s="3">
        <v>9876543553</v>
      </c>
      <c r="E408" s="3" t="s">
        <v>4419</v>
      </c>
      <c r="F408" s="3" t="str" cm="1">
        <f t="array" ref="F408">IF(E408="","",_xlfn.XLOOKUP(E408,{"FIRST","SECOND","THIRD","FOURTH"},{"SEM-1","SEM-2","SEM-3","SEM-4"},""))</f>
        <v>SEM-2</v>
      </c>
      <c r="G408" s="3">
        <v>18</v>
      </c>
      <c r="H408" s="3">
        <v>59</v>
      </c>
      <c r="I408" s="3">
        <v>48</v>
      </c>
      <c r="J408" s="3">
        <f t="shared" si="18"/>
        <v>125</v>
      </c>
      <c r="K408" s="3" t="str">
        <f t="shared" si="19"/>
        <v>P</v>
      </c>
      <c r="L408" s="3" t="str">
        <f t="shared" si="20"/>
        <v>C</v>
      </c>
    </row>
    <row r="409" spans="1:12" ht="14.25" customHeight="1">
      <c r="A409" s="3">
        <v>408</v>
      </c>
      <c r="B409" s="3" t="s">
        <v>4144</v>
      </c>
      <c r="C409" s="3" t="s">
        <v>1229</v>
      </c>
      <c r="D409" s="3">
        <v>9876544443</v>
      </c>
      <c r="E409" s="3" t="s">
        <v>4418</v>
      </c>
      <c r="F409" s="3" t="str" cm="1">
        <f t="array" ref="F409">IF(E409="","",_xlfn.XLOOKUP(E409,{"FIRST","SECOND","THIRD","FOURTH"},{"SEM-1","SEM-2","SEM-3","SEM-4"},""))</f>
        <v>SEM-1</v>
      </c>
      <c r="G409" s="3">
        <v>3</v>
      </c>
      <c r="H409" s="3">
        <v>90</v>
      </c>
      <c r="I409" s="3">
        <v>23</v>
      </c>
      <c r="J409" s="3">
        <f t="shared" si="18"/>
        <v>116</v>
      </c>
      <c r="K409" s="3" t="str">
        <f t="shared" si="19"/>
        <v>P</v>
      </c>
      <c r="L409" s="3" t="str">
        <f t="shared" si="20"/>
        <v>FAIL</v>
      </c>
    </row>
    <row r="410" spans="1:12" ht="14.25" customHeight="1">
      <c r="A410" s="3">
        <v>409</v>
      </c>
      <c r="B410" s="3" t="s">
        <v>3502</v>
      </c>
      <c r="C410" s="3" t="s">
        <v>597</v>
      </c>
      <c r="D410" s="3">
        <v>9876543801</v>
      </c>
      <c r="E410" s="3" t="s">
        <v>4418</v>
      </c>
      <c r="F410" s="3" t="str" cm="1">
        <f t="array" ref="F410">IF(E410="","",_xlfn.XLOOKUP(E410,{"FIRST","SECOND","THIRD","FOURTH"},{"SEM-1","SEM-2","SEM-3","SEM-4"},""))</f>
        <v>SEM-1</v>
      </c>
      <c r="G410" s="3">
        <v>67</v>
      </c>
      <c r="H410" s="3">
        <v>10</v>
      </c>
      <c r="I410" s="3">
        <v>41</v>
      </c>
      <c r="J410" s="3">
        <f t="shared" si="18"/>
        <v>118</v>
      </c>
      <c r="K410" s="3" t="str">
        <f t="shared" si="19"/>
        <v>F</v>
      </c>
      <c r="L410" s="3" t="str">
        <f t="shared" si="20"/>
        <v>FAIL</v>
      </c>
    </row>
    <row r="411" spans="1:12" ht="14.25" customHeight="1">
      <c r="A411" s="3">
        <v>410</v>
      </c>
      <c r="B411" s="3" t="s">
        <v>3120</v>
      </c>
      <c r="C411" s="3" t="s">
        <v>218</v>
      </c>
      <c r="D411" s="3">
        <v>9876543419</v>
      </c>
      <c r="E411" s="3" t="s">
        <v>4419</v>
      </c>
      <c r="F411" s="3" t="str" cm="1">
        <f t="array" ref="F411">IF(E411="","",_xlfn.XLOOKUP(E411,{"FIRST","SECOND","THIRD","FOURTH"},{"SEM-1","SEM-2","SEM-3","SEM-4"},""))</f>
        <v>SEM-2</v>
      </c>
      <c r="G411" s="3">
        <v>64</v>
      </c>
      <c r="H411" s="3">
        <v>16</v>
      </c>
      <c r="I411" s="3">
        <v>4</v>
      </c>
      <c r="J411" s="3">
        <f t="shared" si="18"/>
        <v>84</v>
      </c>
      <c r="K411" s="3" t="str">
        <f t="shared" si="19"/>
        <v>F</v>
      </c>
      <c r="L411" s="3" t="str">
        <f t="shared" si="20"/>
        <v>FAIL</v>
      </c>
    </row>
    <row r="412" spans="1:12" ht="14.25" customHeight="1">
      <c r="A412" s="3">
        <v>411</v>
      </c>
      <c r="B412" s="3" t="s">
        <v>3220</v>
      </c>
      <c r="C412" s="3" t="s">
        <v>317</v>
      </c>
      <c r="D412" s="3">
        <v>9876543519</v>
      </c>
      <c r="E412" s="3" t="s">
        <v>4418</v>
      </c>
      <c r="F412" s="3" t="str" cm="1">
        <f t="array" ref="F412">IF(E412="","",_xlfn.XLOOKUP(E412,{"FIRST","SECOND","THIRD","FOURTH"},{"SEM-1","SEM-2","SEM-3","SEM-4"},""))</f>
        <v>SEM-1</v>
      </c>
      <c r="G412" s="3">
        <v>10</v>
      </c>
      <c r="H412" s="3">
        <v>97</v>
      </c>
      <c r="I412" s="3">
        <v>76</v>
      </c>
      <c r="J412" s="3">
        <f t="shared" si="18"/>
        <v>183</v>
      </c>
      <c r="K412" s="3" t="str">
        <f t="shared" si="19"/>
        <v>P</v>
      </c>
      <c r="L412" s="3" t="str">
        <f t="shared" si="20"/>
        <v>B</v>
      </c>
    </row>
    <row r="413" spans="1:12" ht="14.25" customHeight="1">
      <c r="A413" s="3">
        <v>412</v>
      </c>
      <c r="B413" s="3" t="s">
        <v>4267</v>
      </c>
      <c r="C413" s="3" t="s">
        <v>1348</v>
      </c>
      <c r="D413" s="3">
        <v>9876544566</v>
      </c>
      <c r="E413" s="3" t="s">
        <v>4420</v>
      </c>
      <c r="F413" s="3" t="str" cm="1">
        <f t="array" ref="F413">IF(E413="","",_xlfn.XLOOKUP(E413,{"FIRST","SECOND","THIRD","FOURTH"},{"SEM-1","SEM-2","SEM-3","SEM-4"},""))</f>
        <v>SEM-3</v>
      </c>
      <c r="G413" s="3">
        <v>10</v>
      </c>
      <c r="H413" s="3">
        <v>76</v>
      </c>
      <c r="I413" s="3">
        <v>34</v>
      </c>
      <c r="J413" s="3">
        <f t="shared" si="18"/>
        <v>120</v>
      </c>
      <c r="K413" s="3" t="str">
        <f t="shared" si="19"/>
        <v>P</v>
      </c>
      <c r="L413" s="3" t="str">
        <f t="shared" si="20"/>
        <v>C</v>
      </c>
    </row>
    <row r="414" spans="1:12" ht="14.25" customHeight="1">
      <c r="A414" s="3">
        <v>413</v>
      </c>
      <c r="B414" s="3" t="s">
        <v>3437</v>
      </c>
      <c r="C414" s="3" t="s">
        <v>533</v>
      </c>
      <c r="D414" s="3">
        <v>9876543736</v>
      </c>
      <c r="E414" s="3" t="s">
        <v>4420</v>
      </c>
      <c r="F414" s="3" t="str" cm="1">
        <f t="array" ref="F414">IF(E414="","",_xlfn.XLOOKUP(E414,{"FIRST","SECOND","THIRD","FOURTH"},{"SEM-1","SEM-2","SEM-3","SEM-4"},""))</f>
        <v>SEM-3</v>
      </c>
      <c r="G414" s="3">
        <v>57</v>
      </c>
      <c r="H414" s="3">
        <v>4</v>
      </c>
      <c r="I414" s="3">
        <v>51</v>
      </c>
      <c r="J414" s="3">
        <f t="shared" si="18"/>
        <v>112</v>
      </c>
      <c r="K414" s="3" t="str">
        <f t="shared" si="19"/>
        <v>F</v>
      </c>
      <c r="L414" s="3" t="str">
        <f t="shared" si="20"/>
        <v>FAIL</v>
      </c>
    </row>
    <row r="415" spans="1:12" ht="14.25" customHeight="1">
      <c r="A415" s="3">
        <v>414</v>
      </c>
      <c r="B415" s="3" t="s">
        <v>3212</v>
      </c>
      <c r="C415" s="3" t="s">
        <v>309</v>
      </c>
      <c r="D415" s="3">
        <v>9876543511</v>
      </c>
      <c r="E415" s="3" t="s">
        <v>4418</v>
      </c>
      <c r="F415" s="3" t="str" cm="1">
        <f t="array" ref="F415">IF(E415="","",_xlfn.XLOOKUP(E415,{"FIRST","SECOND","THIRD","FOURTH"},{"SEM-1","SEM-2","SEM-3","SEM-4"},""))</f>
        <v>SEM-1</v>
      </c>
      <c r="G415" s="3">
        <v>89</v>
      </c>
      <c r="H415" s="3">
        <v>0</v>
      </c>
      <c r="I415" s="3">
        <v>6</v>
      </c>
      <c r="J415" s="3">
        <f t="shared" si="18"/>
        <v>95</v>
      </c>
      <c r="K415" s="3" t="str">
        <f t="shared" si="19"/>
        <v>P</v>
      </c>
      <c r="L415" s="3" t="str">
        <f t="shared" si="20"/>
        <v>FAIL</v>
      </c>
    </row>
    <row r="416" spans="1:12" ht="14.25" customHeight="1">
      <c r="A416" s="3">
        <v>415</v>
      </c>
      <c r="B416" s="3" t="s">
        <v>4146</v>
      </c>
      <c r="C416" s="3" t="s">
        <v>1231</v>
      </c>
      <c r="D416" s="3">
        <v>9876544445</v>
      </c>
      <c r="E416" s="3" t="s">
        <v>4418</v>
      </c>
      <c r="F416" s="3" t="str" cm="1">
        <f t="array" ref="F416">IF(E416="","",_xlfn.XLOOKUP(E416,{"FIRST","SECOND","THIRD","FOURTH"},{"SEM-1","SEM-2","SEM-3","SEM-4"},""))</f>
        <v>SEM-1</v>
      </c>
      <c r="G416" s="3">
        <v>73</v>
      </c>
      <c r="H416" s="3">
        <v>51</v>
      </c>
      <c r="I416" s="3">
        <v>84</v>
      </c>
      <c r="J416" s="3">
        <f t="shared" si="18"/>
        <v>208</v>
      </c>
      <c r="K416" s="3" t="str">
        <f t="shared" si="19"/>
        <v>P</v>
      </c>
      <c r="L416" s="3" t="str">
        <f t="shared" si="20"/>
        <v>A</v>
      </c>
    </row>
    <row r="417" spans="1:12" ht="14.25" customHeight="1">
      <c r="A417" s="3">
        <v>416</v>
      </c>
      <c r="B417" s="3" t="s">
        <v>3373</v>
      </c>
      <c r="C417" s="3" t="s">
        <v>469</v>
      </c>
      <c r="D417" s="3">
        <v>9876543672</v>
      </c>
      <c r="E417" s="3" t="s">
        <v>4420</v>
      </c>
      <c r="F417" s="3" t="str" cm="1">
        <f t="array" ref="F417">IF(E417="","",_xlfn.XLOOKUP(E417,{"FIRST","SECOND","THIRD","FOURTH"},{"SEM-1","SEM-2","SEM-3","SEM-4"},""))</f>
        <v>SEM-3</v>
      </c>
      <c r="G417" s="3">
        <v>83</v>
      </c>
      <c r="H417" s="3">
        <v>73</v>
      </c>
      <c r="I417" s="3">
        <v>46</v>
      </c>
      <c r="J417" s="3">
        <f t="shared" si="18"/>
        <v>202</v>
      </c>
      <c r="K417" s="3" t="str">
        <f t="shared" si="19"/>
        <v>P</v>
      </c>
      <c r="L417" s="3" t="str">
        <f t="shared" si="20"/>
        <v>A</v>
      </c>
    </row>
    <row r="418" spans="1:12" ht="14.25" customHeight="1">
      <c r="A418" s="3">
        <v>417</v>
      </c>
      <c r="B418" s="3" t="s">
        <v>4244</v>
      </c>
      <c r="C418" s="3" t="s">
        <v>1327</v>
      </c>
      <c r="D418" s="3">
        <v>9876544543</v>
      </c>
      <c r="E418" s="3" t="s">
        <v>4418</v>
      </c>
      <c r="F418" s="3" t="str" cm="1">
        <f t="array" ref="F418">IF(E418="","",_xlfn.XLOOKUP(E418,{"FIRST","SECOND","THIRD","FOURTH"},{"SEM-1","SEM-2","SEM-3","SEM-4"},""))</f>
        <v>SEM-1</v>
      </c>
      <c r="G418" s="3">
        <v>64</v>
      </c>
      <c r="H418" s="3">
        <v>82</v>
      </c>
      <c r="I418" s="3">
        <v>9</v>
      </c>
      <c r="J418" s="3">
        <f t="shared" si="18"/>
        <v>155</v>
      </c>
      <c r="K418" s="3" t="str">
        <f t="shared" si="19"/>
        <v>P</v>
      </c>
      <c r="L418" s="3" t="str">
        <f t="shared" si="20"/>
        <v>B</v>
      </c>
    </row>
    <row r="419" spans="1:12" ht="14.25" customHeight="1">
      <c r="A419" s="3">
        <v>418</v>
      </c>
      <c r="B419" s="3" t="s">
        <v>4055</v>
      </c>
      <c r="C419" s="3" t="s">
        <v>1143</v>
      </c>
      <c r="D419" s="3">
        <v>9876544354</v>
      </c>
      <c r="E419" s="3" t="s">
        <v>4419</v>
      </c>
      <c r="F419" s="3" t="str" cm="1">
        <f t="array" ref="F419">IF(E419="","",_xlfn.XLOOKUP(E419,{"FIRST","SECOND","THIRD","FOURTH"},{"SEM-1","SEM-2","SEM-3","SEM-4"},""))</f>
        <v>SEM-2</v>
      </c>
      <c r="G419" s="3">
        <v>14</v>
      </c>
      <c r="H419" s="3">
        <v>7</v>
      </c>
      <c r="I419" s="3">
        <v>82</v>
      </c>
      <c r="J419" s="3">
        <f t="shared" si="18"/>
        <v>103</v>
      </c>
      <c r="K419" s="3" t="str">
        <f t="shared" si="19"/>
        <v>P</v>
      </c>
      <c r="L419" s="3" t="str">
        <f t="shared" si="20"/>
        <v>FAIL</v>
      </c>
    </row>
    <row r="420" spans="1:12" ht="14.25" customHeight="1">
      <c r="A420" s="3">
        <v>419</v>
      </c>
      <c r="B420" s="3" t="s">
        <v>4351</v>
      </c>
      <c r="C420" s="3" t="s">
        <v>1430</v>
      </c>
      <c r="D420" s="3">
        <v>9876544650</v>
      </c>
      <c r="E420" s="3" t="s">
        <v>4419</v>
      </c>
      <c r="F420" s="3" t="str" cm="1">
        <f t="array" ref="F420">IF(E420="","",_xlfn.XLOOKUP(E420,{"FIRST","SECOND","THIRD","FOURTH"},{"SEM-1","SEM-2","SEM-3","SEM-4"},""))</f>
        <v>SEM-2</v>
      </c>
      <c r="G420" s="3">
        <v>40</v>
      </c>
      <c r="H420" s="3">
        <v>66</v>
      </c>
      <c r="I420" s="3">
        <v>68</v>
      </c>
      <c r="J420" s="3">
        <f t="shared" si="18"/>
        <v>174</v>
      </c>
      <c r="K420" s="3" t="str">
        <f t="shared" si="19"/>
        <v>P</v>
      </c>
      <c r="L420" s="3" t="str">
        <f t="shared" si="20"/>
        <v>B</v>
      </c>
    </row>
    <row r="421" spans="1:12" ht="14.25" customHeight="1">
      <c r="A421" s="3">
        <v>420</v>
      </c>
      <c r="B421" s="3" t="s">
        <v>3102</v>
      </c>
      <c r="C421" s="3" t="s">
        <v>200</v>
      </c>
      <c r="D421" s="3">
        <v>9876543401</v>
      </c>
      <c r="E421" s="3" t="s">
        <v>4418</v>
      </c>
      <c r="F421" s="3" t="str" cm="1">
        <f t="array" ref="F421">IF(E421="","",_xlfn.XLOOKUP(E421,{"FIRST","SECOND","THIRD","FOURTH"},{"SEM-1","SEM-2","SEM-3","SEM-4"},""))</f>
        <v>SEM-1</v>
      </c>
      <c r="G421" s="3">
        <v>88</v>
      </c>
      <c r="H421" s="3">
        <v>23</v>
      </c>
      <c r="I421" s="3">
        <v>71</v>
      </c>
      <c r="J421" s="3">
        <f t="shared" si="18"/>
        <v>182</v>
      </c>
      <c r="K421" s="3" t="str">
        <f t="shared" si="19"/>
        <v>P</v>
      </c>
      <c r="L421" s="3" t="str">
        <f t="shared" si="20"/>
        <v>B</v>
      </c>
    </row>
    <row r="422" spans="1:12" ht="14.25" customHeight="1">
      <c r="A422" s="3">
        <v>421</v>
      </c>
      <c r="B422" s="3" t="s">
        <v>3201</v>
      </c>
      <c r="C422" s="3" t="s">
        <v>299</v>
      </c>
      <c r="D422" s="3">
        <v>9876543500</v>
      </c>
      <c r="E422" s="3" t="s">
        <v>4419</v>
      </c>
      <c r="F422" s="3" t="str" cm="1">
        <f t="array" ref="F422">IF(E422="","",_xlfn.XLOOKUP(E422,{"FIRST","SECOND","THIRD","FOURTH"},{"SEM-1","SEM-2","SEM-3","SEM-4"},""))</f>
        <v>SEM-2</v>
      </c>
      <c r="G422" s="3">
        <v>50</v>
      </c>
      <c r="H422" s="3">
        <v>16</v>
      </c>
      <c r="I422" s="3">
        <v>85</v>
      </c>
      <c r="J422" s="3">
        <f t="shared" si="18"/>
        <v>151</v>
      </c>
      <c r="K422" s="3" t="str">
        <f t="shared" si="19"/>
        <v>P</v>
      </c>
      <c r="L422" s="3" t="str">
        <f t="shared" si="20"/>
        <v>B</v>
      </c>
    </row>
    <row r="423" spans="1:12" ht="14.25" customHeight="1">
      <c r="A423" s="3">
        <v>422</v>
      </c>
      <c r="B423" s="3" t="s">
        <v>3931</v>
      </c>
      <c r="C423" s="3" t="s">
        <v>1021</v>
      </c>
      <c r="D423" s="3">
        <v>9876544230</v>
      </c>
      <c r="E423" s="3" t="s">
        <v>4420</v>
      </c>
      <c r="F423" s="3" t="str" cm="1">
        <f t="array" ref="F423">IF(E423="","",_xlfn.XLOOKUP(E423,{"FIRST","SECOND","THIRD","FOURTH"},{"SEM-1","SEM-2","SEM-3","SEM-4"},""))</f>
        <v>SEM-3</v>
      </c>
      <c r="G423" s="3">
        <v>16</v>
      </c>
      <c r="H423" s="3">
        <v>100</v>
      </c>
      <c r="I423" s="3">
        <v>9</v>
      </c>
      <c r="J423" s="3">
        <f t="shared" si="18"/>
        <v>125</v>
      </c>
      <c r="K423" s="3" t="str">
        <f t="shared" si="19"/>
        <v>P</v>
      </c>
      <c r="L423" s="3" t="str">
        <f t="shared" si="20"/>
        <v>C</v>
      </c>
    </row>
    <row r="424" spans="1:12" ht="14.25" customHeight="1">
      <c r="A424" s="3">
        <v>423</v>
      </c>
      <c r="B424" s="3" t="s">
        <v>3497</v>
      </c>
      <c r="C424" s="3" t="s">
        <v>592</v>
      </c>
      <c r="D424" s="3">
        <v>9876543796</v>
      </c>
      <c r="E424" s="3" t="s">
        <v>4420</v>
      </c>
      <c r="F424" s="3" t="str" cm="1">
        <f t="array" ref="F424">IF(E424="","",_xlfn.XLOOKUP(E424,{"FIRST","SECOND","THIRD","FOURTH"},{"SEM-1","SEM-2","SEM-3","SEM-4"},""))</f>
        <v>SEM-3</v>
      </c>
      <c r="G424" s="3">
        <v>75</v>
      </c>
      <c r="H424" s="3">
        <v>3</v>
      </c>
      <c r="I424" s="3">
        <v>19</v>
      </c>
      <c r="J424" s="3">
        <f t="shared" si="18"/>
        <v>97</v>
      </c>
      <c r="K424" s="3" t="str">
        <f t="shared" si="19"/>
        <v>P</v>
      </c>
      <c r="L424" s="3" t="str">
        <f t="shared" si="20"/>
        <v>FAIL</v>
      </c>
    </row>
    <row r="425" spans="1:12" ht="14.25" customHeight="1">
      <c r="A425" s="3">
        <v>424</v>
      </c>
      <c r="B425" s="3" t="s">
        <v>3998</v>
      </c>
      <c r="C425" s="3" t="s">
        <v>1087</v>
      </c>
      <c r="D425" s="3">
        <v>9876544297</v>
      </c>
      <c r="E425" s="3" t="s">
        <v>4419</v>
      </c>
      <c r="F425" s="3" t="str" cm="1">
        <f t="array" ref="F425">IF(E425="","",_xlfn.XLOOKUP(E425,{"FIRST","SECOND","THIRD","FOURTH"},{"SEM-1","SEM-2","SEM-3","SEM-4"},""))</f>
        <v>SEM-2</v>
      </c>
      <c r="G425" s="3">
        <v>18</v>
      </c>
      <c r="H425" s="3">
        <v>79</v>
      </c>
      <c r="I425" s="3">
        <v>22</v>
      </c>
      <c r="J425" s="3">
        <f t="shared" si="18"/>
        <v>119</v>
      </c>
      <c r="K425" s="3" t="str">
        <f t="shared" si="19"/>
        <v>P</v>
      </c>
      <c r="L425" s="3" t="str">
        <f t="shared" si="20"/>
        <v>FAIL</v>
      </c>
    </row>
    <row r="426" spans="1:12" ht="14.25" customHeight="1">
      <c r="A426" s="3">
        <v>425</v>
      </c>
      <c r="B426" s="3" t="s">
        <v>4323</v>
      </c>
      <c r="C426" s="3" t="s">
        <v>1087</v>
      </c>
      <c r="D426" s="3">
        <v>9876544622</v>
      </c>
      <c r="E426" s="3" t="s">
        <v>4420</v>
      </c>
      <c r="F426" s="3" t="str" cm="1">
        <f t="array" ref="F426">IF(E426="","",_xlfn.XLOOKUP(E426,{"FIRST","SECOND","THIRD","FOURTH"},{"SEM-1","SEM-2","SEM-3","SEM-4"},""))</f>
        <v>SEM-3</v>
      </c>
      <c r="G426" s="3">
        <v>25</v>
      </c>
      <c r="H426" s="3">
        <v>33</v>
      </c>
      <c r="I426" s="3">
        <v>44</v>
      </c>
      <c r="J426" s="3">
        <f t="shared" si="18"/>
        <v>102</v>
      </c>
      <c r="K426" s="3" t="str">
        <f t="shared" si="19"/>
        <v>F</v>
      </c>
      <c r="L426" s="3" t="str">
        <f t="shared" si="20"/>
        <v>FAIL</v>
      </c>
    </row>
    <row r="427" spans="1:12" ht="14.25" customHeight="1">
      <c r="A427" s="3">
        <v>426</v>
      </c>
      <c r="B427" s="3" t="s">
        <v>4022</v>
      </c>
      <c r="C427" s="3" t="s">
        <v>1111</v>
      </c>
      <c r="D427" s="3">
        <v>9876544321</v>
      </c>
      <c r="E427" s="3" t="s">
        <v>4418</v>
      </c>
      <c r="F427" s="3" t="str" cm="1">
        <f t="array" ref="F427">IF(E427="","",_xlfn.XLOOKUP(E427,{"FIRST","SECOND","THIRD","FOURTH"},{"SEM-1","SEM-2","SEM-3","SEM-4"},""))</f>
        <v>SEM-1</v>
      </c>
      <c r="G427" s="3">
        <v>29</v>
      </c>
      <c r="H427" s="3">
        <v>79</v>
      </c>
      <c r="I427" s="3">
        <v>26</v>
      </c>
      <c r="J427" s="3">
        <f t="shared" si="18"/>
        <v>134</v>
      </c>
      <c r="K427" s="3" t="str">
        <f t="shared" si="19"/>
        <v>P</v>
      </c>
      <c r="L427" s="3" t="str">
        <f t="shared" si="20"/>
        <v>C</v>
      </c>
    </row>
    <row r="428" spans="1:12" ht="14.25" customHeight="1">
      <c r="A428" s="3">
        <v>427</v>
      </c>
      <c r="B428" s="3" t="s">
        <v>4059</v>
      </c>
      <c r="C428" s="3" t="s">
        <v>1147</v>
      </c>
      <c r="D428" s="3">
        <v>9876544358</v>
      </c>
      <c r="E428" s="3" t="s">
        <v>4420</v>
      </c>
      <c r="F428" s="3" t="str" cm="1">
        <f t="array" ref="F428">IF(E428="","",_xlfn.XLOOKUP(E428,{"FIRST","SECOND","THIRD","FOURTH"},{"SEM-1","SEM-2","SEM-3","SEM-4"},""))</f>
        <v>SEM-3</v>
      </c>
      <c r="G428" s="3">
        <v>71</v>
      </c>
      <c r="H428" s="3">
        <v>11</v>
      </c>
      <c r="I428" s="3">
        <v>2</v>
      </c>
      <c r="J428" s="3">
        <f t="shared" si="18"/>
        <v>84</v>
      </c>
      <c r="K428" s="3" t="str">
        <f t="shared" si="19"/>
        <v>P</v>
      </c>
      <c r="L428" s="3" t="str">
        <f t="shared" si="20"/>
        <v>FAIL</v>
      </c>
    </row>
    <row r="429" spans="1:12" ht="14.25" customHeight="1">
      <c r="A429" s="3">
        <v>428</v>
      </c>
      <c r="B429" s="3" t="s">
        <v>3088</v>
      </c>
      <c r="C429" s="3" t="s">
        <v>186</v>
      </c>
      <c r="D429" s="3">
        <v>9876543387</v>
      </c>
      <c r="E429" s="3" t="s">
        <v>4420</v>
      </c>
      <c r="F429" s="3" t="str" cm="1">
        <f t="array" ref="F429">IF(E429="","",_xlfn.XLOOKUP(E429,{"FIRST","SECOND","THIRD","FOURTH"},{"SEM-1","SEM-2","SEM-3","SEM-4"},""))</f>
        <v>SEM-3</v>
      </c>
      <c r="G429" s="3">
        <v>44</v>
      </c>
      <c r="H429" s="3">
        <v>5</v>
      </c>
      <c r="I429" s="3">
        <v>50</v>
      </c>
      <c r="J429" s="3">
        <f t="shared" si="18"/>
        <v>99</v>
      </c>
      <c r="K429" s="3" t="str">
        <f t="shared" si="19"/>
        <v>F</v>
      </c>
      <c r="L429" s="3" t="str">
        <f t="shared" si="20"/>
        <v>FAIL</v>
      </c>
    </row>
    <row r="430" spans="1:12" ht="14.25" customHeight="1">
      <c r="A430" s="3">
        <v>429</v>
      </c>
      <c r="B430" s="3" t="s">
        <v>3762</v>
      </c>
      <c r="C430" s="3" t="s">
        <v>855</v>
      </c>
      <c r="D430" s="3">
        <v>9876544061</v>
      </c>
      <c r="E430" s="3" t="s">
        <v>4418</v>
      </c>
      <c r="F430" s="3" t="str" cm="1">
        <f t="array" ref="F430">IF(E430="","",_xlfn.XLOOKUP(E430,{"FIRST","SECOND","THIRD","FOURTH"},{"SEM-1","SEM-2","SEM-3","SEM-4"},""))</f>
        <v>SEM-1</v>
      </c>
      <c r="G430" s="3">
        <v>54</v>
      </c>
      <c r="H430" s="3">
        <v>50</v>
      </c>
      <c r="I430" s="3">
        <v>37</v>
      </c>
      <c r="J430" s="3">
        <f t="shared" si="18"/>
        <v>141</v>
      </c>
      <c r="K430" s="3" t="str">
        <f t="shared" si="19"/>
        <v>P</v>
      </c>
      <c r="L430" s="3" t="str">
        <f t="shared" si="20"/>
        <v>C</v>
      </c>
    </row>
    <row r="431" spans="1:12" ht="14.25" customHeight="1">
      <c r="A431" s="3">
        <v>430</v>
      </c>
      <c r="B431" s="3" t="s">
        <v>3474</v>
      </c>
      <c r="C431" s="3" t="s">
        <v>570</v>
      </c>
      <c r="D431" s="3">
        <v>9876543773</v>
      </c>
      <c r="E431" s="3" t="s">
        <v>4419</v>
      </c>
      <c r="F431" s="3" t="str" cm="1">
        <f t="array" ref="F431">IF(E431="","",_xlfn.XLOOKUP(E431,{"FIRST","SECOND","THIRD","FOURTH"},{"SEM-1","SEM-2","SEM-3","SEM-4"},""))</f>
        <v>SEM-2</v>
      </c>
      <c r="G431" s="3">
        <v>37</v>
      </c>
      <c r="H431" s="3">
        <v>16</v>
      </c>
      <c r="I431" s="3">
        <v>26</v>
      </c>
      <c r="J431" s="3">
        <f t="shared" si="18"/>
        <v>79</v>
      </c>
      <c r="K431" s="3" t="str">
        <f t="shared" si="19"/>
        <v>F</v>
      </c>
      <c r="L431" s="3" t="str">
        <f t="shared" si="20"/>
        <v>FAIL</v>
      </c>
    </row>
    <row r="432" spans="1:12" ht="14.25" customHeight="1">
      <c r="A432" s="3">
        <v>431</v>
      </c>
      <c r="B432" s="3" t="s">
        <v>3383</v>
      </c>
      <c r="C432" s="3" t="s">
        <v>479</v>
      </c>
      <c r="D432" s="3">
        <v>9876543682</v>
      </c>
      <c r="E432" s="3" t="s">
        <v>4418</v>
      </c>
      <c r="F432" s="3" t="str" cm="1">
        <f t="array" ref="F432">IF(E432="","",_xlfn.XLOOKUP(E432,{"FIRST","SECOND","THIRD","FOURTH"},{"SEM-1","SEM-2","SEM-3","SEM-4"},""))</f>
        <v>SEM-1</v>
      </c>
      <c r="G432" s="3">
        <v>0</v>
      </c>
      <c r="H432" s="3">
        <v>63</v>
      </c>
      <c r="I432" s="3">
        <v>87</v>
      </c>
      <c r="J432" s="3">
        <f t="shared" si="18"/>
        <v>150</v>
      </c>
      <c r="K432" s="3" t="str">
        <f t="shared" si="19"/>
        <v>P</v>
      </c>
      <c r="L432" s="3" t="str">
        <f t="shared" si="20"/>
        <v>B</v>
      </c>
    </row>
    <row r="433" spans="1:12" ht="14.25" customHeight="1">
      <c r="A433" s="3">
        <v>432</v>
      </c>
      <c r="B433" s="3" t="s">
        <v>4279</v>
      </c>
      <c r="C433" s="3" t="s">
        <v>1360</v>
      </c>
      <c r="D433" s="3">
        <v>9876544578</v>
      </c>
      <c r="E433" s="3" t="s">
        <v>4419</v>
      </c>
      <c r="F433" s="3" t="str" cm="1">
        <f t="array" ref="F433">IF(E433="","",_xlfn.XLOOKUP(E433,{"FIRST","SECOND","THIRD","FOURTH"},{"SEM-1","SEM-2","SEM-3","SEM-4"},""))</f>
        <v>SEM-2</v>
      </c>
      <c r="G433" s="3">
        <v>5</v>
      </c>
      <c r="H433" s="3">
        <v>20</v>
      </c>
      <c r="I433" s="3">
        <v>78</v>
      </c>
      <c r="J433" s="3">
        <f t="shared" si="18"/>
        <v>103</v>
      </c>
      <c r="K433" s="3" t="str">
        <f t="shared" si="19"/>
        <v>P</v>
      </c>
      <c r="L433" s="3" t="str">
        <f t="shared" si="20"/>
        <v>FAIL</v>
      </c>
    </row>
    <row r="434" spans="1:12" ht="14.25" customHeight="1">
      <c r="A434" s="3">
        <v>433</v>
      </c>
      <c r="B434" s="3" t="s">
        <v>3275</v>
      </c>
      <c r="C434" s="3" t="s">
        <v>372</v>
      </c>
      <c r="D434" s="3">
        <v>9876543574</v>
      </c>
      <c r="E434" s="3" t="s">
        <v>4420</v>
      </c>
      <c r="F434" s="3" t="str" cm="1">
        <f t="array" ref="F434">IF(E434="","",_xlfn.XLOOKUP(E434,{"FIRST","SECOND","THIRD","FOURTH"},{"SEM-1","SEM-2","SEM-3","SEM-4"},""))</f>
        <v>SEM-3</v>
      </c>
      <c r="G434" s="3">
        <v>43</v>
      </c>
      <c r="H434" s="3">
        <v>39</v>
      </c>
      <c r="I434" s="3">
        <v>21</v>
      </c>
      <c r="J434" s="3">
        <f t="shared" si="18"/>
        <v>103</v>
      </c>
      <c r="K434" s="3" t="str">
        <f t="shared" si="19"/>
        <v>F</v>
      </c>
      <c r="L434" s="3" t="str">
        <f t="shared" si="20"/>
        <v>FAIL</v>
      </c>
    </row>
    <row r="435" spans="1:12" ht="14.25" customHeight="1">
      <c r="A435" s="3">
        <v>434</v>
      </c>
      <c r="B435" s="3" t="s">
        <v>3719</v>
      </c>
      <c r="C435" s="3" t="s">
        <v>812</v>
      </c>
      <c r="D435" s="3">
        <v>9876544018</v>
      </c>
      <c r="E435" s="3" t="s">
        <v>4418</v>
      </c>
      <c r="F435" s="3" t="str" cm="1">
        <f t="array" ref="F435">IF(E435="","",_xlfn.XLOOKUP(E435,{"FIRST","SECOND","THIRD","FOURTH"},{"SEM-1","SEM-2","SEM-3","SEM-4"},""))</f>
        <v>SEM-1</v>
      </c>
      <c r="G435" s="3">
        <v>94</v>
      </c>
      <c r="H435" s="3">
        <v>26</v>
      </c>
      <c r="I435" s="3">
        <v>98</v>
      </c>
      <c r="J435" s="3">
        <f t="shared" si="18"/>
        <v>218</v>
      </c>
      <c r="K435" s="3" t="str">
        <f t="shared" si="19"/>
        <v>P</v>
      </c>
      <c r="L435" s="3" t="str">
        <f t="shared" si="20"/>
        <v>A</v>
      </c>
    </row>
    <row r="436" spans="1:12" ht="14.25" customHeight="1">
      <c r="A436" s="3">
        <v>435</v>
      </c>
      <c r="B436" s="3" t="s">
        <v>4069</v>
      </c>
      <c r="C436" s="3" t="s">
        <v>1155</v>
      </c>
      <c r="D436" s="3">
        <v>9876544368</v>
      </c>
      <c r="E436" s="3" t="s">
        <v>4420</v>
      </c>
      <c r="F436" s="3" t="str" cm="1">
        <f t="array" ref="F436">IF(E436="","",_xlfn.XLOOKUP(E436,{"FIRST","SECOND","THIRD","FOURTH"},{"SEM-1","SEM-2","SEM-3","SEM-4"},""))</f>
        <v>SEM-3</v>
      </c>
      <c r="G436" s="3">
        <v>68</v>
      </c>
      <c r="H436" s="3">
        <v>30</v>
      </c>
      <c r="I436" s="3">
        <v>79</v>
      </c>
      <c r="J436" s="3">
        <f t="shared" si="18"/>
        <v>177</v>
      </c>
      <c r="K436" s="3" t="str">
        <f t="shared" si="19"/>
        <v>P</v>
      </c>
      <c r="L436" s="3" t="str">
        <f t="shared" si="20"/>
        <v>B</v>
      </c>
    </row>
    <row r="437" spans="1:12" ht="14.25" customHeight="1">
      <c r="A437" s="3">
        <v>436</v>
      </c>
      <c r="B437" s="3" t="s">
        <v>4310</v>
      </c>
      <c r="C437" s="3" t="s">
        <v>1390</v>
      </c>
      <c r="D437" s="3">
        <v>9876544609</v>
      </c>
      <c r="E437" s="3" t="s">
        <v>4419</v>
      </c>
      <c r="F437" s="3" t="str" cm="1">
        <f t="array" ref="F437">IF(E437="","",_xlfn.XLOOKUP(E437,{"FIRST","SECOND","THIRD","FOURTH"},{"SEM-1","SEM-2","SEM-3","SEM-4"},""))</f>
        <v>SEM-2</v>
      </c>
      <c r="G437" s="3">
        <v>86</v>
      </c>
      <c r="H437" s="3">
        <v>62</v>
      </c>
      <c r="I437" s="3">
        <v>2</v>
      </c>
      <c r="J437" s="3">
        <f t="shared" si="18"/>
        <v>150</v>
      </c>
      <c r="K437" s="3" t="str">
        <f t="shared" si="19"/>
        <v>P</v>
      </c>
      <c r="L437" s="3" t="str">
        <f t="shared" si="20"/>
        <v>B</v>
      </c>
    </row>
    <row r="438" spans="1:12" ht="14.25" customHeight="1">
      <c r="A438" s="3">
        <v>437</v>
      </c>
      <c r="B438" s="3" t="s">
        <v>4262</v>
      </c>
      <c r="C438" s="3" t="s">
        <v>1344</v>
      </c>
      <c r="D438" s="3">
        <v>9876544561</v>
      </c>
      <c r="E438" s="3" t="s">
        <v>4418</v>
      </c>
      <c r="F438" s="3" t="str" cm="1">
        <f t="array" ref="F438">IF(E438="","",_xlfn.XLOOKUP(E438,{"FIRST","SECOND","THIRD","FOURTH"},{"SEM-1","SEM-2","SEM-3","SEM-4"},""))</f>
        <v>SEM-1</v>
      </c>
      <c r="G438" s="3">
        <v>8</v>
      </c>
      <c r="H438" s="3">
        <v>94</v>
      </c>
      <c r="I438" s="3">
        <v>81</v>
      </c>
      <c r="J438" s="3">
        <f t="shared" si="18"/>
        <v>183</v>
      </c>
      <c r="K438" s="3" t="str">
        <f t="shared" si="19"/>
        <v>P</v>
      </c>
      <c r="L438" s="3" t="str">
        <f t="shared" si="20"/>
        <v>B</v>
      </c>
    </row>
    <row r="439" spans="1:12" ht="14.25" customHeight="1">
      <c r="A439" s="3">
        <v>438</v>
      </c>
      <c r="B439" s="3" t="s">
        <v>3834</v>
      </c>
      <c r="C439" s="3" t="s">
        <v>926</v>
      </c>
      <c r="D439" s="3">
        <v>9876544133</v>
      </c>
      <c r="E439" s="3" t="s">
        <v>4418</v>
      </c>
      <c r="F439" s="3" t="str" cm="1">
        <f t="array" ref="F439">IF(E439="","",_xlfn.XLOOKUP(E439,{"FIRST","SECOND","THIRD","FOURTH"},{"SEM-1","SEM-2","SEM-3","SEM-4"},""))</f>
        <v>SEM-1</v>
      </c>
      <c r="G439" s="3">
        <v>50</v>
      </c>
      <c r="H439" s="3">
        <v>83</v>
      </c>
      <c r="I439" s="3">
        <v>44</v>
      </c>
      <c r="J439" s="3">
        <f t="shared" si="18"/>
        <v>177</v>
      </c>
      <c r="K439" s="3" t="str">
        <f t="shared" si="19"/>
        <v>P</v>
      </c>
      <c r="L439" s="3" t="str">
        <f t="shared" si="20"/>
        <v>B</v>
      </c>
    </row>
    <row r="440" spans="1:12" ht="14.25" customHeight="1">
      <c r="A440" s="3">
        <v>439</v>
      </c>
      <c r="B440" s="3" t="s">
        <v>3835</v>
      </c>
      <c r="C440" s="3" t="s">
        <v>927</v>
      </c>
      <c r="D440" s="3">
        <v>9876544134</v>
      </c>
      <c r="E440" s="3" t="s">
        <v>4418</v>
      </c>
      <c r="F440" s="3" t="str" cm="1">
        <f t="array" ref="F440">IF(E440="","",_xlfn.XLOOKUP(E440,{"FIRST","SECOND","THIRD","FOURTH"},{"SEM-1","SEM-2","SEM-3","SEM-4"},""))</f>
        <v>SEM-1</v>
      </c>
      <c r="G440" s="3">
        <v>96</v>
      </c>
      <c r="H440" s="3">
        <v>94</v>
      </c>
      <c r="I440" s="3">
        <v>91</v>
      </c>
      <c r="J440" s="3">
        <f t="shared" si="18"/>
        <v>281</v>
      </c>
      <c r="K440" s="3" t="str">
        <f t="shared" si="19"/>
        <v>P</v>
      </c>
      <c r="L440" s="3" t="str">
        <f t="shared" si="20"/>
        <v>A</v>
      </c>
    </row>
    <row r="441" spans="1:12" ht="14.25" customHeight="1">
      <c r="A441" s="3">
        <v>440</v>
      </c>
      <c r="B441" s="3" t="s">
        <v>3988</v>
      </c>
      <c r="C441" s="3" t="s">
        <v>1078</v>
      </c>
      <c r="D441" s="3">
        <v>9876544287</v>
      </c>
      <c r="E441" s="3" t="s">
        <v>4418</v>
      </c>
      <c r="F441" s="3" t="str" cm="1">
        <f t="array" ref="F441">IF(E441="","",_xlfn.XLOOKUP(E441,{"FIRST","SECOND","THIRD","FOURTH"},{"SEM-1","SEM-2","SEM-3","SEM-4"},""))</f>
        <v>SEM-1</v>
      </c>
      <c r="G441" s="3">
        <v>28</v>
      </c>
      <c r="H441" s="3">
        <v>1</v>
      </c>
      <c r="I441" s="3">
        <v>65</v>
      </c>
      <c r="J441" s="3">
        <f t="shared" si="18"/>
        <v>94</v>
      </c>
      <c r="K441" s="3" t="str">
        <f t="shared" si="19"/>
        <v>F</v>
      </c>
      <c r="L441" s="3" t="str">
        <f t="shared" si="20"/>
        <v>FAIL</v>
      </c>
    </row>
    <row r="442" spans="1:12" ht="14.25" customHeight="1">
      <c r="A442" s="3">
        <v>441</v>
      </c>
      <c r="B442" s="3" t="s">
        <v>3186</v>
      </c>
      <c r="C442" s="3" t="s">
        <v>284</v>
      </c>
      <c r="D442" s="3">
        <v>9876543485</v>
      </c>
      <c r="E442" s="3" t="s">
        <v>4419</v>
      </c>
      <c r="F442" s="3" t="str" cm="1">
        <f t="array" ref="F442">IF(E442="","",_xlfn.XLOOKUP(E442,{"FIRST","SECOND","THIRD","FOURTH"},{"SEM-1","SEM-2","SEM-3","SEM-4"},""))</f>
        <v>SEM-2</v>
      </c>
      <c r="G442" s="3">
        <v>44</v>
      </c>
      <c r="H442" s="3">
        <v>97</v>
      </c>
      <c r="I442" s="3">
        <v>38</v>
      </c>
      <c r="J442" s="3">
        <f t="shared" si="18"/>
        <v>179</v>
      </c>
      <c r="K442" s="3" t="str">
        <f t="shared" si="19"/>
        <v>P</v>
      </c>
      <c r="L442" s="3" t="str">
        <f t="shared" si="20"/>
        <v>B</v>
      </c>
    </row>
    <row r="443" spans="1:12" ht="14.25" customHeight="1">
      <c r="A443" s="3">
        <v>442</v>
      </c>
      <c r="B443" s="3" t="s">
        <v>4191</v>
      </c>
      <c r="C443" s="3" t="s">
        <v>284</v>
      </c>
      <c r="D443" s="3">
        <v>9876544490</v>
      </c>
      <c r="E443" s="3" t="s">
        <v>4420</v>
      </c>
      <c r="F443" s="3" t="str" cm="1">
        <f t="array" ref="F443">IF(E443="","",_xlfn.XLOOKUP(E443,{"FIRST","SECOND","THIRD","FOURTH"},{"SEM-1","SEM-2","SEM-3","SEM-4"},""))</f>
        <v>SEM-3</v>
      </c>
      <c r="G443" s="3">
        <v>98</v>
      </c>
      <c r="H443" s="3">
        <v>12</v>
      </c>
      <c r="I443" s="3">
        <v>81</v>
      </c>
      <c r="J443" s="3">
        <f t="shared" si="18"/>
        <v>191</v>
      </c>
      <c r="K443" s="3" t="str">
        <f t="shared" si="19"/>
        <v>P</v>
      </c>
      <c r="L443" s="3" t="str">
        <f t="shared" si="20"/>
        <v>A</v>
      </c>
    </row>
    <row r="444" spans="1:12" ht="14.25" customHeight="1">
      <c r="A444" s="3">
        <v>443</v>
      </c>
      <c r="B444" s="3" t="s">
        <v>3957</v>
      </c>
      <c r="C444" s="3" t="s">
        <v>1047</v>
      </c>
      <c r="D444" s="3">
        <v>9876544256</v>
      </c>
      <c r="E444" s="3" t="s">
        <v>4420</v>
      </c>
      <c r="F444" s="3" t="str" cm="1">
        <f t="array" ref="F444">IF(E444="","",_xlfn.XLOOKUP(E444,{"FIRST","SECOND","THIRD","FOURTH"},{"SEM-1","SEM-2","SEM-3","SEM-4"},""))</f>
        <v>SEM-3</v>
      </c>
      <c r="G444" s="3">
        <v>90</v>
      </c>
      <c r="H444" s="3">
        <v>33</v>
      </c>
      <c r="I444" s="3">
        <v>62</v>
      </c>
      <c r="J444" s="3">
        <f t="shared" si="18"/>
        <v>185</v>
      </c>
      <c r="K444" s="3" t="str">
        <f t="shared" si="19"/>
        <v>P</v>
      </c>
      <c r="L444" s="3" t="str">
        <f t="shared" si="20"/>
        <v>B</v>
      </c>
    </row>
    <row r="445" spans="1:12" ht="14.25" customHeight="1">
      <c r="A445" s="3">
        <v>444</v>
      </c>
      <c r="B445" s="3" t="s">
        <v>3682</v>
      </c>
      <c r="C445" s="3" t="s">
        <v>775</v>
      </c>
      <c r="D445" s="3">
        <v>9876543981</v>
      </c>
      <c r="E445" s="3" t="s">
        <v>4418</v>
      </c>
      <c r="F445" s="3" t="str" cm="1">
        <f t="array" ref="F445">IF(E445="","",_xlfn.XLOOKUP(E445,{"FIRST","SECOND","THIRD","FOURTH"},{"SEM-1","SEM-2","SEM-3","SEM-4"},""))</f>
        <v>SEM-1</v>
      </c>
      <c r="G445" s="3">
        <v>4</v>
      </c>
      <c r="H445" s="3">
        <v>66</v>
      </c>
      <c r="I445" s="3">
        <v>70</v>
      </c>
      <c r="J445" s="3">
        <f t="shared" si="18"/>
        <v>140</v>
      </c>
      <c r="K445" s="3" t="str">
        <f t="shared" si="19"/>
        <v>P</v>
      </c>
      <c r="L445" s="3" t="str">
        <f t="shared" si="20"/>
        <v>C</v>
      </c>
    </row>
    <row r="446" spans="1:12" ht="14.25" customHeight="1">
      <c r="A446" s="3">
        <v>445</v>
      </c>
      <c r="B446" s="3" t="s">
        <v>3100</v>
      </c>
      <c r="C446" s="3" t="s">
        <v>198</v>
      </c>
      <c r="D446" s="3">
        <v>9876543399</v>
      </c>
      <c r="E446" s="3" t="s">
        <v>4420</v>
      </c>
      <c r="F446" s="3" t="str" cm="1">
        <f t="array" ref="F446">IF(E446="","",_xlfn.XLOOKUP(E446,{"FIRST","SECOND","THIRD","FOURTH"},{"SEM-1","SEM-2","SEM-3","SEM-4"},""))</f>
        <v>SEM-3</v>
      </c>
      <c r="G446" s="3">
        <v>32</v>
      </c>
      <c r="H446" s="3">
        <v>27</v>
      </c>
      <c r="I446" s="3">
        <v>34</v>
      </c>
      <c r="J446" s="3">
        <f t="shared" si="18"/>
        <v>93</v>
      </c>
      <c r="K446" s="3" t="str">
        <f t="shared" si="19"/>
        <v>F</v>
      </c>
      <c r="L446" s="3" t="str">
        <f t="shared" si="20"/>
        <v>FAIL</v>
      </c>
    </row>
    <row r="447" spans="1:12" ht="14.25" customHeight="1">
      <c r="A447" s="3">
        <v>446</v>
      </c>
      <c r="B447" s="3" t="s">
        <v>3848</v>
      </c>
      <c r="C447" s="3" t="s">
        <v>940</v>
      </c>
      <c r="D447" s="3">
        <v>9876544147</v>
      </c>
      <c r="E447" s="3" t="s">
        <v>4420</v>
      </c>
      <c r="F447" s="3" t="str" cm="1">
        <f t="array" ref="F447">IF(E447="","",_xlfn.XLOOKUP(E447,{"FIRST","SECOND","THIRD","FOURTH"},{"SEM-1","SEM-2","SEM-3","SEM-4"},""))</f>
        <v>SEM-3</v>
      </c>
      <c r="G447" s="3">
        <v>21</v>
      </c>
      <c r="H447" s="3">
        <v>21</v>
      </c>
      <c r="I447" s="3">
        <v>94</v>
      </c>
      <c r="J447" s="3">
        <f t="shared" si="18"/>
        <v>136</v>
      </c>
      <c r="K447" s="3" t="str">
        <f t="shared" si="19"/>
        <v>P</v>
      </c>
      <c r="L447" s="3" t="str">
        <f t="shared" si="20"/>
        <v>C</v>
      </c>
    </row>
    <row r="448" spans="1:12" ht="14.25" customHeight="1">
      <c r="A448" s="3">
        <v>447</v>
      </c>
      <c r="B448" s="3" t="s">
        <v>4199</v>
      </c>
      <c r="C448" s="3" t="s">
        <v>1283</v>
      </c>
      <c r="D448" s="3">
        <v>9876544498</v>
      </c>
      <c r="E448" s="3" t="s">
        <v>4420</v>
      </c>
      <c r="F448" s="3" t="str" cm="1">
        <f t="array" ref="F448">IF(E448="","",_xlfn.XLOOKUP(E448,{"FIRST","SECOND","THIRD","FOURTH"},{"SEM-1","SEM-2","SEM-3","SEM-4"},""))</f>
        <v>SEM-3</v>
      </c>
      <c r="G448" s="3">
        <v>59</v>
      </c>
      <c r="H448" s="3">
        <v>3</v>
      </c>
      <c r="I448" s="3">
        <v>0</v>
      </c>
      <c r="J448" s="3">
        <f t="shared" si="18"/>
        <v>62</v>
      </c>
      <c r="K448" s="3" t="str">
        <f t="shared" si="19"/>
        <v>F</v>
      </c>
      <c r="L448" s="3" t="str">
        <f t="shared" si="20"/>
        <v>FAIL</v>
      </c>
    </row>
    <row r="449" spans="1:12" ht="14.25" customHeight="1">
      <c r="A449" s="3">
        <v>448</v>
      </c>
      <c r="B449" s="3" t="s">
        <v>3520</v>
      </c>
      <c r="C449" s="3" t="s">
        <v>615</v>
      </c>
      <c r="D449" s="3">
        <v>9876543819</v>
      </c>
      <c r="E449" s="3" t="s">
        <v>4419</v>
      </c>
      <c r="F449" s="3" t="str" cm="1">
        <f t="array" ref="F449">IF(E449="","",_xlfn.XLOOKUP(E449,{"FIRST","SECOND","THIRD","FOURTH"},{"SEM-1","SEM-2","SEM-3","SEM-4"},""))</f>
        <v>SEM-2</v>
      </c>
      <c r="G449" s="3">
        <v>42</v>
      </c>
      <c r="H449" s="3">
        <v>83</v>
      </c>
      <c r="I449" s="3">
        <v>74</v>
      </c>
      <c r="J449" s="3">
        <f t="shared" si="18"/>
        <v>199</v>
      </c>
      <c r="K449" s="3" t="str">
        <f t="shared" si="19"/>
        <v>P</v>
      </c>
      <c r="L449" s="3" t="str">
        <f t="shared" si="20"/>
        <v>A</v>
      </c>
    </row>
    <row r="450" spans="1:12" ht="14.25" customHeight="1">
      <c r="A450" s="3">
        <v>449</v>
      </c>
      <c r="B450" s="3" t="s">
        <v>3347</v>
      </c>
      <c r="C450" s="3" t="s">
        <v>443</v>
      </c>
      <c r="D450" s="3">
        <v>9876543646</v>
      </c>
      <c r="E450" s="3" t="s">
        <v>4420</v>
      </c>
      <c r="F450" s="3" t="str" cm="1">
        <f t="array" ref="F450">IF(E450="","",_xlfn.XLOOKUP(E450,{"FIRST","SECOND","THIRD","FOURTH"},{"SEM-1","SEM-2","SEM-3","SEM-4"},""))</f>
        <v>SEM-3</v>
      </c>
      <c r="G450" s="3">
        <v>63</v>
      </c>
      <c r="H450" s="3">
        <v>25</v>
      </c>
      <c r="I450" s="3">
        <v>26</v>
      </c>
      <c r="J450" s="3">
        <f t="shared" ref="J450:J513" si="21">SUM(G450:I450)</f>
        <v>114</v>
      </c>
      <c r="K450" s="3" t="str">
        <f t="shared" ref="K450:K513" si="22">IF(OR(G450&gt;=70,H450&gt;=70,I450&gt;=70,J450&gt;=120),"P","F")</f>
        <v>F</v>
      </c>
      <c r="L450" s="3" t="str">
        <f t="shared" ref="L450:L513" si="23">IF(J450&gt;=190,"A",IF(J450&gt;=150,"B",IF(J450&gt;=120,"C","FAIL")))</f>
        <v>FAIL</v>
      </c>
    </row>
    <row r="451" spans="1:12" ht="14.25" customHeight="1">
      <c r="A451" s="3">
        <v>450</v>
      </c>
      <c r="B451" s="3" t="s">
        <v>2937</v>
      </c>
      <c r="C451" s="3" t="s">
        <v>35</v>
      </c>
      <c r="D451" s="3">
        <v>9876543236</v>
      </c>
      <c r="E451" s="3" t="s">
        <v>4419</v>
      </c>
      <c r="F451" s="3" t="str" cm="1">
        <f t="array" ref="F451">IF(E451="","",_xlfn.XLOOKUP(E451,{"FIRST","SECOND","THIRD","FOURTH"},{"SEM-1","SEM-2","SEM-3","SEM-4"},""))</f>
        <v>SEM-2</v>
      </c>
      <c r="G451" s="3">
        <v>96</v>
      </c>
      <c r="H451" s="3">
        <v>81</v>
      </c>
      <c r="I451" s="3">
        <v>59</v>
      </c>
      <c r="J451" s="3">
        <f t="shared" si="21"/>
        <v>236</v>
      </c>
      <c r="K451" s="3" t="str">
        <f t="shared" si="22"/>
        <v>P</v>
      </c>
      <c r="L451" s="3" t="str">
        <f t="shared" si="23"/>
        <v>A</v>
      </c>
    </row>
    <row r="452" spans="1:12" ht="14.25" customHeight="1">
      <c r="A452" s="3">
        <v>451</v>
      </c>
      <c r="B452" s="3" t="s">
        <v>3794</v>
      </c>
      <c r="C452" s="3" t="s">
        <v>886</v>
      </c>
      <c r="D452" s="3">
        <v>9876544093</v>
      </c>
      <c r="E452" s="3" t="s">
        <v>4419</v>
      </c>
      <c r="F452" s="3" t="str" cm="1">
        <f t="array" ref="F452">IF(E452="","",_xlfn.XLOOKUP(E452,{"FIRST","SECOND","THIRD","FOURTH"},{"SEM-1","SEM-2","SEM-3","SEM-4"},""))</f>
        <v>SEM-2</v>
      </c>
      <c r="G452" s="3">
        <v>29</v>
      </c>
      <c r="H452" s="3">
        <v>33</v>
      </c>
      <c r="I452" s="3">
        <v>26</v>
      </c>
      <c r="J452" s="3">
        <f t="shared" si="21"/>
        <v>88</v>
      </c>
      <c r="K452" s="3" t="str">
        <f t="shared" si="22"/>
        <v>F</v>
      </c>
      <c r="L452" s="3" t="str">
        <f t="shared" si="23"/>
        <v>FAIL</v>
      </c>
    </row>
    <row r="453" spans="1:12" ht="14.25" customHeight="1">
      <c r="A453" s="3">
        <v>452</v>
      </c>
      <c r="B453" s="3" t="s">
        <v>4251</v>
      </c>
      <c r="C453" s="3" t="s">
        <v>1334</v>
      </c>
      <c r="D453" s="3">
        <v>9876544550</v>
      </c>
      <c r="E453" s="3" t="s">
        <v>4420</v>
      </c>
      <c r="F453" s="3" t="str" cm="1">
        <f t="array" ref="F453">IF(E453="","",_xlfn.XLOOKUP(E453,{"FIRST","SECOND","THIRD","FOURTH"},{"SEM-1","SEM-2","SEM-3","SEM-4"},""))</f>
        <v>SEM-3</v>
      </c>
      <c r="G453" s="3">
        <v>99</v>
      </c>
      <c r="H453" s="3">
        <v>42</v>
      </c>
      <c r="I453" s="3">
        <v>38</v>
      </c>
      <c r="J453" s="3">
        <f t="shared" si="21"/>
        <v>179</v>
      </c>
      <c r="K453" s="3" t="str">
        <f t="shared" si="22"/>
        <v>P</v>
      </c>
      <c r="L453" s="3" t="str">
        <f t="shared" si="23"/>
        <v>B</v>
      </c>
    </row>
    <row r="454" spans="1:12" ht="14.25" customHeight="1">
      <c r="A454" s="3">
        <v>453</v>
      </c>
      <c r="B454" s="3" t="s">
        <v>4312</v>
      </c>
      <c r="C454" s="3" t="s">
        <v>1392</v>
      </c>
      <c r="D454" s="3">
        <v>9876544611</v>
      </c>
      <c r="E454" s="3" t="s">
        <v>4418</v>
      </c>
      <c r="F454" s="3" t="str" cm="1">
        <f t="array" ref="F454">IF(E454="","",_xlfn.XLOOKUP(E454,{"FIRST","SECOND","THIRD","FOURTH"},{"SEM-1","SEM-2","SEM-3","SEM-4"},""))</f>
        <v>SEM-1</v>
      </c>
      <c r="G454" s="3">
        <v>6</v>
      </c>
      <c r="H454" s="3">
        <v>50</v>
      </c>
      <c r="I454" s="3">
        <v>17</v>
      </c>
      <c r="J454" s="3">
        <f t="shared" si="21"/>
        <v>73</v>
      </c>
      <c r="K454" s="3" t="str">
        <f t="shared" si="22"/>
        <v>F</v>
      </c>
      <c r="L454" s="3" t="str">
        <f t="shared" si="23"/>
        <v>FAIL</v>
      </c>
    </row>
    <row r="455" spans="1:12" ht="14.25" customHeight="1">
      <c r="A455" s="3">
        <v>454</v>
      </c>
      <c r="B455" s="3" t="s">
        <v>3718</v>
      </c>
      <c r="C455" s="3" t="s">
        <v>811</v>
      </c>
      <c r="D455" s="3">
        <v>9876544017</v>
      </c>
      <c r="E455" s="3" t="s">
        <v>4420</v>
      </c>
      <c r="F455" s="3" t="str" cm="1">
        <f t="array" ref="F455">IF(E455="","",_xlfn.XLOOKUP(E455,{"FIRST","SECOND","THIRD","FOURTH"},{"SEM-1","SEM-2","SEM-3","SEM-4"},""))</f>
        <v>SEM-3</v>
      </c>
      <c r="G455" s="3">
        <v>24</v>
      </c>
      <c r="H455" s="3">
        <v>46</v>
      </c>
      <c r="I455" s="3">
        <v>82</v>
      </c>
      <c r="J455" s="3">
        <f t="shared" si="21"/>
        <v>152</v>
      </c>
      <c r="K455" s="3" t="str">
        <f t="shared" si="22"/>
        <v>P</v>
      </c>
      <c r="L455" s="3" t="str">
        <f t="shared" si="23"/>
        <v>B</v>
      </c>
    </row>
    <row r="456" spans="1:12" ht="14.25" customHeight="1">
      <c r="A456" s="3">
        <v>455</v>
      </c>
      <c r="B456" s="3" t="s">
        <v>3489</v>
      </c>
      <c r="C456" s="3" t="s">
        <v>584</v>
      </c>
      <c r="D456" s="3">
        <v>9876543788</v>
      </c>
      <c r="E456" s="3" t="s">
        <v>4418</v>
      </c>
      <c r="F456" s="3" t="str" cm="1">
        <f t="array" ref="F456">IF(E456="","",_xlfn.XLOOKUP(E456,{"FIRST","SECOND","THIRD","FOURTH"},{"SEM-1","SEM-2","SEM-3","SEM-4"},""))</f>
        <v>SEM-1</v>
      </c>
      <c r="G456" s="3">
        <v>65</v>
      </c>
      <c r="H456" s="3">
        <v>34</v>
      </c>
      <c r="I456" s="3">
        <v>58</v>
      </c>
      <c r="J456" s="3">
        <f t="shared" si="21"/>
        <v>157</v>
      </c>
      <c r="K456" s="3" t="str">
        <f t="shared" si="22"/>
        <v>P</v>
      </c>
      <c r="L456" s="3" t="str">
        <f t="shared" si="23"/>
        <v>B</v>
      </c>
    </row>
    <row r="457" spans="1:12" ht="14.25" customHeight="1">
      <c r="A457" s="3">
        <v>456</v>
      </c>
      <c r="B457" s="3" t="s">
        <v>3436</v>
      </c>
      <c r="C457" s="3" t="s">
        <v>532</v>
      </c>
      <c r="D457" s="3">
        <v>9876543735</v>
      </c>
      <c r="E457" s="3" t="s">
        <v>4419</v>
      </c>
      <c r="F457" s="3" t="str" cm="1">
        <f t="array" ref="F457">IF(E457="","",_xlfn.XLOOKUP(E457,{"FIRST","SECOND","THIRD","FOURTH"},{"SEM-1","SEM-2","SEM-3","SEM-4"},""))</f>
        <v>SEM-2</v>
      </c>
      <c r="G457" s="3">
        <v>70</v>
      </c>
      <c r="H457" s="3">
        <v>61</v>
      </c>
      <c r="I457" s="3">
        <v>18</v>
      </c>
      <c r="J457" s="3">
        <f t="shared" si="21"/>
        <v>149</v>
      </c>
      <c r="K457" s="3" t="str">
        <f t="shared" si="22"/>
        <v>P</v>
      </c>
      <c r="L457" s="3" t="str">
        <f t="shared" si="23"/>
        <v>C</v>
      </c>
    </row>
    <row r="458" spans="1:12" ht="14.25" customHeight="1">
      <c r="A458" s="3">
        <v>457</v>
      </c>
      <c r="B458" s="3" t="s">
        <v>4044</v>
      </c>
      <c r="C458" s="3" t="s">
        <v>1132</v>
      </c>
      <c r="D458" s="3">
        <v>9876544343</v>
      </c>
      <c r="E458" s="3" t="s">
        <v>4419</v>
      </c>
      <c r="F458" s="3" t="str" cm="1">
        <f t="array" ref="F458">IF(E458="","",_xlfn.XLOOKUP(E458,{"FIRST","SECOND","THIRD","FOURTH"},{"SEM-1","SEM-2","SEM-3","SEM-4"},""))</f>
        <v>SEM-2</v>
      </c>
      <c r="G458" s="3">
        <v>87</v>
      </c>
      <c r="H458" s="3">
        <v>0</v>
      </c>
      <c r="I458" s="3">
        <v>52</v>
      </c>
      <c r="J458" s="3">
        <f t="shared" si="21"/>
        <v>139</v>
      </c>
      <c r="K458" s="3" t="str">
        <f t="shared" si="22"/>
        <v>P</v>
      </c>
      <c r="L458" s="3" t="str">
        <f t="shared" si="23"/>
        <v>C</v>
      </c>
    </row>
    <row r="459" spans="1:12" ht="14.25" customHeight="1">
      <c r="A459" s="3">
        <v>458</v>
      </c>
      <c r="B459" s="3" t="s">
        <v>3204</v>
      </c>
      <c r="C459" s="3" t="s">
        <v>302</v>
      </c>
      <c r="D459" s="3">
        <v>9876543503</v>
      </c>
      <c r="E459" s="3" t="s">
        <v>4418</v>
      </c>
      <c r="F459" s="3" t="str" cm="1">
        <f t="array" ref="F459">IF(E459="","",_xlfn.XLOOKUP(E459,{"FIRST","SECOND","THIRD","FOURTH"},{"SEM-1","SEM-2","SEM-3","SEM-4"},""))</f>
        <v>SEM-1</v>
      </c>
      <c r="G459" s="3">
        <v>55</v>
      </c>
      <c r="H459" s="3">
        <v>74</v>
      </c>
      <c r="I459" s="3">
        <v>58</v>
      </c>
      <c r="J459" s="3">
        <f t="shared" si="21"/>
        <v>187</v>
      </c>
      <c r="K459" s="3" t="str">
        <f t="shared" si="22"/>
        <v>P</v>
      </c>
      <c r="L459" s="3" t="str">
        <f t="shared" si="23"/>
        <v>B</v>
      </c>
    </row>
    <row r="460" spans="1:12" ht="14.25" customHeight="1">
      <c r="A460" s="3">
        <v>459</v>
      </c>
      <c r="B460" s="3" t="s">
        <v>3013</v>
      </c>
      <c r="C460" s="3" t="s">
        <v>111</v>
      </c>
      <c r="D460" s="3">
        <v>9876543312</v>
      </c>
      <c r="E460" s="3" t="s">
        <v>4420</v>
      </c>
      <c r="F460" s="3" t="str" cm="1">
        <f t="array" ref="F460">IF(E460="","",_xlfn.XLOOKUP(E460,{"FIRST","SECOND","THIRD","FOURTH"},{"SEM-1","SEM-2","SEM-3","SEM-4"},""))</f>
        <v>SEM-3</v>
      </c>
      <c r="G460" s="3">
        <v>34</v>
      </c>
      <c r="H460" s="3">
        <v>26</v>
      </c>
      <c r="I460" s="3">
        <v>44</v>
      </c>
      <c r="J460" s="3">
        <f t="shared" si="21"/>
        <v>104</v>
      </c>
      <c r="K460" s="3" t="str">
        <f t="shared" si="22"/>
        <v>F</v>
      </c>
      <c r="L460" s="3" t="str">
        <f t="shared" si="23"/>
        <v>FAIL</v>
      </c>
    </row>
    <row r="461" spans="1:12" ht="14.25" customHeight="1">
      <c r="A461" s="3">
        <v>460</v>
      </c>
      <c r="B461" s="3" t="s">
        <v>4125</v>
      </c>
      <c r="C461" s="3" t="s">
        <v>1210</v>
      </c>
      <c r="D461" s="3">
        <v>9876544424</v>
      </c>
      <c r="E461" s="3" t="s">
        <v>4418</v>
      </c>
      <c r="F461" s="3" t="str" cm="1">
        <f t="array" ref="F461">IF(E461="","",_xlfn.XLOOKUP(E461,{"FIRST","SECOND","THIRD","FOURTH"},{"SEM-1","SEM-2","SEM-3","SEM-4"},""))</f>
        <v>SEM-1</v>
      </c>
      <c r="G461" s="3">
        <v>30</v>
      </c>
      <c r="H461" s="3">
        <v>29</v>
      </c>
      <c r="I461" s="3">
        <v>75</v>
      </c>
      <c r="J461" s="3">
        <f t="shared" si="21"/>
        <v>134</v>
      </c>
      <c r="K461" s="3" t="str">
        <f t="shared" si="22"/>
        <v>P</v>
      </c>
      <c r="L461" s="3" t="str">
        <f t="shared" si="23"/>
        <v>C</v>
      </c>
    </row>
    <row r="462" spans="1:12" ht="14.25" customHeight="1">
      <c r="A462" s="3">
        <v>461</v>
      </c>
      <c r="B462" s="3" t="s">
        <v>3658</v>
      </c>
      <c r="C462" s="3" t="s">
        <v>752</v>
      </c>
      <c r="D462" s="3">
        <v>9876543957</v>
      </c>
      <c r="E462" s="3" t="s">
        <v>4420</v>
      </c>
      <c r="F462" s="3" t="str" cm="1">
        <f t="array" ref="F462">IF(E462="","",_xlfn.XLOOKUP(E462,{"FIRST","SECOND","THIRD","FOURTH"},{"SEM-1","SEM-2","SEM-3","SEM-4"},""))</f>
        <v>SEM-3</v>
      </c>
      <c r="G462" s="3">
        <v>30</v>
      </c>
      <c r="H462" s="3">
        <v>12</v>
      </c>
      <c r="I462" s="3">
        <v>11</v>
      </c>
      <c r="J462" s="3">
        <f t="shared" si="21"/>
        <v>53</v>
      </c>
      <c r="K462" s="3" t="str">
        <f t="shared" si="22"/>
        <v>F</v>
      </c>
      <c r="L462" s="3" t="str">
        <f t="shared" si="23"/>
        <v>FAIL</v>
      </c>
    </row>
    <row r="463" spans="1:12" ht="14.25" customHeight="1">
      <c r="A463" s="3">
        <v>462</v>
      </c>
      <c r="B463" s="3" t="s">
        <v>3935</v>
      </c>
      <c r="C463" s="3" t="s">
        <v>1025</v>
      </c>
      <c r="D463" s="3">
        <v>9876544234</v>
      </c>
      <c r="E463" s="3" t="s">
        <v>4419</v>
      </c>
      <c r="F463" s="3" t="str" cm="1">
        <f t="array" ref="F463">IF(E463="","",_xlfn.XLOOKUP(E463,{"FIRST","SECOND","THIRD","FOURTH"},{"SEM-1","SEM-2","SEM-3","SEM-4"},""))</f>
        <v>SEM-2</v>
      </c>
      <c r="G463" s="3">
        <v>90</v>
      </c>
      <c r="H463" s="3">
        <v>56</v>
      </c>
      <c r="I463" s="3">
        <v>19</v>
      </c>
      <c r="J463" s="3">
        <f t="shared" si="21"/>
        <v>165</v>
      </c>
      <c r="K463" s="3" t="str">
        <f t="shared" si="22"/>
        <v>P</v>
      </c>
      <c r="L463" s="3" t="str">
        <f t="shared" si="23"/>
        <v>B</v>
      </c>
    </row>
    <row r="464" spans="1:12" ht="14.25" customHeight="1">
      <c r="A464" s="3">
        <v>463</v>
      </c>
      <c r="B464" s="3" t="s">
        <v>3349</v>
      </c>
      <c r="C464" s="3" t="s">
        <v>445</v>
      </c>
      <c r="D464" s="3">
        <v>9876543648</v>
      </c>
      <c r="E464" s="3" t="s">
        <v>4418</v>
      </c>
      <c r="F464" s="3" t="str" cm="1">
        <f t="array" ref="F464">IF(E464="","",_xlfn.XLOOKUP(E464,{"FIRST","SECOND","THIRD","FOURTH"},{"SEM-1","SEM-2","SEM-3","SEM-4"},""))</f>
        <v>SEM-1</v>
      </c>
      <c r="G464" s="3">
        <v>84</v>
      </c>
      <c r="H464" s="3">
        <v>81</v>
      </c>
      <c r="I464" s="3">
        <v>36</v>
      </c>
      <c r="J464" s="3">
        <f t="shared" si="21"/>
        <v>201</v>
      </c>
      <c r="K464" s="3" t="str">
        <f t="shared" si="22"/>
        <v>P</v>
      </c>
      <c r="L464" s="3" t="str">
        <f t="shared" si="23"/>
        <v>A</v>
      </c>
    </row>
    <row r="465" spans="1:12" ht="14.25" customHeight="1">
      <c r="A465" s="3">
        <v>464</v>
      </c>
      <c r="B465" s="3" t="s">
        <v>3879</v>
      </c>
      <c r="C465" s="3" t="s">
        <v>970</v>
      </c>
      <c r="D465" s="3">
        <v>9876544178</v>
      </c>
      <c r="E465" s="3" t="s">
        <v>4419</v>
      </c>
      <c r="F465" s="3" t="str" cm="1">
        <f t="array" ref="F465">IF(E465="","",_xlfn.XLOOKUP(E465,{"FIRST","SECOND","THIRD","FOURTH"},{"SEM-1","SEM-2","SEM-3","SEM-4"},""))</f>
        <v>SEM-2</v>
      </c>
      <c r="G465" s="3">
        <v>91</v>
      </c>
      <c r="H465" s="3">
        <v>87</v>
      </c>
      <c r="I465" s="3">
        <v>59</v>
      </c>
      <c r="J465" s="3">
        <f t="shared" si="21"/>
        <v>237</v>
      </c>
      <c r="K465" s="3" t="str">
        <f t="shared" si="22"/>
        <v>P</v>
      </c>
      <c r="L465" s="3" t="str">
        <f t="shared" si="23"/>
        <v>A</v>
      </c>
    </row>
    <row r="466" spans="1:12" ht="14.25" customHeight="1">
      <c r="A466" s="3">
        <v>465</v>
      </c>
      <c r="B466" s="3" t="s">
        <v>3000</v>
      </c>
      <c r="C466" s="3" t="s">
        <v>98</v>
      </c>
      <c r="D466" s="3">
        <v>9876543299</v>
      </c>
      <c r="E466" s="3" t="s">
        <v>4418</v>
      </c>
      <c r="F466" s="3" t="str" cm="1">
        <f t="array" ref="F466">IF(E466="","",_xlfn.XLOOKUP(E466,{"FIRST","SECOND","THIRD","FOURTH"},{"SEM-1","SEM-2","SEM-3","SEM-4"},""))</f>
        <v>SEM-1</v>
      </c>
      <c r="G466" s="3">
        <v>62</v>
      </c>
      <c r="H466" s="3">
        <v>92</v>
      </c>
      <c r="I466" s="3">
        <v>54</v>
      </c>
      <c r="J466" s="3">
        <f t="shared" si="21"/>
        <v>208</v>
      </c>
      <c r="K466" s="3" t="str">
        <f t="shared" si="22"/>
        <v>P</v>
      </c>
      <c r="L466" s="3" t="str">
        <f t="shared" si="23"/>
        <v>A</v>
      </c>
    </row>
    <row r="467" spans="1:12" ht="14.25" customHeight="1">
      <c r="A467" s="3">
        <v>466</v>
      </c>
      <c r="B467" s="3" t="s">
        <v>3856</v>
      </c>
      <c r="C467" s="3" t="s">
        <v>948</v>
      </c>
      <c r="D467" s="3">
        <v>9876544155</v>
      </c>
      <c r="E467" s="3" t="s">
        <v>4418</v>
      </c>
      <c r="F467" s="3" t="str" cm="1">
        <f t="array" ref="F467">IF(E467="","",_xlfn.XLOOKUP(E467,{"FIRST","SECOND","THIRD","FOURTH"},{"SEM-1","SEM-2","SEM-3","SEM-4"},""))</f>
        <v>SEM-1</v>
      </c>
      <c r="G467" s="3">
        <v>15</v>
      </c>
      <c r="H467" s="3">
        <v>72</v>
      </c>
      <c r="I467" s="3">
        <v>48</v>
      </c>
      <c r="J467" s="3">
        <f t="shared" si="21"/>
        <v>135</v>
      </c>
      <c r="K467" s="3" t="str">
        <f t="shared" si="22"/>
        <v>P</v>
      </c>
      <c r="L467" s="3" t="str">
        <f t="shared" si="23"/>
        <v>C</v>
      </c>
    </row>
    <row r="468" spans="1:12" ht="14.25" customHeight="1">
      <c r="A468" s="3">
        <v>467</v>
      </c>
      <c r="B468" s="3" t="s">
        <v>3377</v>
      </c>
      <c r="C468" s="3" t="s">
        <v>473</v>
      </c>
      <c r="D468" s="3">
        <v>9876543676</v>
      </c>
      <c r="E468" s="3" t="s">
        <v>4418</v>
      </c>
      <c r="F468" s="3" t="str" cm="1">
        <f t="array" ref="F468">IF(E468="","",_xlfn.XLOOKUP(E468,{"FIRST","SECOND","THIRD","FOURTH"},{"SEM-1","SEM-2","SEM-3","SEM-4"},""))</f>
        <v>SEM-1</v>
      </c>
      <c r="G468" s="3">
        <v>52</v>
      </c>
      <c r="H468" s="3">
        <v>91</v>
      </c>
      <c r="I468" s="3">
        <v>11</v>
      </c>
      <c r="J468" s="3">
        <f t="shared" si="21"/>
        <v>154</v>
      </c>
      <c r="K468" s="3" t="str">
        <f t="shared" si="22"/>
        <v>P</v>
      </c>
      <c r="L468" s="3" t="str">
        <f t="shared" si="23"/>
        <v>B</v>
      </c>
    </row>
    <row r="469" spans="1:12" ht="14.25" customHeight="1">
      <c r="A469" s="3">
        <v>468</v>
      </c>
      <c r="B469" s="3" t="s">
        <v>3462</v>
      </c>
      <c r="C469" s="3" t="s">
        <v>558</v>
      </c>
      <c r="D469" s="3">
        <v>9876543761</v>
      </c>
      <c r="E469" s="3" t="s">
        <v>4418</v>
      </c>
      <c r="F469" s="3" t="str" cm="1">
        <f t="array" ref="F469">IF(E469="","",_xlfn.XLOOKUP(E469,{"FIRST","SECOND","THIRD","FOURTH"},{"SEM-1","SEM-2","SEM-3","SEM-4"},""))</f>
        <v>SEM-1</v>
      </c>
      <c r="G469" s="3">
        <v>84</v>
      </c>
      <c r="H469" s="3">
        <v>85</v>
      </c>
      <c r="I469" s="3">
        <v>57</v>
      </c>
      <c r="J469" s="3">
        <f t="shared" si="21"/>
        <v>226</v>
      </c>
      <c r="K469" s="3" t="str">
        <f t="shared" si="22"/>
        <v>P</v>
      </c>
      <c r="L469" s="3" t="str">
        <f t="shared" si="23"/>
        <v>A</v>
      </c>
    </row>
    <row r="470" spans="1:12" ht="14.25" customHeight="1">
      <c r="A470" s="3">
        <v>469</v>
      </c>
      <c r="B470" s="3" t="s">
        <v>4387</v>
      </c>
      <c r="C470" s="3" t="s">
        <v>1466</v>
      </c>
      <c r="D470" s="3">
        <v>9876544686</v>
      </c>
      <c r="E470" s="3" t="s">
        <v>4420</v>
      </c>
      <c r="F470" s="3" t="str" cm="1">
        <f t="array" ref="F470">IF(E470="","",_xlfn.XLOOKUP(E470,{"FIRST","SECOND","THIRD","FOURTH"},{"SEM-1","SEM-2","SEM-3","SEM-4"},""))</f>
        <v>SEM-3</v>
      </c>
      <c r="G470" s="3">
        <v>93</v>
      </c>
      <c r="H470" s="3">
        <v>42</v>
      </c>
      <c r="I470" s="3">
        <v>43</v>
      </c>
      <c r="J470" s="3">
        <f t="shared" si="21"/>
        <v>178</v>
      </c>
      <c r="K470" s="3" t="str">
        <f t="shared" si="22"/>
        <v>P</v>
      </c>
      <c r="L470" s="3" t="str">
        <f t="shared" si="23"/>
        <v>B</v>
      </c>
    </row>
    <row r="471" spans="1:12" ht="14.25" customHeight="1">
      <c r="A471" s="3">
        <v>470</v>
      </c>
      <c r="B471" s="3" t="s">
        <v>3705</v>
      </c>
      <c r="C471" s="3" t="s">
        <v>798</v>
      </c>
      <c r="D471" s="3">
        <v>9876544004</v>
      </c>
      <c r="E471" s="3" t="s">
        <v>4420</v>
      </c>
      <c r="F471" s="3" t="str" cm="1">
        <f t="array" ref="F471">IF(E471="","",_xlfn.XLOOKUP(E471,{"FIRST","SECOND","THIRD","FOURTH"},{"SEM-1","SEM-2","SEM-3","SEM-4"},""))</f>
        <v>SEM-3</v>
      </c>
      <c r="G471" s="3">
        <v>100</v>
      </c>
      <c r="H471" s="3">
        <v>75</v>
      </c>
      <c r="I471" s="3">
        <v>49</v>
      </c>
      <c r="J471" s="3">
        <f t="shared" si="21"/>
        <v>224</v>
      </c>
      <c r="K471" s="3" t="str">
        <f t="shared" si="22"/>
        <v>P</v>
      </c>
      <c r="L471" s="3" t="str">
        <f t="shared" si="23"/>
        <v>A</v>
      </c>
    </row>
    <row r="472" spans="1:12" ht="14.25" customHeight="1">
      <c r="A472" s="3">
        <v>471</v>
      </c>
      <c r="B472" s="3" t="s">
        <v>3222</v>
      </c>
      <c r="C472" s="3" t="s">
        <v>319</v>
      </c>
      <c r="D472" s="3">
        <v>9876543521</v>
      </c>
      <c r="E472" s="3" t="s">
        <v>4419</v>
      </c>
      <c r="F472" s="3" t="str" cm="1">
        <f t="array" ref="F472">IF(E472="","",_xlfn.XLOOKUP(E472,{"FIRST","SECOND","THIRD","FOURTH"},{"SEM-1","SEM-2","SEM-3","SEM-4"},""))</f>
        <v>SEM-2</v>
      </c>
      <c r="G472" s="3">
        <v>92</v>
      </c>
      <c r="H472" s="3">
        <v>43</v>
      </c>
      <c r="I472" s="3">
        <v>74</v>
      </c>
      <c r="J472" s="3">
        <f t="shared" si="21"/>
        <v>209</v>
      </c>
      <c r="K472" s="3" t="str">
        <f t="shared" si="22"/>
        <v>P</v>
      </c>
      <c r="L472" s="3" t="str">
        <f t="shared" si="23"/>
        <v>A</v>
      </c>
    </row>
    <row r="473" spans="1:12" ht="14.25" customHeight="1">
      <c r="A473" s="3">
        <v>472</v>
      </c>
      <c r="B473" s="3" t="s">
        <v>3079</v>
      </c>
      <c r="C473" s="3" t="s">
        <v>177</v>
      </c>
      <c r="D473" s="3">
        <v>9876543378</v>
      </c>
      <c r="E473" s="3" t="s">
        <v>4420</v>
      </c>
      <c r="F473" s="3" t="str" cm="1">
        <f t="array" ref="F473">IF(E473="","",_xlfn.XLOOKUP(E473,{"FIRST","SECOND","THIRD","FOURTH"},{"SEM-1","SEM-2","SEM-3","SEM-4"},""))</f>
        <v>SEM-3</v>
      </c>
      <c r="G473" s="3">
        <v>25</v>
      </c>
      <c r="H473" s="3">
        <v>69</v>
      </c>
      <c r="I473" s="3">
        <v>46</v>
      </c>
      <c r="J473" s="3">
        <f t="shared" si="21"/>
        <v>140</v>
      </c>
      <c r="K473" s="3" t="str">
        <f t="shared" si="22"/>
        <v>P</v>
      </c>
      <c r="L473" s="3" t="str">
        <f t="shared" si="23"/>
        <v>C</v>
      </c>
    </row>
    <row r="474" spans="1:12" ht="14.25" customHeight="1">
      <c r="A474" s="3">
        <v>473</v>
      </c>
      <c r="B474" s="3" t="s">
        <v>2946</v>
      </c>
      <c r="C474" s="3" t="s">
        <v>44</v>
      </c>
      <c r="D474" s="3">
        <v>9876543245</v>
      </c>
      <c r="E474" s="3" t="s">
        <v>4419</v>
      </c>
      <c r="F474" s="3" t="str" cm="1">
        <f t="array" ref="F474">IF(E474="","",_xlfn.XLOOKUP(E474,{"FIRST","SECOND","THIRD","FOURTH"},{"SEM-1","SEM-2","SEM-3","SEM-4"},""))</f>
        <v>SEM-2</v>
      </c>
      <c r="G474" s="3">
        <v>35</v>
      </c>
      <c r="H474" s="3">
        <v>99</v>
      </c>
      <c r="I474" s="3">
        <v>81</v>
      </c>
      <c r="J474" s="3">
        <f t="shared" si="21"/>
        <v>215</v>
      </c>
      <c r="K474" s="3" t="str">
        <f t="shared" si="22"/>
        <v>P</v>
      </c>
      <c r="L474" s="3" t="str">
        <f t="shared" si="23"/>
        <v>A</v>
      </c>
    </row>
    <row r="475" spans="1:12" ht="14.25" customHeight="1">
      <c r="A475" s="3">
        <v>474</v>
      </c>
      <c r="B475" s="3" t="s">
        <v>3793</v>
      </c>
      <c r="C475" s="3" t="s">
        <v>885</v>
      </c>
      <c r="D475" s="3">
        <v>9876544092</v>
      </c>
      <c r="E475" s="3" t="s">
        <v>4419</v>
      </c>
      <c r="F475" s="3" t="str" cm="1">
        <f t="array" ref="F475">IF(E475="","",_xlfn.XLOOKUP(E475,{"FIRST","SECOND","THIRD","FOURTH"},{"SEM-1","SEM-2","SEM-3","SEM-4"},""))</f>
        <v>SEM-2</v>
      </c>
      <c r="G475" s="3">
        <v>52</v>
      </c>
      <c r="H475" s="3">
        <v>77</v>
      </c>
      <c r="I475" s="3">
        <v>37</v>
      </c>
      <c r="J475" s="3">
        <f t="shared" si="21"/>
        <v>166</v>
      </c>
      <c r="K475" s="3" t="str">
        <f t="shared" si="22"/>
        <v>P</v>
      </c>
      <c r="L475" s="3" t="str">
        <f t="shared" si="23"/>
        <v>B</v>
      </c>
    </row>
    <row r="476" spans="1:12" ht="14.25" customHeight="1">
      <c r="A476" s="3">
        <v>475</v>
      </c>
      <c r="B476" s="3" t="s">
        <v>3973</v>
      </c>
      <c r="C476" s="3" t="s">
        <v>1063</v>
      </c>
      <c r="D476" s="3">
        <v>9876544272</v>
      </c>
      <c r="E476" s="3" t="s">
        <v>4418</v>
      </c>
      <c r="F476" s="3" t="str" cm="1">
        <f t="array" ref="F476">IF(E476="","",_xlfn.XLOOKUP(E476,{"FIRST","SECOND","THIRD","FOURTH"},{"SEM-1","SEM-2","SEM-3","SEM-4"},""))</f>
        <v>SEM-1</v>
      </c>
      <c r="G476" s="3">
        <v>93</v>
      </c>
      <c r="H476" s="3">
        <v>0</v>
      </c>
      <c r="I476" s="3">
        <v>95</v>
      </c>
      <c r="J476" s="3">
        <f t="shared" si="21"/>
        <v>188</v>
      </c>
      <c r="K476" s="3" t="str">
        <f t="shared" si="22"/>
        <v>P</v>
      </c>
      <c r="L476" s="3" t="str">
        <f t="shared" si="23"/>
        <v>B</v>
      </c>
    </row>
    <row r="477" spans="1:12" ht="14.25" customHeight="1">
      <c r="A477" s="3">
        <v>476</v>
      </c>
      <c r="B477" s="3" t="s">
        <v>4224</v>
      </c>
      <c r="C477" s="3" t="s">
        <v>1307</v>
      </c>
      <c r="D477" s="3">
        <v>9876544523</v>
      </c>
      <c r="E477" s="3" t="s">
        <v>4419</v>
      </c>
      <c r="F477" s="3" t="str" cm="1">
        <f t="array" ref="F477">IF(E477="","",_xlfn.XLOOKUP(E477,{"FIRST","SECOND","THIRD","FOURTH"},{"SEM-1","SEM-2","SEM-3","SEM-4"},""))</f>
        <v>SEM-2</v>
      </c>
      <c r="G477" s="3">
        <v>72</v>
      </c>
      <c r="H477" s="3">
        <v>1</v>
      </c>
      <c r="I477" s="3">
        <v>40</v>
      </c>
      <c r="J477" s="3">
        <f t="shared" si="21"/>
        <v>113</v>
      </c>
      <c r="K477" s="3" t="str">
        <f t="shared" si="22"/>
        <v>P</v>
      </c>
      <c r="L477" s="3" t="str">
        <f t="shared" si="23"/>
        <v>FAIL</v>
      </c>
    </row>
    <row r="478" spans="1:12" ht="14.25" customHeight="1">
      <c r="A478" s="3">
        <v>477</v>
      </c>
      <c r="B478" s="3" t="s">
        <v>3861</v>
      </c>
      <c r="C478" s="3" t="s">
        <v>953</v>
      </c>
      <c r="D478" s="3">
        <v>9876544160</v>
      </c>
      <c r="E478" s="3" t="s">
        <v>4419</v>
      </c>
      <c r="F478" s="3" t="str" cm="1">
        <f t="array" ref="F478">IF(E478="","",_xlfn.XLOOKUP(E478,{"FIRST","SECOND","THIRD","FOURTH"},{"SEM-1","SEM-2","SEM-3","SEM-4"},""))</f>
        <v>SEM-2</v>
      </c>
      <c r="G478" s="3">
        <v>11</v>
      </c>
      <c r="H478" s="3">
        <v>18</v>
      </c>
      <c r="I478" s="3">
        <v>27</v>
      </c>
      <c r="J478" s="3">
        <f t="shared" si="21"/>
        <v>56</v>
      </c>
      <c r="K478" s="3" t="str">
        <f t="shared" si="22"/>
        <v>F</v>
      </c>
      <c r="L478" s="3" t="str">
        <f t="shared" si="23"/>
        <v>FAIL</v>
      </c>
    </row>
    <row r="479" spans="1:12" ht="14.25" customHeight="1">
      <c r="A479" s="3">
        <v>478</v>
      </c>
      <c r="B479" s="3" t="s">
        <v>3281</v>
      </c>
      <c r="C479" s="3" t="s">
        <v>378</v>
      </c>
      <c r="D479" s="3">
        <v>9876543580</v>
      </c>
      <c r="E479" s="3" t="s">
        <v>4419</v>
      </c>
      <c r="F479" s="3" t="str" cm="1">
        <f t="array" ref="F479">IF(E479="","",_xlfn.XLOOKUP(E479,{"FIRST","SECOND","THIRD","FOURTH"},{"SEM-1","SEM-2","SEM-3","SEM-4"},""))</f>
        <v>SEM-2</v>
      </c>
      <c r="G479" s="3">
        <v>66</v>
      </c>
      <c r="H479" s="3">
        <v>18</v>
      </c>
      <c r="I479" s="3">
        <v>99</v>
      </c>
      <c r="J479" s="3">
        <f t="shared" si="21"/>
        <v>183</v>
      </c>
      <c r="K479" s="3" t="str">
        <f t="shared" si="22"/>
        <v>P</v>
      </c>
      <c r="L479" s="3" t="str">
        <f t="shared" si="23"/>
        <v>B</v>
      </c>
    </row>
    <row r="480" spans="1:12" ht="14.25" customHeight="1">
      <c r="A480" s="3">
        <v>479</v>
      </c>
      <c r="B480" s="3" t="s">
        <v>3535</v>
      </c>
      <c r="C480" s="3" t="s">
        <v>630</v>
      </c>
      <c r="D480" s="3">
        <v>9876543834</v>
      </c>
      <c r="E480" s="3" t="s">
        <v>4420</v>
      </c>
      <c r="F480" s="3" t="str" cm="1">
        <f t="array" ref="F480">IF(E480="","",_xlfn.XLOOKUP(E480,{"FIRST","SECOND","THIRD","FOURTH"},{"SEM-1","SEM-2","SEM-3","SEM-4"},""))</f>
        <v>SEM-3</v>
      </c>
      <c r="G480" s="3">
        <v>57</v>
      </c>
      <c r="H480" s="3">
        <v>10</v>
      </c>
      <c r="I480" s="3">
        <v>61</v>
      </c>
      <c r="J480" s="3">
        <f t="shared" si="21"/>
        <v>128</v>
      </c>
      <c r="K480" s="3" t="str">
        <f t="shared" si="22"/>
        <v>P</v>
      </c>
      <c r="L480" s="3" t="str">
        <f t="shared" si="23"/>
        <v>C</v>
      </c>
    </row>
    <row r="481" spans="1:12" ht="14.25" customHeight="1">
      <c r="A481" s="3">
        <v>480</v>
      </c>
      <c r="B481" s="3" t="s">
        <v>3223</v>
      </c>
      <c r="C481" s="3" t="s">
        <v>320</v>
      </c>
      <c r="D481" s="3">
        <v>9876543522</v>
      </c>
      <c r="E481" s="3" t="s">
        <v>4420</v>
      </c>
      <c r="F481" s="3" t="str" cm="1">
        <f t="array" ref="F481">IF(E481="","",_xlfn.XLOOKUP(E481,{"FIRST","SECOND","THIRD","FOURTH"},{"SEM-1","SEM-2","SEM-3","SEM-4"},""))</f>
        <v>SEM-3</v>
      </c>
      <c r="G481" s="3">
        <v>88</v>
      </c>
      <c r="H481" s="3">
        <v>0</v>
      </c>
      <c r="I481" s="3">
        <v>66</v>
      </c>
      <c r="J481" s="3">
        <f t="shared" si="21"/>
        <v>154</v>
      </c>
      <c r="K481" s="3" t="str">
        <f t="shared" si="22"/>
        <v>P</v>
      </c>
      <c r="L481" s="3" t="str">
        <f t="shared" si="23"/>
        <v>B</v>
      </c>
    </row>
    <row r="482" spans="1:12" ht="14.25" customHeight="1">
      <c r="A482" s="3">
        <v>481</v>
      </c>
      <c r="B482" s="3" t="s">
        <v>3241</v>
      </c>
      <c r="C482" s="3" t="s">
        <v>338</v>
      </c>
      <c r="D482" s="3">
        <v>9876543540</v>
      </c>
      <c r="E482" s="3" t="s">
        <v>4420</v>
      </c>
      <c r="F482" s="3" t="str" cm="1">
        <f t="array" ref="F482">IF(E482="","",_xlfn.XLOOKUP(E482,{"FIRST","SECOND","THIRD","FOURTH"},{"SEM-1","SEM-2","SEM-3","SEM-4"},""))</f>
        <v>SEM-3</v>
      </c>
      <c r="G482" s="3">
        <v>49</v>
      </c>
      <c r="H482" s="3">
        <v>7</v>
      </c>
      <c r="I482" s="3">
        <v>50</v>
      </c>
      <c r="J482" s="3">
        <f t="shared" si="21"/>
        <v>106</v>
      </c>
      <c r="K482" s="3" t="str">
        <f t="shared" si="22"/>
        <v>F</v>
      </c>
      <c r="L482" s="3" t="str">
        <f t="shared" si="23"/>
        <v>FAIL</v>
      </c>
    </row>
    <row r="483" spans="1:12" ht="14.25" customHeight="1">
      <c r="A483" s="3">
        <v>482</v>
      </c>
      <c r="B483" s="3" t="s">
        <v>3592</v>
      </c>
      <c r="C483" s="3" t="s">
        <v>686</v>
      </c>
      <c r="D483" s="3">
        <v>9876543891</v>
      </c>
      <c r="E483" s="3" t="s">
        <v>4420</v>
      </c>
      <c r="F483" s="3" t="str" cm="1">
        <f t="array" ref="F483">IF(E483="","",_xlfn.XLOOKUP(E483,{"FIRST","SECOND","THIRD","FOURTH"},{"SEM-1","SEM-2","SEM-3","SEM-4"},""))</f>
        <v>SEM-3</v>
      </c>
      <c r="G483" s="3">
        <v>62</v>
      </c>
      <c r="H483" s="3">
        <v>47</v>
      </c>
      <c r="I483" s="3">
        <v>34</v>
      </c>
      <c r="J483" s="3">
        <f t="shared" si="21"/>
        <v>143</v>
      </c>
      <c r="K483" s="3" t="str">
        <f t="shared" si="22"/>
        <v>P</v>
      </c>
      <c r="L483" s="3" t="str">
        <f t="shared" si="23"/>
        <v>C</v>
      </c>
    </row>
    <row r="484" spans="1:12" ht="14.25" customHeight="1">
      <c r="A484" s="3">
        <v>483</v>
      </c>
      <c r="B484" s="3" t="s">
        <v>3092</v>
      </c>
      <c r="C484" s="3" t="s">
        <v>190</v>
      </c>
      <c r="D484" s="3">
        <v>9876543391</v>
      </c>
      <c r="E484" s="3" t="s">
        <v>4420</v>
      </c>
      <c r="F484" s="3" t="str" cm="1">
        <f t="array" ref="F484">IF(E484="","",_xlfn.XLOOKUP(E484,{"FIRST","SECOND","THIRD","FOURTH"},{"SEM-1","SEM-2","SEM-3","SEM-4"},""))</f>
        <v>SEM-3</v>
      </c>
      <c r="G484" s="3">
        <v>1</v>
      </c>
      <c r="H484" s="3">
        <v>9</v>
      </c>
      <c r="I484" s="3">
        <v>68</v>
      </c>
      <c r="J484" s="3">
        <f t="shared" si="21"/>
        <v>78</v>
      </c>
      <c r="K484" s="3" t="str">
        <f t="shared" si="22"/>
        <v>F</v>
      </c>
      <c r="L484" s="3" t="str">
        <f t="shared" si="23"/>
        <v>FAIL</v>
      </c>
    </row>
    <row r="485" spans="1:12" ht="14.25" customHeight="1">
      <c r="A485" s="3">
        <v>484</v>
      </c>
      <c r="B485" s="3" t="s">
        <v>3948</v>
      </c>
      <c r="C485" s="3" t="s">
        <v>1038</v>
      </c>
      <c r="D485" s="3">
        <v>9876544247</v>
      </c>
      <c r="E485" s="3" t="s">
        <v>4420</v>
      </c>
      <c r="F485" s="3" t="str" cm="1">
        <f t="array" ref="F485">IF(E485="","",_xlfn.XLOOKUP(E485,{"FIRST","SECOND","THIRD","FOURTH"},{"SEM-1","SEM-2","SEM-3","SEM-4"},""))</f>
        <v>SEM-3</v>
      </c>
      <c r="G485" s="3">
        <v>99</v>
      </c>
      <c r="H485" s="3">
        <v>39</v>
      </c>
      <c r="I485" s="3">
        <v>68</v>
      </c>
      <c r="J485" s="3">
        <f t="shared" si="21"/>
        <v>206</v>
      </c>
      <c r="K485" s="3" t="str">
        <f t="shared" si="22"/>
        <v>P</v>
      </c>
      <c r="L485" s="3" t="str">
        <f t="shared" si="23"/>
        <v>A</v>
      </c>
    </row>
    <row r="486" spans="1:12" ht="14.25" customHeight="1">
      <c r="A486" s="3">
        <v>485</v>
      </c>
      <c r="B486" s="3" t="s">
        <v>3688</v>
      </c>
      <c r="C486" s="3" t="s">
        <v>781</v>
      </c>
      <c r="D486" s="3">
        <v>9876543987</v>
      </c>
      <c r="E486" s="3" t="s">
        <v>4420</v>
      </c>
      <c r="F486" s="3" t="str" cm="1">
        <f t="array" ref="F486">IF(E486="","",_xlfn.XLOOKUP(E486,{"FIRST","SECOND","THIRD","FOURTH"},{"SEM-1","SEM-2","SEM-3","SEM-4"},""))</f>
        <v>SEM-3</v>
      </c>
      <c r="G486" s="3">
        <v>85</v>
      </c>
      <c r="H486" s="3">
        <v>30</v>
      </c>
      <c r="I486" s="3">
        <v>22</v>
      </c>
      <c r="J486" s="3">
        <f t="shared" si="21"/>
        <v>137</v>
      </c>
      <c r="K486" s="3" t="str">
        <f t="shared" si="22"/>
        <v>P</v>
      </c>
      <c r="L486" s="3" t="str">
        <f t="shared" si="23"/>
        <v>C</v>
      </c>
    </row>
    <row r="487" spans="1:12" ht="14.25" customHeight="1">
      <c r="A487" s="3">
        <v>486</v>
      </c>
      <c r="B487" s="3" t="s">
        <v>3766</v>
      </c>
      <c r="C487" s="3" t="s">
        <v>859</v>
      </c>
      <c r="D487" s="3">
        <v>9876544065</v>
      </c>
      <c r="E487" s="3" t="s">
        <v>4419</v>
      </c>
      <c r="F487" s="3" t="str" cm="1">
        <f t="array" ref="F487">IF(E487="","",_xlfn.XLOOKUP(E487,{"FIRST","SECOND","THIRD","FOURTH"},{"SEM-1","SEM-2","SEM-3","SEM-4"},""))</f>
        <v>SEM-2</v>
      </c>
      <c r="G487" s="3">
        <v>33</v>
      </c>
      <c r="H487" s="3">
        <v>72</v>
      </c>
      <c r="I487" s="3">
        <v>63</v>
      </c>
      <c r="J487" s="3">
        <f t="shared" si="21"/>
        <v>168</v>
      </c>
      <c r="K487" s="3" t="str">
        <f t="shared" si="22"/>
        <v>P</v>
      </c>
      <c r="L487" s="3" t="str">
        <f t="shared" si="23"/>
        <v>B</v>
      </c>
    </row>
    <row r="488" spans="1:12" ht="14.25" customHeight="1">
      <c r="A488" s="3">
        <v>487</v>
      </c>
      <c r="B488" s="3" t="s">
        <v>4394</v>
      </c>
      <c r="C488" s="3" t="s">
        <v>1473</v>
      </c>
      <c r="D488" s="3">
        <v>9876544693</v>
      </c>
      <c r="E488" s="3" t="s">
        <v>4419</v>
      </c>
      <c r="F488" s="3" t="str" cm="1">
        <f t="array" ref="F488">IF(E488="","",_xlfn.XLOOKUP(E488,{"FIRST","SECOND","THIRD","FOURTH"},{"SEM-1","SEM-2","SEM-3","SEM-4"},""))</f>
        <v>SEM-2</v>
      </c>
      <c r="G488" s="3">
        <v>86</v>
      </c>
      <c r="H488" s="3">
        <v>9</v>
      </c>
      <c r="I488" s="3">
        <v>56</v>
      </c>
      <c r="J488" s="3">
        <f t="shared" si="21"/>
        <v>151</v>
      </c>
      <c r="K488" s="3" t="str">
        <f t="shared" si="22"/>
        <v>P</v>
      </c>
      <c r="L488" s="3" t="str">
        <f t="shared" si="23"/>
        <v>B</v>
      </c>
    </row>
    <row r="489" spans="1:12" ht="14.25" customHeight="1">
      <c r="A489" s="3">
        <v>488</v>
      </c>
      <c r="B489" s="3" t="s">
        <v>3270</v>
      </c>
      <c r="C489" s="3" t="s">
        <v>367</v>
      </c>
      <c r="D489" s="3">
        <v>9876543569</v>
      </c>
      <c r="E489" s="3" t="s">
        <v>4420</v>
      </c>
      <c r="F489" s="3" t="str" cm="1">
        <f t="array" ref="F489">IF(E489="","",_xlfn.XLOOKUP(E489,{"FIRST","SECOND","THIRD","FOURTH"},{"SEM-1","SEM-2","SEM-3","SEM-4"},""))</f>
        <v>SEM-3</v>
      </c>
      <c r="G489" s="3">
        <v>11</v>
      </c>
      <c r="H489" s="3">
        <v>55</v>
      </c>
      <c r="I489" s="3">
        <v>21</v>
      </c>
      <c r="J489" s="3">
        <f t="shared" si="21"/>
        <v>87</v>
      </c>
      <c r="K489" s="3" t="str">
        <f t="shared" si="22"/>
        <v>F</v>
      </c>
      <c r="L489" s="3" t="str">
        <f t="shared" si="23"/>
        <v>FAIL</v>
      </c>
    </row>
    <row r="490" spans="1:12" ht="14.25" customHeight="1">
      <c r="A490" s="3">
        <v>489</v>
      </c>
      <c r="B490" s="3" t="s">
        <v>3218</v>
      </c>
      <c r="C490" s="3" t="s">
        <v>315</v>
      </c>
      <c r="D490" s="3">
        <v>9876543517</v>
      </c>
      <c r="E490" s="3" t="s">
        <v>4418</v>
      </c>
      <c r="F490" s="3" t="str" cm="1">
        <f t="array" ref="F490">IF(E490="","",_xlfn.XLOOKUP(E490,{"FIRST","SECOND","THIRD","FOURTH"},{"SEM-1","SEM-2","SEM-3","SEM-4"},""))</f>
        <v>SEM-1</v>
      </c>
      <c r="G490" s="3">
        <v>64</v>
      </c>
      <c r="H490" s="3">
        <v>27</v>
      </c>
      <c r="I490" s="3">
        <v>74</v>
      </c>
      <c r="J490" s="3">
        <f t="shared" si="21"/>
        <v>165</v>
      </c>
      <c r="K490" s="3" t="str">
        <f t="shared" si="22"/>
        <v>P</v>
      </c>
      <c r="L490" s="3" t="str">
        <f t="shared" si="23"/>
        <v>B</v>
      </c>
    </row>
    <row r="491" spans="1:12" ht="14.25" customHeight="1">
      <c r="A491" s="3">
        <v>490</v>
      </c>
      <c r="B491" s="3" t="s">
        <v>4315</v>
      </c>
      <c r="C491" s="3" t="s">
        <v>1395</v>
      </c>
      <c r="D491" s="3">
        <v>9876544614</v>
      </c>
      <c r="E491" s="3" t="s">
        <v>4420</v>
      </c>
      <c r="F491" s="3" t="str" cm="1">
        <f t="array" ref="F491">IF(E491="","",_xlfn.XLOOKUP(E491,{"FIRST","SECOND","THIRD","FOURTH"},{"SEM-1","SEM-2","SEM-3","SEM-4"},""))</f>
        <v>SEM-3</v>
      </c>
      <c r="G491" s="3">
        <v>19</v>
      </c>
      <c r="H491" s="3">
        <v>77</v>
      </c>
      <c r="I491" s="3">
        <v>73</v>
      </c>
      <c r="J491" s="3">
        <f t="shared" si="21"/>
        <v>169</v>
      </c>
      <c r="K491" s="3" t="str">
        <f t="shared" si="22"/>
        <v>P</v>
      </c>
      <c r="L491" s="3" t="str">
        <f t="shared" si="23"/>
        <v>B</v>
      </c>
    </row>
    <row r="492" spans="1:12" ht="14.25" customHeight="1">
      <c r="A492" s="3">
        <v>491</v>
      </c>
      <c r="B492" s="3" t="s">
        <v>3865</v>
      </c>
      <c r="C492" s="3" t="s">
        <v>956</v>
      </c>
      <c r="D492" s="3">
        <v>9876544164</v>
      </c>
      <c r="E492" s="3" t="s">
        <v>4420</v>
      </c>
      <c r="F492" s="3" t="str" cm="1">
        <f t="array" ref="F492">IF(E492="","",_xlfn.XLOOKUP(E492,{"FIRST","SECOND","THIRD","FOURTH"},{"SEM-1","SEM-2","SEM-3","SEM-4"},""))</f>
        <v>SEM-3</v>
      </c>
      <c r="G492" s="3">
        <v>17</v>
      </c>
      <c r="H492" s="3">
        <v>45</v>
      </c>
      <c r="I492" s="3">
        <v>8</v>
      </c>
      <c r="J492" s="3">
        <f t="shared" si="21"/>
        <v>70</v>
      </c>
      <c r="K492" s="3" t="str">
        <f t="shared" si="22"/>
        <v>F</v>
      </c>
      <c r="L492" s="3" t="str">
        <f t="shared" si="23"/>
        <v>FAIL</v>
      </c>
    </row>
    <row r="493" spans="1:12" ht="14.25" customHeight="1">
      <c r="A493" s="3">
        <v>492</v>
      </c>
      <c r="B493" s="3" t="s">
        <v>4174</v>
      </c>
      <c r="C493" s="3" t="s">
        <v>1259</v>
      </c>
      <c r="D493" s="3">
        <v>9876544473</v>
      </c>
      <c r="E493" s="3" t="s">
        <v>4419</v>
      </c>
      <c r="F493" s="3" t="str" cm="1">
        <f t="array" ref="F493">IF(E493="","",_xlfn.XLOOKUP(E493,{"FIRST","SECOND","THIRD","FOURTH"},{"SEM-1","SEM-2","SEM-3","SEM-4"},""))</f>
        <v>SEM-2</v>
      </c>
      <c r="G493" s="3">
        <v>17</v>
      </c>
      <c r="H493" s="3">
        <v>92</v>
      </c>
      <c r="I493" s="3">
        <v>24</v>
      </c>
      <c r="J493" s="3">
        <f t="shared" si="21"/>
        <v>133</v>
      </c>
      <c r="K493" s="3" t="str">
        <f t="shared" si="22"/>
        <v>P</v>
      </c>
      <c r="L493" s="3" t="str">
        <f t="shared" si="23"/>
        <v>C</v>
      </c>
    </row>
    <row r="494" spans="1:12" ht="14.25" customHeight="1">
      <c r="A494" s="3">
        <v>493</v>
      </c>
      <c r="B494" s="3" t="s">
        <v>3310</v>
      </c>
      <c r="C494" s="3" t="s">
        <v>406</v>
      </c>
      <c r="D494" s="3">
        <v>9876543609</v>
      </c>
      <c r="E494" s="3" t="s">
        <v>4418</v>
      </c>
      <c r="F494" s="3" t="str" cm="1">
        <f t="array" ref="F494">IF(E494="","",_xlfn.XLOOKUP(E494,{"FIRST","SECOND","THIRD","FOURTH"},{"SEM-1","SEM-2","SEM-3","SEM-4"},""))</f>
        <v>SEM-1</v>
      </c>
      <c r="G494" s="3">
        <v>18</v>
      </c>
      <c r="H494" s="3">
        <v>68</v>
      </c>
      <c r="I494" s="3">
        <v>75</v>
      </c>
      <c r="J494" s="3">
        <f t="shared" si="21"/>
        <v>161</v>
      </c>
      <c r="K494" s="3" t="str">
        <f t="shared" si="22"/>
        <v>P</v>
      </c>
      <c r="L494" s="3" t="str">
        <f t="shared" si="23"/>
        <v>B</v>
      </c>
    </row>
    <row r="495" spans="1:12" ht="14.25" customHeight="1">
      <c r="A495" s="3">
        <v>494</v>
      </c>
      <c r="B495" s="3" t="s">
        <v>3838</v>
      </c>
      <c r="C495" s="3" t="s">
        <v>930</v>
      </c>
      <c r="D495" s="3">
        <v>9876544137</v>
      </c>
      <c r="E495" s="3" t="s">
        <v>4420</v>
      </c>
      <c r="F495" s="3" t="str" cm="1">
        <f t="array" ref="F495">IF(E495="","",_xlfn.XLOOKUP(E495,{"FIRST","SECOND","THIRD","FOURTH"},{"SEM-1","SEM-2","SEM-3","SEM-4"},""))</f>
        <v>SEM-3</v>
      </c>
      <c r="G495" s="3">
        <v>78</v>
      </c>
      <c r="H495" s="3">
        <v>85</v>
      </c>
      <c r="I495" s="3">
        <v>49</v>
      </c>
      <c r="J495" s="3">
        <f t="shared" si="21"/>
        <v>212</v>
      </c>
      <c r="K495" s="3" t="str">
        <f t="shared" si="22"/>
        <v>P</v>
      </c>
      <c r="L495" s="3" t="str">
        <f t="shared" si="23"/>
        <v>A</v>
      </c>
    </row>
    <row r="496" spans="1:12" ht="14.25" customHeight="1">
      <c r="A496" s="3">
        <v>495</v>
      </c>
      <c r="B496" s="3" t="s">
        <v>4326</v>
      </c>
      <c r="C496" s="3" t="s">
        <v>1405</v>
      </c>
      <c r="D496" s="3">
        <v>9876544625</v>
      </c>
      <c r="E496" s="3" t="s">
        <v>4419</v>
      </c>
      <c r="F496" s="3" t="str" cm="1">
        <f t="array" ref="F496">IF(E496="","",_xlfn.XLOOKUP(E496,{"FIRST","SECOND","THIRD","FOURTH"},{"SEM-1","SEM-2","SEM-3","SEM-4"},""))</f>
        <v>SEM-2</v>
      </c>
      <c r="G496" s="3">
        <v>5</v>
      </c>
      <c r="H496" s="3">
        <v>10</v>
      </c>
      <c r="I496" s="3">
        <v>15</v>
      </c>
      <c r="J496" s="3">
        <f t="shared" si="21"/>
        <v>30</v>
      </c>
      <c r="K496" s="3" t="str">
        <f t="shared" si="22"/>
        <v>F</v>
      </c>
      <c r="L496" s="3" t="str">
        <f t="shared" si="23"/>
        <v>FAIL</v>
      </c>
    </row>
    <row r="497" spans="1:12" ht="14.25" customHeight="1">
      <c r="A497" s="3">
        <v>496</v>
      </c>
      <c r="B497" s="3" t="s">
        <v>3640</v>
      </c>
      <c r="C497" s="3" t="s">
        <v>734</v>
      </c>
      <c r="D497" s="3">
        <v>9876543939</v>
      </c>
      <c r="E497" s="3" t="s">
        <v>4419</v>
      </c>
      <c r="F497" s="3" t="str" cm="1">
        <f t="array" ref="F497">IF(E497="","",_xlfn.XLOOKUP(E497,{"FIRST","SECOND","THIRD","FOURTH"},{"SEM-1","SEM-2","SEM-3","SEM-4"},""))</f>
        <v>SEM-2</v>
      </c>
      <c r="G497" s="3">
        <v>52</v>
      </c>
      <c r="H497" s="3">
        <v>67</v>
      </c>
      <c r="I497" s="3">
        <v>12</v>
      </c>
      <c r="J497" s="3">
        <f t="shared" si="21"/>
        <v>131</v>
      </c>
      <c r="K497" s="3" t="str">
        <f t="shared" si="22"/>
        <v>P</v>
      </c>
      <c r="L497" s="3" t="str">
        <f t="shared" si="23"/>
        <v>C</v>
      </c>
    </row>
    <row r="498" spans="1:12" ht="14.25" customHeight="1">
      <c r="A498" s="3">
        <v>497</v>
      </c>
      <c r="B498" s="3" t="s">
        <v>3055</v>
      </c>
      <c r="C498" s="3" t="s">
        <v>153</v>
      </c>
      <c r="D498" s="3">
        <v>9876543354</v>
      </c>
      <c r="E498" s="3" t="s">
        <v>4418</v>
      </c>
      <c r="F498" s="3" t="str" cm="1">
        <f t="array" ref="F498">IF(E498="","",_xlfn.XLOOKUP(E498,{"FIRST","SECOND","THIRD","FOURTH"},{"SEM-1","SEM-2","SEM-3","SEM-4"},""))</f>
        <v>SEM-1</v>
      </c>
      <c r="G498" s="3">
        <v>24</v>
      </c>
      <c r="H498" s="3">
        <v>60</v>
      </c>
      <c r="I498" s="3">
        <v>9</v>
      </c>
      <c r="J498" s="3">
        <f t="shared" si="21"/>
        <v>93</v>
      </c>
      <c r="K498" s="3" t="str">
        <f t="shared" si="22"/>
        <v>F</v>
      </c>
      <c r="L498" s="3" t="str">
        <f t="shared" si="23"/>
        <v>FAIL</v>
      </c>
    </row>
    <row r="499" spans="1:12" ht="14.25" customHeight="1">
      <c r="A499" s="3">
        <v>498</v>
      </c>
      <c r="B499" s="3" t="s">
        <v>3881</v>
      </c>
      <c r="C499" s="3" t="s">
        <v>972</v>
      </c>
      <c r="D499" s="3">
        <v>9876544180</v>
      </c>
      <c r="E499" s="3" t="s">
        <v>4418</v>
      </c>
      <c r="F499" s="3" t="str" cm="1">
        <f t="array" ref="F499">IF(E499="","",_xlfn.XLOOKUP(E499,{"FIRST","SECOND","THIRD","FOURTH"},{"SEM-1","SEM-2","SEM-3","SEM-4"},""))</f>
        <v>SEM-1</v>
      </c>
      <c r="G499" s="3">
        <v>96</v>
      </c>
      <c r="H499" s="3">
        <v>50</v>
      </c>
      <c r="I499" s="3">
        <v>3</v>
      </c>
      <c r="J499" s="3">
        <f t="shared" si="21"/>
        <v>149</v>
      </c>
      <c r="K499" s="3" t="str">
        <f t="shared" si="22"/>
        <v>P</v>
      </c>
      <c r="L499" s="3" t="str">
        <f t="shared" si="23"/>
        <v>C</v>
      </c>
    </row>
    <row r="500" spans="1:12" ht="14.25" customHeight="1">
      <c r="A500" s="3">
        <v>499</v>
      </c>
      <c r="B500" s="3" t="s">
        <v>3777</v>
      </c>
      <c r="C500" s="3" t="s">
        <v>869</v>
      </c>
      <c r="D500" s="3">
        <v>9876544076</v>
      </c>
      <c r="E500" s="3" t="s">
        <v>4419</v>
      </c>
      <c r="F500" s="3" t="str" cm="1">
        <f t="array" ref="F500">IF(E500="","",_xlfn.XLOOKUP(E500,{"FIRST","SECOND","THIRD","FOURTH"},{"SEM-1","SEM-2","SEM-3","SEM-4"},""))</f>
        <v>SEM-2</v>
      </c>
      <c r="G500" s="3">
        <v>51</v>
      </c>
      <c r="H500" s="3">
        <v>44</v>
      </c>
      <c r="I500" s="3">
        <v>12</v>
      </c>
      <c r="J500" s="3">
        <f t="shared" si="21"/>
        <v>107</v>
      </c>
      <c r="K500" s="3" t="str">
        <f t="shared" si="22"/>
        <v>F</v>
      </c>
      <c r="L500" s="3" t="str">
        <f t="shared" si="23"/>
        <v>FAIL</v>
      </c>
    </row>
    <row r="501" spans="1:12" ht="14.25" customHeight="1">
      <c r="A501" s="3">
        <v>500</v>
      </c>
      <c r="B501" s="3" t="s">
        <v>2922</v>
      </c>
      <c r="C501" s="3" t="s">
        <v>20</v>
      </c>
      <c r="D501" s="3">
        <v>9876543221</v>
      </c>
      <c r="E501" s="3" t="s">
        <v>4420</v>
      </c>
      <c r="F501" s="3" t="str" cm="1">
        <f t="array" ref="F501">IF(E501="","",_xlfn.XLOOKUP(E501,{"FIRST","SECOND","THIRD","FOURTH"},{"SEM-1","SEM-2","SEM-3","SEM-4"},""))</f>
        <v>SEM-3</v>
      </c>
      <c r="G501" s="3">
        <v>82</v>
      </c>
      <c r="H501" s="3">
        <v>74</v>
      </c>
      <c r="I501" s="3">
        <v>10</v>
      </c>
      <c r="J501" s="3">
        <f t="shared" si="21"/>
        <v>166</v>
      </c>
      <c r="K501" s="3" t="str">
        <f t="shared" si="22"/>
        <v>P</v>
      </c>
      <c r="L501" s="3" t="str">
        <f t="shared" si="23"/>
        <v>B</v>
      </c>
    </row>
    <row r="502" spans="1:12" ht="14.25" customHeight="1">
      <c r="A502" s="3">
        <v>501</v>
      </c>
      <c r="B502" s="3" t="s">
        <v>4286</v>
      </c>
      <c r="C502" s="3" t="s">
        <v>1367</v>
      </c>
      <c r="D502" s="3">
        <v>9876544585</v>
      </c>
      <c r="E502" s="3" t="s">
        <v>4418</v>
      </c>
      <c r="F502" s="3" t="str" cm="1">
        <f t="array" ref="F502">IF(E502="","",_xlfn.XLOOKUP(E502,{"FIRST","SECOND","THIRD","FOURTH"},{"SEM-1","SEM-2","SEM-3","SEM-4"},""))</f>
        <v>SEM-1</v>
      </c>
      <c r="G502" s="3">
        <v>77</v>
      </c>
      <c r="H502" s="3">
        <v>28</v>
      </c>
      <c r="I502" s="3">
        <v>10</v>
      </c>
      <c r="J502" s="3">
        <f t="shared" si="21"/>
        <v>115</v>
      </c>
      <c r="K502" s="3" t="str">
        <f t="shared" si="22"/>
        <v>P</v>
      </c>
      <c r="L502" s="3" t="str">
        <f t="shared" si="23"/>
        <v>FAIL</v>
      </c>
    </row>
    <row r="503" spans="1:12" ht="14.25" customHeight="1">
      <c r="A503" s="3">
        <v>502</v>
      </c>
      <c r="B503" s="3" t="s">
        <v>4389</v>
      </c>
      <c r="C503" s="3" t="s">
        <v>1468</v>
      </c>
      <c r="D503" s="3">
        <v>9876544688</v>
      </c>
      <c r="E503" s="3" t="s">
        <v>4419</v>
      </c>
      <c r="F503" s="3" t="str" cm="1">
        <f t="array" ref="F503">IF(E503="","",_xlfn.XLOOKUP(E503,{"FIRST","SECOND","THIRD","FOURTH"},{"SEM-1","SEM-2","SEM-3","SEM-4"},""))</f>
        <v>SEM-2</v>
      </c>
      <c r="G503" s="3">
        <v>62</v>
      </c>
      <c r="H503" s="3">
        <v>4</v>
      </c>
      <c r="I503" s="3">
        <v>9</v>
      </c>
      <c r="J503" s="3">
        <f t="shared" si="21"/>
        <v>75</v>
      </c>
      <c r="K503" s="3" t="str">
        <f t="shared" si="22"/>
        <v>F</v>
      </c>
      <c r="L503" s="3" t="str">
        <f t="shared" si="23"/>
        <v>FAIL</v>
      </c>
    </row>
    <row r="504" spans="1:12" ht="14.25" customHeight="1">
      <c r="A504" s="3">
        <v>503</v>
      </c>
      <c r="B504" s="3" t="s">
        <v>3679</v>
      </c>
      <c r="C504" s="3" t="s">
        <v>772</v>
      </c>
      <c r="D504" s="3">
        <v>9876543978</v>
      </c>
      <c r="E504" s="3" t="s">
        <v>4420</v>
      </c>
      <c r="F504" s="3" t="str" cm="1">
        <f t="array" ref="F504">IF(E504="","",_xlfn.XLOOKUP(E504,{"FIRST","SECOND","THIRD","FOURTH"},{"SEM-1","SEM-2","SEM-3","SEM-4"},""))</f>
        <v>SEM-3</v>
      </c>
      <c r="G504" s="3">
        <v>66</v>
      </c>
      <c r="H504" s="3">
        <v>58</v>
      </c>
      <c r="I504" s="3">
        <v>8</v>
      </c>
      <c r="J504" s="3">
        <f t="shared" si="21"/>
        <v>132</v>
      </c>
      <c r="K504" s="3" t="str">
        <f t="shared" si="22"/>
        <v>P</v>
      </c>
      <c r="L504" s="3" t="str">
        <f t="shared" si="23"/>
        <v>C</v>
      </c>
    </row>
    <row r="505" spans="1:12" ht="14.25" customHeight="1">
      <c r="A505" s="3">
        <v>504</v>
      </c>
      <c r="B505" s="3" t="s">
        <v>3827</v>
      </c>
      <c r="C505" s="3" t="s">
        <v>919</v>
      </c>
      <c r="D505" s="3">
        <v>9876544126</v>
      </c>
      <c r="E505" s="3" t="s">
        <v>4419</v>
      </c>
      <c r="F505" s="3" t="str" cm="1">
        <f t="array" ref="F505">IF(E505="","",_xlfn.XLOOKUP(E505,{"FIRST","SECOND","THIRD","FOURTH"},{"SEM-1","SEM-2","SEM-3","SEM-4"},""))</f>
        <v>SEM-2</v>
      </c>
      <c r="G505" s="3">
        <v>62</v>
      </c>
      <c r="H505" s="3">
        <v>29</v>
      </c>
      <c r="I505" s="3">
        <v>27</v>
      </c>
      <c r="J505" s="3">
        <f t="shared" si="21"/>
        <v>118</v>
      </c>
      <c r="K505" s="3" t="str">
        <f t="shared" si="22"/>
        <v>F</v>
      </c>
      <c r="L505" s="3" t="str">
        <f t="shared" si="23"/>
        <v>FAIL</v>
      </c>
    </row>
    <row r="506" spans="1:12" ht="14.25" customHeight="1">
      <c r="A506" s="3">
        <v>505</v>
      </c>
      <c r="B506" s="3" t="s">
        <v>3923</v>
      </c>
      <c r="C506" s="3" t="s">
        <v>1013</v>
      </c>
      <c r="D506" s="3">
        <v>9876544222</v>
      </c>
      <c r="E506" s="3" t="s">
        <v>4420</v>
      </c>
      <c r="F506" s="3" t="str" cm="1">
        <f t="array" ref="F506">IF(E506="","",_xlfn.XLOOKUP(E506,{"FIRST","SECOND","THIRD","FOURTH"},{"SEM-1","SEM-2","SEM-3","SEM-4"},""))</f>
        <v>SEM-3</v>
      </c>
      <c r="G506" s="3">
        <v>50</v>
      </c>
      <c r="H506" s="3">
        <v>67</v>
      </c>
      <c r="I506" s="3">
        <v>97</v>
      </c>
      <c r="J506" s="3">
        <f t="shared" si="21"/>
        <v>214</v>
      </c>
      <c r="K506" s="3" t="str">
        <f t="shared" si="22"/>
        <v>P</v>
      </c>
      <c r="L506" s="3" t="str">
        <f t="shared" si="23"/>
        <v>A</v>
      </c>
    </row>
    <row r="507" spans="1:12" ht="14.25" customHeight="1">
      <c r="A507" s="3">
        <v>506</v>
      </c>
      <c r="B507" s="3" t="s">
        <v>3338</v>
      </c>
      <c r="C507" s="3" t="s">
        <v>434</v>
      </c>
      <c r="D507" s="3">
        <v>9876543637</v>
      </c>
      <c r="E507" s="3" t="s">
        <v>4419</v>
      </c>
      <c r="F507" s="3" t="str" cm="1">
        <f t="array" ref="F507">IF(E507="","",_xlfn.XLOOKUP(E507,{"FIRST","SECOND","THIRD","FOURTH"},{"SEM-1","SEM-2","SEM-3","SEM-4"},""))</f>
        <v>SEM-2</v>
      </c>
      <c r="G507" s="3">
        <v>36</v>
      </c>
      <c r="H507" s="3">
        <v>37</v>
      </c>
      <c r="I507" s="3">
        <v>93</v>
      </c>
      <c r="J507" s="3">
        <f t="shared" si="21"/>
        <v>166</v>
      </c>
      <c r="K507" s="3" t="str">
        <f t="shared" si="22"/>
        <v>P</v>
      </c>
      <c r="L507" s="3" t="str">
        <f t="shared" si="23"/>
        <v>B</v>
      </c>
    </row>
    <row r="508" spans="1:12" ht="14.25" customHeight="1">
      <c r="A508" s="3">
        <v>507</v>
      </c>
      <c r="B508" s="3" t="s">
        <v>3748</v>
      </c>
      <c r="C508" s="3" t="s">
        <v>841</v>
      </c>
      <c r="D508" s="3">
        <v>9876544047</v>
      </c>
      <c r="E508" s="3" t="s">
        <v>4420</v>
      </c>
      <c r="F508" s="3" t="str" cm="1">
        <f t="array" ref="F508">IF(E508="","",_xlfn.XLOOKUP(E508,{"FIRST","SECOND","THIRD","FOURTH"},{"SEM-1","SEM-2","SEM-3","SEM-4"},""))</f>
        <v>SEM-3</v>
      </c>
      <c r="G508" s="3">
        <v>56</v>
      </c>
      <c r="H508" s="3">
        <v>83</v>
      </c>
      <c r="I508" s="3">
        <v>93</v>
      </c>
      <c r="J508" s="3">
        <f t="shared" si="21"/>
        <v>232</v>
      </c>
      <c r="K508" s="3" t="str">
        <f t="shared" si="22"/>
        <v>P</v>
      </c>
      <c r="L508" s="3" t="str">
        <f t="shared" si="23"/>
        <v>A</v>
      </c>
    </row>
    <row r="509" spans="1:12" ht="14.25" customHeight="1">
      <c r="A509" s="3">
        <v>508</v>
      </c>
      <c r="B509" s="3" t="s">
        <v>3578</v>
      </c>
      <c r="C509" s="3" t="s">
        <v>672</v>
      </c>
      <c r="D509" s="3">
        <v>9876543877</v>
      </c>
      <c r="E509" s="3" t="s">
        <v>4419</v>
      </c>
      <c r="F509" s="3" t="str" cm="1">
        <f t="array" ref="F509">IF(E509="","",_xlfn.XLOOKUP(E509,{"FIRST","SECOND","THIRD","FOURTH"},{"SEM-1","SEM-2","SEM-3","SEM-4"},""))</f>
        <v>SEM-2</v>
      </c>
      <c r="G509" s="3">
        <v>78</v>
      </c>
      <c r="H509" s="3">
        <v>32</v>
      </c>
      <c r="I509" s="3">
        <v>97</v>
      </c>
      <c r="J509" s="3">
        <f t="shared" si="21"/>
        <v>207</v>
      </c>
      <c r="K509" s="3" t="str">
        <f t="shared" si="22"/>
        <v>P</v>
      </c>
      <c r="L509" s="3" t="str">
        <f t="shared" si="23"/>
        <v>A</v>
      </c>
    </row>
    <row r="510" spans="1:12" ht="14.25" customHeight="1">
      <c r="A510" s="3">
        <v>509</v>
      </c>
      <c r="B510" s="3" t="s">
        <v>3300</v>
      </c>
      <c r="C510" s="3" t="s">
        <v>396</v>
      </c>
      <c r="D510" s="3">
        <v>9876543599</v>
      </c>
      <c r="E510" s="3" t="s">
        <v>4420</v>
      </c>
      <c r="F510" s="3" t="str" cm="1">
        <f t="array" ref="F510">IF(E510="","",_xlfn.XLOOKUP(E510,{"FIRST","SECOND","THIRD","FOURTH"},{"SEM-1","SEM-2","SEM-3","SEM-4"},""))</f>
        <v>SEM-3</v>
      </c>
      <c r="G510" s="3">
        <v>35</v>
      </c>
      <c r="H510" s="3">
        <v>52</v>
      </c>
      <c r="I510" s="3">
        <v>7</v>
      </c>
      <c r="J510" s="3">
        <f t="shared" si="21"/>
        <v>94</v>
      </c>
      <c r="K510" s="3" t="str">
        <f t="shared" si="22"/>
        <v>F</v>
      </c>
      <c r="L510" s="3" t="str">
        <f t="shared" si="23"/>
        <v>FAIL</v>
      </c>
    </row>
    <row r="511" spans="1:12" ht="14.25" customHeight="1">
      <c r="A511" s="3">
        <v>510</v>
      </c>
      <c r="B511" s="3" t="s">
        <v>3126</v>
      </c>
      <c r="C511" s="3" t="s">
        <v>224</v>
      </c>
      <c r="D511" s="3">
        <v>9876543425</v>
      </c>
      <c r="E511" s="3" t="s">
        <v>4420</v>
      </c>
      <c r="F511" s="3" t="str" cm="1">
        <f t="array" ref="F511">IF(E511="","",_xlfn.XLOOKUP(E511,{"FIRST","SECOND","THIRD","FOURTH"},{"SEM-1","SEM-2","SEM-3","SEM-4"},""))</f>
        <v>SEM-3</v>
      </c>
      <c r="G511" s="3">
        <v>42</v>
      </c>
      <c r="H511" s="3">
        <v>31</v>
      </c>
      <c r="I511" s="3">
        <v>60</v>
      </c>
      <c r="J511" s="3">
        <f t="shared" si="21"/>
        <v>133</v>
      </c>
      <c r="K511" s="3" t="str">
        <f t="shared" si="22"/>
        <v>P</v>
      </c>
      <c r="L511" s="3" t="str">
        <f t="shared" si="23"/>
        <v>C</v>
      </c>
    </row>
    <row r="512" spans="1:12" ht="14.25" customHeight="1">
      <c r="A512" s="3">
        <v>511</v>
      </c>
      <c r="B512" s="3" t="s">
        <v>3755</v>
      </c>
      <c r="C512" s="3" t="s">
        <v>848</v>
      </c>
      <c r="D512" s="3">
        <v>9876544054</v>
      </c>
      <c r="E512" s="3" t="s">
        <v>4419</v>
      </c>
      <c r="F512" s="3" t="str" cm="1">
        <f t="array" ref="F512">IF(E512="","",_xlfn.XLOOKUP(E512,{"FIRST","SECOND","THIRD","FOURTH"},{"SEM-1","SEM-2","SEM-3","SEM-4"},""))</f>
        <v>SEM-2</v>
      </c>
      <c r="G512" s="3">
        <v>51</v>
      </c>
      <c r="H512" s="3">
        <v>7</v>
      </c>
      <c r="I512" s="3">
        <v>73</v>
      </c>
      <c r="J512" s="3">
        <f t="shared" si="21"/>
        <v>131</v>
      </c>
      <c r="K512" s="3" t="str">
        <f t="shared" si="22"/>
        <v>P</v>
      </c>
      <c r="L512" s="3" t="str">
        <f t="shared" si="23"/>
        <v>C</v>
      </c>
    </row>
    <row r="513" spans="1:12" ht="14.25" customHeight="1">
      <c r="A513" s="3">
        <v>512</v>
      </c>
      <c r="B513" s="3" t="s">
        <v>3442</v>
      </c>
      <c r="C513" s="3" t="s">
        <v>538</v>
      </c>
      <c r="D513" s="3">
        <v>9876543741</v>
      </c>
      <c r="E513" s="3" t="s">
        <v>4419</v>
      </c>
      <c r="F513" s="3" t="str" cm="1">
        <f t="array" ref="F513">IF(E513="","",_xlfn.XLOOKUP(E513,{"FIRST","SECOND","THIRD","FOURTH"},{"SEM-1","SEM-2","SEM-3","SEM-4"},""))</f>
        <v>SEM-2</v>
      </c>
      <c r="G513" s="3">
        <v>67</v>
      </c>
      <c r="H513" s="3">
        <v>1</v>
      </c>
      <c r="I513" s="3">
        <v>22</v>
      </c>
      <c r="J513" s="3">
        <f t="shared" si="21"/>
        <v>90</v>
      </c>
      <c r="K513" s="3" t="str">
        <f t="shared" si="22"/>
        <v>F</v>
      </c>
      <c r="L513" s="3" t="str">
        <f t="shared" si="23"/>
        <v>FAIL</v>
      </c>
    </row>
    <row r="514" spans="1:12" ht="14.25" customHeight="1">
      <c r="A514" s="3">
        <v>513</v>
      </c>
      <c r="B514" s="3" t="s">
        <v>4030</v>
      </c>
      <c r="C514" s="3" t="s">
        <v>1119</v>
      </c>
      <c r="D514" s="3">
        <v>9876544329</v>
      </c>
      <c r="E514" s="3" t="s">
        <v>4418</v>
      </c>
      <c r="F514" s="3" t="str" cm="1">
        <f t="array" ref="F514">IF(E514="","",_xlfn.XLOOKUP(E514,{"FIRST","SECOND","THIRD","FOURTH"},{"SEM-1","SEM-2","SEM-3","SEM-4"},""))</f>
        <v>SEM-1</v>
      </c>
      <c r="G514" s="3">
        <v>66</v>
      </c>
      <c r="H514" s="3">
        <v>41</v>
      </c>
      <c r="I514" s="3">
        <v>66</v>
      </c>
      <c r="J514" s="3">
        <f t="shared" ref="J514:J577" si="24">SUM(G514:I514)</f>
        <v>173</v>
      </c>
      <c r="K514" s="3" t="str">
        <f t="shared" ref="K514:K577" si="25">IF(OR(G514&gt;=70,H514&gt;=70,I514&gt;=70,J514&gt;=120),"P","F")</f>
        <v>P</v>
      </c>
      <c r="L514" s="3" t="str">
        <f t="shared" ref="L514:L577" si="26">IF(J514&gt;=190,"A",IF(J514&gt;=150,"B",IF(J514&gt;=120,"C","FAIL")))</f>
        <v>B</v>
      </c>
    </row>
    <row r="515" spans="1:12" ht="14.25" customHeight="1">
      <c r="A515" s="3">
        <v>514</v>
      </c>
      <c r="B515" s="3" t="s">
        <v>3605</v>
      </c>
      <c r="C515" s="3" t="s">
        <v>699</v>
      </c>
      <c r="D515" s="3">
        <v>9876543904</v>
      </c>
      <c r="E515" s="3" t="s">
        <v>4419</v>
      </c>
      <c r="F515" s="3" t="str" cm="1">
        <f t="array" ref="F515">IF(E515="","",_xlfn.XLOOKUP(E515,{"FIRST","SECOND","THIRD","FOURTH"},{"SEM-1","SEM-2","SEM-3","SEM-4"},""))</f>
        <v>SEM-2</v>
      </c>
      <c r="G515" s="3">
        <v>21</v>
      </c>
      <c r="H515" s="3">
        <v>12</v>
      </c>
      <c r="I515" s="3">
        <v>85</v>
      </c>
      <c r="J515" s="3">
        <f t="shared" si="24"/>
        <v>118</v>
      </c>
      <c r="K515" s="3" t="str">
        <f t="shared" si="25"/>
        <v>P</v>
      </c>
      <c r="L515" s="3" t="str">
        <f t="shared" si="26"/>
        <v>FAIL</v>
      </c>
    </row>
    <row r="516" spans="1:12" ht="14.25" customHeight="1">
      <c r="A516" s="3">
        <v>515</v>
      </c>
      <c r="B516" s="3" t="s">
        <v>3596</v>
      </c>
      <c r="C516" s="3" t="s">
        <v>690</v>
      </c>
      <c r="D516" s="3">
        <v>9876543895</v>
      </c>
      <c r="E516" s="3" t="s">
        <v>4418</v>
      </c>
      <c r="F516" s="3" t="str" cm="1">
        <f t="array" ref="F516">IF(E516="","",_xlfn.XLOOKUP(E516,{"FIRST","SECOND","THIRD","FOURTH"},{"SEM-1","SEM-2","SEM-3","SEM-4"},""))</f>
        <v>SEM-1</v>
      </c>
      <c r="G516" s="3">
        <v>9</v>
      </c>
      <c r="H516" s="3">
        <v>7</v>
      </c>
      <c r="I516" s="3">
        <v>23</v>
      </c>
      <c r="J516" s="3">
        <f t="shared" si="24"/>
        <v>39</v>
      </c>
      <c r="K516" s="3" t="str">
        <f t="shared" si="25"/>
        <v>F</v>
      </c>
      <c r="L516" s="3" t="str">
        <f t="shared" si="26"/>
        <v>FAIL</v>
      </c>
    </row>
    <row r="517" spans="1:12" ht="14.25" customHeight="1">
      <c r="A517" s="3">
        <v>516</v>
      </c>
      <c r="B517" s="3" t="s">
        <v>3551</v>
      </c>
      <c r="C517" s="3" t="s">
        <v>645</v>
      </c>
      <c r="D517" s="3">
        <v>9876543850</v>
      </c>
      <c r="E517" s="3" t="s">
        <v>4420</v>
      </c>
      <c r="F517" s="3" t="str" cm="1">
        <f t="array" ref="F517">IF(E517="","",_xlfn.XLOOKUP(E517,{"FIRST","SECOND","THIRD","FOURTH"},{"SEM-1","SEM-2","SEM-3","SEM-4"},""))</f>
        <v>SEM-3</v>
      </c>
      <c r="G517" s="3">
        <v>64</v>
      </c>
      <c r="H517" s="3">
        <v>22</v>
      </c>
      <c r="I517" s="3">
        <v>64</v>
      </c>
      <c r="J517" s="3">
        <f t="shared" si="24"/>
        <v>150</v>
      </c>
      <c r="K517" s="3" t="str">
        <f t="shared" si="25"/>
        <v>P</v>
      </c>
      <c r="L517" s="3" t="str">
        <f t="shared" si="26"/>
        <v>B</v>
      </c>
    </row>
    <row r="518" spans="1:12" ht="14.25" customHeight="1">
      <c r="A518" s="3">
        <v>517</v>
      </c>
      <c r="B518" s="3" t="s">
        <v>3279</v>
      </c>
      <c r="C518" s="3" t="s">
        <v>376</v>
      </c>
      <c r="D518" s="3">
        <v>9876543578</v>
      </c>
      <c r="E518" s="3" t="s">
        <v>4420</v>
      </c>
      <c r="F518" s="3" t="str" cm="1">
        <f t="array" ref="F518">IF(E518="","",_xlfn.XLOOKUP(E518,{"FIRST","SECOND","THIRD","FOURTH"},{"SEM-1","SEM-2","SEM-3","SEM-4"},""))</f>
        <v>SEM-3</v>
      </c>
      <c r="G518" s="3">
        <v>92</v>
      </c>
      <c r="H518" s="3">
        <v>86</v>
      </c>
      <c r="I518" s="3">
        <v>26</v>
      </c>
      <c r="J518" s="3">
        <f t="shared" si="24"/>
        <v>204</v>
      </c>
      <c r="K518" s="3" t="str">
        <f t="shared" si="25"/>
        <v>P</v>
      </c>
      <c r="L518" s="3" t="str">
        <f t="shared" si="26"/>
        <v>A</v>
      </c>
    </row>
    <row r="519" spans="1:12" ht="14.25" customHeight="1">
      <c r="A519" s="3">
        <v>518</v>
      </c>
      <c r="B519" s="3" t="s">
        <v>4415</v>
      </c>
      <c r="C519" s="3" t="s">
        <v>1494</v>
      </c>
      <c r="D519" s="3">
        <v>9876544714</v>
      </c>
      <c r="E519" s="3" t="s">
        <v>4419</v>
      </c>
      <c r="F519" s="3" t="str" cm="1">
        <f t="array" ref="F519">IF(E519="","",_xlfn.XLOOKUP(E519,{"FIRST","SECOND","THIRD","FOURTH"},{"SEM-1","SEM-2","SEM-3","SEM-4"},""))</f>
        <v>SEM-2</v>
      </c>
      <c r="G519" s="3">
        <v>13</v>
      </c>
      <c r="H519" s="3">
        <v>16</v>
      </c>
      <c r="I519" s="3">
        <v>82</v>
      </c>
      <c r="J519" s="3">
        <f t="shared" si="24"/>
        <v>111</v>
      </c>
      <c r="K519" s="3" t="str">
        <f t="shared" si="25"/>
        <v>P</v>
      </c>
      <c r="L519" s="3" t="str">
        <f t="shared" si="26"/>
        <v>FAIL</v>
      </c>
    </row>
    <row r="520" spans="1:12" ht="14.25" customHeight="1">
      <c r="A520" s="3">
        <v>519</v>
      </c>
      <c r="B520" s="3" t="s">
        <v>3680</v>
      </c>
      <c r="C520" s="3" t="s">
        <v>773</v>
      </c>
      <c r="D520" s="3">
        <v>9876543979</v>
      </c>
      <c r="E520" s="3" t="s">
        <v>4419</v>
      </c>
      <c r="F520" s="3" t="str" cm="1">
        <f t="array" ref="F520">IF(E520="","",_xlfn.XLOOKUP(E520,{"FIRST","SECOND","THIRD","FOURTH"},{"SEM-1","SEM-2","SEM-3","SEM-4"},""))</f>
        <v>SEM-2</v>
      </c>
      <c r="G520" s="3">
        <v>77</v>
      </c>
      <c r="H520" s="3">
        <v>23</v>
      </c>
      <c r="I520" s="3">
        <v>54</v>
      </c>
      <c r="J520" s="3">
        <f t="shared" si="24"/>
        <v>154</v>
      </c>
      <c r="K520" s="3" t="str">
        <f t="shared" si="25"/>
        <v>P</v>
      </c>
      <c r="L520" s="3" t="str">
        <f t="shared" si="26"/>
        <v>B</v>
      </c>
    </row>
    <row r="521" spans="1:12" ht="14.25" customHeight="1">
      <c r="A521" s="3">
        <v>520</v>
      </c>
      <c r="B521" s="3" t="s">
        <v>3630</v>
      </c>
      <c r="C521" s="3" t="s">
        <v>724</v>
      </c>
      <c r="D521" s="3">
        <v>9876543929</v>
      </c>
      <c r="E521" s="3" t="s">
        <v>4418</v>
      </c>
      <c r="F521" s="3" t="str" cm="1">
        <f t="array" ref="F521">IF(E521="","",_xlfn.XLOOKUP(E521,{"FIRST","SECOND","THIRD","FOURTH"},{"SEM-1","SEM-2","SEM-3","SEM-4"},""))</f>
        <v>SEM-1</v>
      </c>
      <c r="G521" s="3">
        <v>99</v>
      </c>
      <c r="H521" s="3">
        <v>72</v>
      </c>
      <c r="I521" s="3">
        <v>54</v>
      </c>
      <c r="J521" s="3">
        <f t="shared" si="24"/>
        <v>225</v>
      </c>
      <c r="K521" s="3" t="str">
        <f t="shared" si="25"/>
        <v>P</v>
      </c>
      <c r="L521" s="3" t="str">
        <f t="shared" si="26"/>
        <v>A</v>
      </c>
    </row>
    <row r="522" spans="1:12" ht="14.25" customHeight="1">
      <c r="A522" s="3">
        <v>521</v>
      </c>
      <c r="B522" s="3" t="s">
        <v>3359</v>
      </c>
      <c r="C522" s="3" t="s">
        <v>455</v>
      </c>
      <c r="D522" s="3">
        <v>9876543658</v>
      </c>
      <c r="E522" s="3" t="s">
        <v>4419</v>
      </c>
      <c r="F522" s="3" t="str" cm="1">
        <f t="array" ref="F522">IF(E522="","",_xlfn.XLOOKUP(E522,{"FIRST","SECOND","THIRD","FOURTH"},{"SEM-1","SEM-2","SEM-3","SEM-4"},""))</f>
        <v>SEM-2</v>
      </c>
      <c r="G522" s="3">
        <v>36</v>
      </c>
      <c r="H522" s="3">
        <v>38</v>
      </c>
      <c r="I522" s="3">
        <v>45</v>
      </c>
      <c r="J522" s="3">
        <f t="shared" si="24"/>
        <v>119</v>
      </c>
      <c r="K522" s="3" t="str">
        <f t="shared" si="25"/>
        <v>F</v>
      </c>
      <c r="L522" s="3" t="str">
        <f t="shared" si="26"/>
        <v>FAIL</v>
      </c>
    </row>
    <row r="523" spans="1:12" ht="14.25" customHeight="1">
      <c r="A523" s="3">
        <v>522</v>
      </c>
      <c r="B523" s="3" t="s">
        <v>3704</v>
      </c>
      <c r="C523" s="3" t="s">
        <v>797</v>
      </c>
      <c r="D523" s="3">
        <v>9876544003</v>
      </c>
      <c r="E523" s="3" t="s">
        <v>4420</v>
      </c>
      <c r="F523" s="3" t="str" cm="1">
        <f t="array" ref="F523">IF(E523="","",_xlfn.XLOOKUP(E523,{"FIRST","SECOND","THIRD","FOURTH"},{"SEM-1","SEM-2","SEM-3","SEM-4"},""))</f>
        <v>SEM-3</v>
      </c>
      <c r="G523" s="3">
        <v>73</v>
      </c>
      <c r="H523" s="3">
        <v>19</v>
      </c>
      <c r="I523" s="3">
        <v>9</v>
      </c>
      <c r="J523" s="3">
        <f t="shared" si="24"/>
        <v>101</v>
      </c>
      <c r="K523" s="3" t="str">
        <f t="shared" si="25"/>
        <v>P</v>
      </c>
      <c r="L523" s="3" t="str">
        <f t="shared" si="26"/>
        <v>FAIL</v>
      </c>
    </row>
    <row r="524" spans="1:12" ht="14.25" customHeight="1">
      <c r="A524" s="3">
        <v>523</v>
      </c>
      <c r="B524" s="3" t="s">
        <v>3314</v>
      </c>
      <c r="C524" s="3" t="s">
        <v>410</v>
      </c>
      <c r="D524" s="3">
        <v>9876543613</v>
      </c>
      <c r="E524" s="3" t="s">
        <v>4418</v>
      </c>
      <c r="F524" s="3" t="str" cm="1">
        <f t="array" ref="F524">IF(E524="","",_xlfn.XLOOKUP(E524,{"FIRST","SECOND","THIRD","FOURTH"},{"SEM-1","SEM-2","SEM-3","SEM-4"},""))</f>
        <v>SEM-1</v>
      </c>
      <c r="G524" s="3">
        <v>82</v>
      </c>
      <c r="H524" s="3">
        <v>97</v>
      </c>
      <c r="I524" s="3">
        <v>70</v>
      </c>
      <c r="J524" s="3">
        <f t="shared" si="24"/>
        <v>249</v>
      </c>
      <c r="K524" s="3" t="str">
        <f t="shared" si="25"/>
        <v>P</v>
      </c>
      <c r="L524" s="3" t="str">
        <f t="shared" si="26"/>
        <v>A</v>
      </c>
    </row>
    <row r="525" spans="1:12" ht="14.25" customHeight="1">
      <c r="A525" s="3">
        <v>524</v>
      </c>
      <c r="B525" s="3" t="s">
        <v>3026</v>
      </c>
      <c r="C525" s="3" t="s">
        <v>124</v>
      </c>
      <c r="D525" s="3">
        <v>9876543325</v>
      </c>
      <c r="E525" s="3" t="s">
        <v>4419</v>
      </c>
      <c r="F525" s="3" t="str" cm="1">
        <f t="array" ref="F525">IF(E525="","",_xlfn.XLOOKUP(E525,{"FIRST","SECOND","THIRD","FOURTH"},{"SEM-1","SEM-2","SEM-3","SEM-4"},""))</f>
        <v>SEM-2</v>
      </c>
      <c r="G525" s="3">
        <v>61</v>
      </c>
      <c r="H525" s="3">
        <v>27</v>
      </c>
      <c r="I525" s="3">
        <v>100</v>
      </c>
      <c r="J525" s="3">
        <f t="shared" si="24"/>
        <v>188</v>
      </c>
      <c r="K525" s="3" t="str">
        <f t="shared" si="25"/>
        <v>P</v>
      </c>
      <c r="L525" s="3" t="str">
        <f t="shared" si="26"/>
        <v>B</v>
      </c>
    </row>
    <row r="526" spans="1:12" ht="14.25" customHeight="1">
      <c r="A526" s="3">
        <v>525</v>
      </c>
      <c r="B526" s="3" t="s">
        <v>3041</v>
      </c>
      <c r="C526" s="3" t="s">
        <v>139</v>
      </c>
      <c r="D526" s="3">
        <v>9876543340</v>
      </c>
      <c r="E526" s="3" t="s">
        <v>4420</v>
      </c>
      <c r="F526" s="3" t="str" cm="1">
        <f t="array" ref="F526">IF(E526="","",_xlfn.XLOOKUP(E526,{"FIRST","SECOND","THIRD","FOURTH"},{"SEM-1","SEM-2","SEM-3","SEM-4"},""))</f>
        <v>SEM-3</v>
      </c>
      <c r="G526" s="3">
        <v>80</v>
      </c>
      <c r="H526" s="3">
        <v>71</v>
      </c>
      <c r="I526" s="3">
        <v>66</v>
      </c>
      <c r="J526" s="3">
        <f t="shared" si="24"/>
        <v>217</v>
      </c>
      <c r="K526" s="3" t="str">
        <f t="shared" si="25"/>
        <v>P</v>
      </c>
      <c r="L526" s="3" t="str">
        <f t="shared" si="26"/>
        <v>A</v>
      </c>
    </row>
    <row r="527" spans="1:12" ht="14.25" customHeight="1">
      <c r="A527" s="3">
        <v>526</v>
      </c>
      <c r="B527" s="3" t="s">
        <v>4018</v>
      </c>
      <c r="C527" s="3" t="s">
        <v>1107</v>
      </c>
      <c r="D527" s="3">
        <v>9876544317</v>
      </c>
      <c r="E527" s="3" t="s">
        <v>4420</v>
      </c>
      <c r="F527" s="3" t="str" cm="1">
        <f t="array" ref="F527">IF(E527="","",_xlfn.XLOOKUP(E527,{"FIRST","SECOND","THIRD","FOURTH"},{"SEM-1","SEM-2","SEM-3","SEM-4"},""))</f>
        <v>SEM-3</v>
      </c>
      <c r="G527" s="3">
        <v>80</v>
      </c>
      <c r="H527" s="3">
        <v>84</v>
      </c>
      <c r="I527" s="3">
        <v>69</v>
      </c>
      <c r="J527" s="3">
        <f t="shared" si="24"/>
        <v>233</v>
      </c>
      <c r="K527" s="3" t="str">
        <f t="shared" si="25"/>
        <v>P</v>
      </c>
      <c r="L527" s="3" t="str">
        <f t="shared" si="26"/>
        <v>A</v>
      </c>
    </row>
    <row r="528" spans="1:12" ht="14.25" customHeight="1">
      <c r="A528" s="3">
        <v>527</v>
      </c>
      <c r="B528" s="3" t="s">
        <v>3890</v>
      </c>
      <c r="C528" s="3" t="s">
        <v>981</v>
      </c>
      <c r="D528" s="3">
        <v>9876544189</v>
      </c>
      <c r="E528" s="3" t="s">
        <v>4418</v>
      </c>
      <c r="F528" s="3" t="str" cm="1">
        <f t="array" ref="F528">IF(E528="","",_xlfn.XLOOKUP(E528,{"FIRST","SECOND","THIRD","FOURTH"},{"SEM-1","SEM-2","SEM-3","SEM-4"},""))</f>
        <v>SEM-1</v>
      </c>
      <c r="G528" s="3">
        <v>35</v>
      </c>
      <c r="H528" s="3">
        <v>12</v>
      </c>
      <c r="I528" s="3">
        <v>39</v>
      </c>
      <c r="J528" s="3">
        <f t="shared" si="24"/>
        <v>86</v>
      </c>
      <c r="K528" s="3" t="str">
        <f t="shared" si="25"/>
        <v>F</v>
      </c>
      <c r="L528" s="3" t="str">
        <f t="shared" si="26"/>
        <v>FAIL</v>
      </c>
    </row>
    <row r="529" spans="1:12" ht="14.25" customHeight="1">
      <c r="A529" s="3">
        <v>528</v>
      </c>
      <c r="B529" s="3" t="s">
        <v>3539</v>
      </c>
      <c r="C529" s="3" t="s">
        <v>633</v>
      </c>
      <c r="D529" s="3">
        <v>9876543838</v>
      </c>
      <c r="E529" s="3" t="s">
        <v>4420</v>
      </c>
      <c r="F529" s="3" t="str" cm="1">
        <f t="array" ref="F529">IF(E529="","",_xlfn.XLOOKUP(E529,{"FIRST","SECOND","THIRD","FOURTH"},{"SEM-1","SEM-2","SEM-3","SEM-4"},""))</f>
        <v>SEM-3</v>
      </c>
      <c r="G529" s="3">
        <v>83</v>
      </c>
      <c r="H529" s="3">
        <v>83</v>
      </c>
      <c r="I529" s="3">
        <v>38</v>
      </c>
      <c r="J529" s="3">
        <f t="shared" si="24"/>
        <v>204</v>
      </c>
      <c r="K529" s="3" t="str">
        <f t="shared" si="25"/>
        <v>P</v>
      </c>
      <c r="L529" s="3" t="str">
        <f t="shared" si="26"/>
        <v>A</v>
      </c>
    </row>
    <row r="530" spans="1:12" ht="14.25" customHeight="1">
      <c r="A530" s="3">
        <v>529</v>
      </c>
      <c r="B530" s="3" t="s">
        <v>3466</v>
      </c>
      <c r="C530" s="3" t="s">
        <v>562</v>
      </c>
      <c r="D530" s="3">
        <v>9876543765</v>
      </c>
      <c r="E530" s="3" t="s">
        <v>4420</v>
      </c>
      <c r="F530" s="3" t="str" cm="1">
        <f t="array" ref="F530">IF(E530="","",_xlfn.XLOOKUP(E530,{"FIRST","SECOND","THIRD","FOURTH"},{"SEM-1","SEM-2","SEM-3","SEM-4"},""))</f>
        <v>SEM-3</v>
      </c>
      <c r="G530" s="3">
        <v>93</v>
      </c>
      <c r="H530" s="3">
        <v>83</v>
      </c>
      <c r="I530" s="3">
        <v>44</v>
      </c>
      <c r="J530" s="3">
        <f t="shared" si="24"/>
        <v>220</v>
      </c>
      <c r="K530" s="3" t="str">
        <f t="shared" si="25"/>
        <v>P</v>
      </c>
      <c r="L530" s="3" t="str">
        <f t="shared" si="26"/>
        <v>A</v>
      </c>
    </row>
    <row r="531" spans="1:12" ht="14.25" customHeight="1">
      <c r="A531" s="3">
        <v>530</v>
      </c>
      <c r="B531" s="3" t="s">
        <v>3018</v>
      </c>
      <c r="C531" s="3" t="s">
        <v>116</v>
      </c>
      <c r="D531" s="3">
        <v>9876543317</v>
      </c>
      <c r="E531" s="3" t="s">
        <v>4419</v>
      </c>
      <c r="F531" s="3" t="str" cm="1">
        <f t="array" ref="F531">IF(E531="","",_xlfn.XLOOKUP(E531,{"FIRST","SECOND","THIRD","FOURTH"},{"SEM-1","SEM-2","SEM-3","SEM-4"},""))</f>
        <v>SEM-2</v>
      </c>
      <c r="G531" s="3">
        <v>91</v>
      </c>
      <c r="H531" s="3">
        <v>68</v>
      </c>
      <c r="I531" s="3">
        <v>7</v>
      </c>
      <c r="J531" s="3">
        <f t="shared" si="24"/>
        <v>166</v>
      </c>
      <c r="K531" s="3" t="str">
        <f t="shared" si="25"/>
        <v>P</v>
      </c>
      <c r="L531" s="3" t="str">
        <f t="shared" si="26"/>
        <v>B</v>
      </c>
    </row>
    <row r="532" spans="1:12" ht="14.25" customHeight="1">
      <c r="A532" s="3">
        <v>531</v>
      </c>
      <c r="B532" s="3" t="s">
        <v>3139</v>
      </c>
      <c r="C532" s="3" t="s">
        <v>237</v>
      </c>
      <c r="D532" s="3">
        <v>9876543438</v>
      </c>
      <c r="E532" s="3" t="s">
        <v>4420</v>
      </c>
      <c r="F532" s="3" t="str" cm="1">
        <f t="array" ref="F532">IF(E532="","",_xlfn.XLOOKUP(E532,{"FIRST","SECOND","THIRD","FOURTH"},{"SEM-1","SEM-2","SEM-3","SEM-4"},""))</f>
        <v>SEM-3</v>
      </c>
      <c r="G532" s="3">
        <v>64</v>
      </c>
      <c r="H532" s="3">
        <v>96</v>
      </c>
      <c r="I532" s="3">
        <v>45</v>
      </c>
      <c r="J532" s="3">
        <f t="shared" si="24"/>
        <v>205</v>
      </c>
      <c r="K532" s="3" t="str">
        <f t="shared" si="25"/>
        <v>P</v>
      </c>
      <c r="L532" s="3" t="str">
        <f t="shared" si="26"/>
        <v>A</v>
      </c>
    </row>
    <row r="533" spans="1:12" ht="14.25" customHeight="1">
      <c r="A533" s="3">
        <v>532</v>
      </c>
      <c r="B533" s="3" t="s">
        <v>3049</v>
      </c>
      <c r="C533" s="3" t="s">
        <v>147</v>
      </c>
      <c r="D533" s="3">
        <v>9876543348</v>
      </c>
      <c r="E533" s="3" t="s">
        <v>4419</v>
      </c>
      <c r="F533" s="3" t="str" cm="1">
        <f t="array" ref="F533">IF(E533="","",_xlfn.XLOOKUP(E533,{"FIRST","SECOND","THIRD","FOURTH"},{"SEM-1","SEM-2","SEM-3","SEM-4"},""))</f>
        <v>SEM-2</v>
      </c>
      <c r="G533" s="3">
        <v>3</v>
      </c>
      <c r="H533" s="3">
        <v>55</v>
      </c>
      <c r="I533" s="3">
        <v>37</v>
      </c>
      <c r="J533" s="3">
        <f t="shared" si="24"/>
        <v>95</v>
      </c>
      <c r="K533" s="3" t="str">
        <f t="shared" si="25"/>
        <v>F</v>
      </c>
      <c r="L533" s="3" t="str">
        <f t="shared" si="26"/>
        <v>FAIL</v>
      </c>
    </row>
    <row r="534" spans="1:12" ht="14.25" customHeight="1">
      <c r="A534" s="3">
        <v>533</v>
      </c>
      <c r="B534" s="3" t="s">
        <v>3713</v>
      </c>
      <c r="C534" s="3" t="s">
        <v>806</v>
      </c>
      <c r="D534" s="3">
        <v>9876544012</v>
      </c>
      <c r="E534" s="3" t="s">
        <v>4420</v>
      </c>
      <c r="F534" s="3" t="str" cm="1">
        <f t="array" ref="F534">IF(E534="","",_xlfn.XLOOKUP(E534,{"FIRST","SECOND","THIRD","FOURTH"},{"SEM-1","SEM-2","SEM-3","SEM-4"},""))</f>
        <v>SEM-3</v>
      </c>
      <c r="G534" s="3">
        <v>28</v>
      </c>
      <c r="H534" s="3">
        <v>34</v>
      </c>
      <c r="I534" s="3">
        <v>18</v>
      </c>
      <c r="J534" s="3">
        <f t="shared" si="24"/>
        <v>80</v>
      </c>
      <c r="K534" s="3" t="str">
        <f t="shared" si="25"/>
        <v>F</v>
      </c>
      <c r="L534" s="3" t="str">
        <f t="shared" si="26"/>
        <v>FAIL</v>
      </c>
    </row>
    <row r="535" spans="1:12" ht="14.25" customHeight="1">
      <c r="A535" s="3">
        <v>534</v>
      </c>
      <c r="B535" s="3" t="s">
        <v>2926</v>
      </c>
      <c r="C535" s="3" t="s">
        <v>24</v>
      </c>
      <c r="D535" s="3">
        <v>9876543225</v>
      </c>
      <c r="E535" s="3" t="s">
        <v>4420</v>
      </c>
      <c r="F535" s="3" t="str" cm="1">
        <f t="array" ref="F535">IF(E535="","",_xlfn.XLOOKUP(E535,{"FIRST","SECOND","THIRD","FOURTH"},{"SEM-1","SEM-2","SEM-3","SEM-4"},""))</f>
        <v>SEM-3</v>
      </c>
      <c r="G535" s="3">
        <v>26</v>
      </c>
      <c r="H535" s="3">
        <v>32</v>
      </c>
      <c r="I535" s="3">
        <v>53</v>
      </c>
      <c r="J535" s="3">
        <f t="shared" si="24"/>
        <v>111</v>
      </c>
      <c r="K535" s="3" t="str">
        <f t="shared" si="25"/>
        <v>F</v>
      </c>
      <c r="L535" s="3" t="str">
        <f t="shared" si="26"/>
        <v>FAIL</v>
      </c>
    </row>
    <row r="536" spans="1:12" ht="14.25" customHeight="1">
      <c r="A536" s="3">
        <v>535</v>
      </c>
      <c r="B536" s="3" t="s">
        <v>3657</v>
      </c>
      <c r="C536" s="3" t="s">
        <v>751</v>
      </c>
      <c r="D536" s="3">
        <v>9876543956</v>
      </c>
      <c r="E536" s="3" t="s">
        <v>4419</v>
      </c>
      <c r="F536" s="3" t="str" cm="1">
        <f t="array" ref="F536">IF(E536="","",_xlfn.XLOOKUP(E536,{"FIRST","SECOND","THIRD","FOURTH"},{"SEM-1","SEM-2","SEM-3","SEM-4"},""))</f>
        <v>SEM-2</v>
      </c>
      <c r="G536" s="3">
        <v>32</v>
      </c>
      <c r="H536" s="3">
        <v>33</v>
      </c>
      <c r="I536" s="3">
        <v>17</v>
      </c>
      <c r="J536" s="3">
        <f t="shared" si="24"/>
        <v>82</v>
      </c>
      <c r="K536" s="3" t="str">
        <f t="shared" si="25"/>
        <v>F</v>
      </c>
      <c r="L536" s="3" t="str">
        <f t="shared" si="26"/>
        <v>FAIL</v>
      </c>
    </row>
    <row r="537" spans="1:12" ht="14.25" customHeight="1">
      <c r="A537" s="3">
        <v>536</v>
      </c>
      <c r="B537" s="3" t="s">
        <v>4317</v>
      </c>
      <c r="C537" s="3" t="s">
        <v>1397</v>
      </c>
      <c r="D537" s="3">
        <v>9876544616</v>
      </c>
      <c r="E537" s="3" t="s">
        <v>4419</v>
      </c>
      <c r="F537" s="3" t="str" cm="1">
        <f t="array" ref="F537">IF(E537="","",_xlfn.XLOOKUP(E537,{"FIRST","SECOND","THIRD","FOURTH"},{"SEM-1","SEM-2","SEM-3","SEM-4"},""))</f>
        <v>SEM-2</v>
      </c>
      <c r="G537" s="3">
        <v>18</v>
      </c>
      <c r="H537" s="3">
        <v>100</v>
      </c>
      <c r="I537" s="3">
        <v>40</v>
      </c>
      <c r="J537" s="3">
        <f t="shared" si="24"/>
        <v>158</v>
      </c>
      <c r="K537" s="3" t="str">
        <f t="shared" si="25"/>
        <v>P</v>
      </c>
      <c r="L537" s="3" t="str">
        <f t="shared" si="26"/>
        <v>B</v>
      </c>
    </row>
    <row r="538" spans="1:12" ht="14.25" customHeight="1">
      <c r="A538" s="3">
        <v>537</v>
      </c>
      <c r="B538" s="3" t="s">
        <v>2984</v>
      </c>
      <c r="C538" s="3" t="s">
        <v>82</v>
      </c>
      <c r="D538" s="3">
        <v>9876543283</v>
      </c>
      <c r="E538" s="3" t="s">
        <v>4419</v>
      </c>
      <c r="F538" s="3" t="str" cm="1">
        <f t="array" ref="F538">IF(E538="","",_xlfn.XLOOKUP(E538,{"FIRST","SECOND","THIRD","FOURTH"},{"SEM-1","SEM-2","SEM-3","SEM-4"},""))</f>
        <v>SEM-2</v>
      </c>
      <c r="G538" s="3">
        <v>85</v>
      </c>
      <c r="H538" s="3">
        <v>18</v>
      </c>
      <c r="I538" s="3">
        <v>31</v>
      </c>
      <c r="J538" s="3">
        <f t="shared" si="24"/>
        <v>134</v>
      </c>
      <c r="K538" s="3" t="str">
        <f t="shared" si="25"/>
        <v>P</v>
      </c>
      <c r="L538" s="3" t="str">
        <f t="shared" si="26"/>
        <v>C</v>
      </c>
    </row>
    <row r="539" spans="1:12" ht="14.25" customHeight="1">
      <c r="A539" s="3">
        <v>538</v>
      </c>
      <c r="B539" s="3" t="s">
        <v>4380</v>
      </c>
      <c r="C539" s="3" t="s">
        <v>1459</v>
      </c>
      <c r="D539" s="3">
        <v>9876544679</v>
      </c>
      <c r="E539" s="3" t="s">
        <v>4418</v>
      </c>
      <c r="F539" s="3" t="str" cm="1">
        <f t="array" ref="F539">IF(E539="","",_xlfn.XLOOKUP(E539,{"FIRST","SECOND","THIRD","FOURTH"},{"SEM-1","SEM-2","SEM-3","SEM-4"},""))</f>
        <v>SEM-1</v>
      </c>
      <c r="G539" s="3">
        <v>36</v>
      </c>
      <c r="H539" s="3">
        <v>32</v>
      </c>
      <c r="I539" s="3">
        <v>13</v>
      </c>
      <c r="J539" s="3">
        <f t="shared" si="24"/>
        <v>81</v>
      </c>
      <c r="K539" s="3" t="str">
        <f t="shared" si="25"/>
        <v>F</v>
      </c>
      <c r="L539" s="3" t="str">
        <f t="shared" si="26"/>
        <v>FAIL</v>
      </c>
    </row>
    <row r="540" spans="1:12" ht="14.25" customHeight="1">
      <c r="A540" s="3">
        <v>539</v>
      </c>
      <c r="B540" s="3" t="s">
        <v>3426</v>
      </c>
      <c r="C540" s="3" t="s">
        <v>522</v>
      </c>
      <c r="D540" s="3">
        <v>9876543725</v>
      </c>
      <c r="E540" s="3" t="s">
        <v>4418</v>
      </c>
      <c r="F540" s="3" t="str" cm="1">
        <f t="array" ref="F540">IF(E540="","",_xlfn.XLOOKUP(E540,{"FIRST","SECOND","THIRD","FOURTH"},{"SEM-1","SEM-2","SEM-3","SEM-4"},""))</f>
        <v>SEM-1</v>
      </c>
      <c r="G540" s="3">
        <v>42</v>
      </c>
      <c r="H540" s="3">
        <v>63</v>
      </c>
      <c r="I540" s="3">
        <v>34</v>
      </c>
      <c r="J540" s="3">
        <f t="shared" si="24"/>
        <v>139</v>
      </c>
      <c r="K540" s="3" t="str">
        <f t="shared" si="25"/>
        <v>P</v>
      </c>
      <c r="L540" s="3" t="str">
        <f t="shared" si="26"/>
        <v>C</v>
      </c>
    </row>
    <row r="541" spans="1:12" ht="14.25" customHeight="1">
      <c r="A541" s="3">
        <v>540</v>
      </c>
      <c r="B541" s="3" t="s">
        <v>3984</v>
      </c>
      <c r="C541" s="3" t="s">
        <v>1074</v>
      </c>
      <c r="D541" s="3">
        <v>9876544283</v>
      </c>
      <c r="E541" s="3" t="s">
        <v>4420</v>
      </c>
      <c r="F541" s="3" t="str" cm="1">
        <f t="array" ref="F541">IF(E541="","",_xlfn.XLOOKUP(E541,{"FIRST","SECOND","THIRD","FOURTH"},{"SEM-1","SEM-2","SEM-3","SEM-4"},""))</f>
        <v>SEM-3</v>
      </c>
      <c r="G541" s="3">
        <v>17</v>
      </c>
      <c r="H541" s="3">
        <v>66</v>
      </c>
      <c r="I541" s="3">
        <v>77</v>
      </c>
      <c r="J541" s="3">
        <f t="shared" si="24"/>
        <v>160</v>
      </c>
      <c r="K541" s="3" t="str">
        <f t="shared" si="25"/>
        <v>P</v>
      </c>
      <c r="L541" s="3" t="str">
        <f t="shared" si="26"/>
        <v>B</v>
      </c>
    </row>
    <row r="542" spans="1:12" ht="14.25" customHeight="1">
      <c r="A542" s="3">
        <v>541</v>
      </c>
      <c r="B542" s="3" t="s">
        <v>3725</v>
      </c>
      <c r="C542" s="3" t="s">
        <v>818</v>
      </c>
      <c r="D542" s="3">
        <v>9876544024</v>
      </c>
      <c r="E542" s="3" t="s">
        <v>4419</v>
      </c>
      <c r="F542" s="3" t="str" cm="1">
        <f t="array" ref="F542">IF(E542="","",_xlfn.XLOOKUP(E542,{"FIRST","SECOND","THIRD","FOURTH"},{"SEM-1","SEM-2","SEM-3","SEM-4"},""))</f>
        <v>SEM-2</v>
      </c>
      <c r="G542" s="3">
        <v>24</v>
      </c>
      <c r="H542" s="3">
        <v>69</v>
      </c>
      <c r="I542" s="3">
        <v>36</v>
      </c>
      <c r="J542" s="3">
        <f t="shared" si="24"/>
        <v>129</v>
      </c>
      <c r="K542" s="3" t="str">
        <f t="shared" si="25"/>
        <v>P</v>
      </c>
      <c r="L542" s="3" t="str">
        <f t="shared" si="26"/>
        <v>C</v>
      </c>
    </row>
    <row r="543" spans="1:12" ht="14.25" customHeight="1">
      <c r="A543" s="3">
        <v>542</v>
      </c>
      <c r="B543" s="3" t="s">
        <v>3083</v>
      </c>
      <c r="C543" s="3" t="s">
        <v>181</v>
      </c>
      <c r="D543" s="3">
        <v>9876543382</v>
      </c>
      <c r="E543" s="3" t="s">
        <v>4419</v>
      </c>
      <c r="F543" s="3" t="str" cm="1">
        <f t="array" ref="F543">IF(E543="","",_xlfn.XLOOKUP(E543,{"FIRST","SECOND","THIRD","FOURTH"},{"SEM-1","SEM-2","SEM-3","SEM-4"},""))</f>
        <v>SEM-2</v>
      </c>
      <c r="G543" s="3">
        <v>20</v>
      </c>
      <c r="H543" s="3">
        <v>55</v>
      </c>
      <c r="I543" s="3">
        <v>84</v>
      </c>
      <c r="J543" s="3">
        <f t="shared" si="24"/>
        <v>159</v>
      </c>
      <c r="K543" s="3" t="str">
        <f t="shared" si="25"/>
        <v>P</v>
      </c>
      <c r="L543" s="3" t="str">
        <f t="shared" si="26"/>
        <v>B</v>
      </c>
    </row>
    <row r="544" spans="1:12" ht="14.25" customHeight="1">
      <c r="A544" s="3">
        <v>543</v>
      </c>
      <c r="B544" s="3" t="s">
        <v>4260</v>
      </c>
      <c r="C544" s="3" t="s">
        <v>1343</v>
      </c>
      <c r="D544" s="3">
        <v>9876544559</v>
      </c>
      <c r="E544" s="3" t="s">
        <v>4419</v>
      </c>
      <c r="F544" s="3" t="str" cm="1">
        <f t="array" ref="F544">IF(E544="","",_xlfn.XLOOKUP(E544,{"FIRST","SECOND","THIRD","FOURTH"},{"SEM-1","SEM-2","SEM-3","SEM-4"},""))</f>
        <v>SEM-2</v>
      </c>
      <c r="G544" s="3">
        <v>2</v>
      </c>
      <c r="H544" s="3">
        <v>4</v>
      </c>
      <c r="I544" s="3">
        <v>55</v>
      </c>
      <c r="J544" s="3">
        <f t="shared" si="24"/>
        <v>61</v>
      </c>
      <c r="K544" s="3" t="str">
        <f t="shared" si="25"/>
        <v>F</v>
      </c>
      <c r="L544" s="3" t="str">
        <f t="shared" si="26"/>
        <v>FAIL</v>
      </c>
    </row>
    <row r="545" spans="1:12" ht="14.25" customHeight="1">
      <c r="A545" s="3">
        <v>544</v>
      </c>
      <c r="B545" s="3" t="s">
        <v>3017</v>
      </c>
      <c r="C545" s="3" t="s">
        <v>115</v>
      </c>
      <c r="D545" s="3">
        <v>9876543316</v>
      </c>
      <c r="E545" s="3" t="s">
        <v>4418</v>
      </c>
      <c r="F545" s="3" t="str" cm="1">
        <f t="array" ref="F545">IF(E545="","",_xlfn.XLOOKUP(E545,{"FIRST","SECOND","THIRD","FOURTH"},{"SEM-1","SEM-2","SEM-3","SEM-4"},""))</f>
        <v>SEM-1</v>
      </c>
      <c r="G545" s="3">
        <v>74</v>
      </c>
      <c r="H545" s="3">
        <v>75</v>
      </c>
      <c r="I545" s="3">
        <v>30</v>
      </c>
      <c r="J545" s="3">
        <f t="shared" si="24"/>
        <v>179</v>
      </c>
      <c r="K545" s="3" t="str">
        <f t="shared" si="25"/>
        <v>P</v>
      </c>
      <c r="L545" s="3" t="str">
        <f t="shared" si="26"/>
        <v>B</v>
      </c>
    </row>
    <row r="546" spans="1:12" ht="14.25" customHeight="1">
      <c r="A546" s="3">
        <v>545</v>
      </c>
      <c r="B546" s="3" t="s">
        <v>3470</v>
      </c>
      <c r="C546" s="3" t="s">
        <v>566</v>
      </c>
      <c r="D546" s="3">
        <v>9876543769</v>
      </c>
      <c r="E546" s="3" t="s">
        <v>4419</v>
      </c>
      <c r="F546" s="3" t="str" cm="1">
        <f t="array" ref="F546">IF(E546="","",_xlfn.XLOOKUP(E546,{"FIRST","SECOND","THIRD","FOURTH"},{"SEM-1","SEM-2","SEM-3","SEM-4"},""))</f>
        <v>SEM-2</v>
      </c>
      <c r="G546" s="3">
        <v>51</v>
      </c>
      <c r="H546" s="3">
        <v>10</v>
      </c>
      <c r="I546" s="3">
        <v>54</v>
      </c>
      <c r="J546" s="3">
        <f t="shared" si="24"/>
        <v>115</v>
      </c>
      <c r="K546" s="3" t="str">
        <f t="shared" si="25"/>
        <v>F</v>
      </c>
      <c r="L546" s="3" t="str">
        <f t="shared" si="26"/>
        <v>FAIL</v>
      </c>
    </row>
    <row r="547" spans="1:12" ht="14.25" customHeight="1">
      <c r="A547" s="3">
        <v>546</v>
      </c>
      <c r="B547" s="3" t="s">
        <v>4386</v>
      </c>
      <c r="C547" s="3" t="s">
        <v>1465</v>
      </c>
      <c r="D547" s="3">
        <v>9876544685</v>
      </c>
      <c r="E547" s="3" t="s">
        <v>4420</v>
      </c>
      <c r="F547" s="3" t="str" cm="1">
        <f t="array" ref="F547">IF(E547="","",_xlfn.XLOOKUP(E547,{"FIRST","SECOND","THIRD","FOURTH"},{"SEM-1","SEM-2","SEM-3","SEM-4"},""))</f>
        <v>SEM-3</v>
      </c>
      <c r="G547" s="3">
        <v>54</v>
      </c>
      <c r="H547" s="3">
        <v>2</v>
      </c>
      <c r="I547" s="3">
        <v>87</v>
      </c>
      <c r="J547" s="3">
        <f t="shared" si="24"/>
        <v>143</v>
      </c>
      <c r="K547" s="3" t="str">
        <f t="shared" si="25"/>
        <v>P</v>
      </c>
      <c r="L547" s="3" t="str">
        <f t="shared" si="26"/>
        <v>C</v>
      </c>
    </row>
    <row r="548" spans="1:12" ht="14.25" customHeight="1">
      <c r="A548" s="3">
        <v>547</v>
      </c>
      <c r="B548" s="3" t="s">
        <v>4259</v>
      </c>
      <c r="C548" s="3" t="s">
        <v>1342</v>
      </c>
      <c r="D548" s="3">
        <v>9876544558</v>
      </c>
      <c r="E548" s="3" t="s">
        <v>4420</v>
      </c>
      <c r="F548" s="3" t="str" cm="1">
        <f t="array" ref="F548">IF(E548="","",_xlfn.XLOOKUP(E548,{"FIRST","SECOND","THIRD","FOURTH"},{"SEM-1","SEM-2","SEM-3","SEM-4"},""))</f>
        <v>SEM-3</v>
      </c>
      <c r="G548" s="3">
        <v>35</v>
      </c>
      <c r="H548" s="3">
        <v>66</v>
      </c>
      <c r="I548" s="3">
        <v>2</v>
      </c>
      <c r="J548" s="3">
        <f t="shared" si="24"/>
        <v>103</v>
      </c>
      <c r="K548" s="3" t="str">
        <f t="shared" si="25"/>
        <v>F</v>
      </c>
      <c r="L548" s="3" t="str">
        <f t="shared" si="26"/>
        <v>FAIL</v>
      </c>
    </row>
    <row r="549" spans="1:12" ht="14.25" customHeight="1">
      <c r="A549" s="3">
        <v>548</v>
      </c>
      <c r="B549" s="3" t="s">
        <v>3193</v>
      </c>
      <c r="C549" s="3" t="s">
        <v>291</v>
      </c>
      <c r="D549" s="3">
        <v>9876543492</v>
      </c>
      <c r="E549" s="3" t="s">
        <v>4420</v>
      </c>
      <c r="F549" s="3" t="str" cm="1">
        <f t="array" ref="F549">IF(E549="","",_xlfn.XLOOKUP(E549,{"FIRST","SECOND","THIRD","FOURTH"},{"SEM-1","SEM-2","SEM-3","SEM-4"},""))</f>
        <v>SEM-3</v>
      </c>
      <c r="G549" s="3">
        <v>1</v>
      </c>
      <c r="H549" s="3">
        <v>23</v>
      </c>
      <c r="I549" s="3">
        <v>38</v>
      </c>
      <c r="J549" s="3">
        <f t="shared" si="24"/>
        <v>62</v>
      </c>
      <c r="K549" s="3" t="str">
        <f t="shared" si="25"/>
        <v>F</v>
      </c>
      <c r="L549" s="3" t="str">
        <f t="shared" si="26"/>
        <v>FAIL</v>
      </c>
    </row>
    <row r="550" spans="1:12" ht="14.25" customHeight="1">
      <c r="A550" s="3">
        <v>549</v>
      </c>
      <c r="B550" s="3" t="s">
        <v>4268</v>
      </c>
      <c r="C550" s="3" t="s">
        <v>1349</v>
      </c>
      <c r="D550" s="3">
        <v>9876544567</v>
      </c>
      <c r="E550" s="3" t="s">
        <v>4420</v>
      </c>
      <c r="F550" s="3" t="str" cm="1">
        <f t="array" ref="F550">IF(E550="","",_xlfn.XLOOKUP(E550,{"FIRST","SECOND","THIRD","FOURTH"},{"SEM-1","SEM-2","SEM-3","SEM-4"},""))</f>
        <v>SEM-3</v>
      </c>
      <c r="G550" s="3">
        <v>64</v>
      </c>
      <c r="H550" s="3">
        <v>85</v>
      </c>
      <c r="I550" s="3">
        <v>96</v>
      </c>
      <c r="J550" s="3">
        <f t="shared" si="24"/>
        <v>245</v>
      </c>
      <c r="K550" s="3" t="str">
        <f t="shared" si="25"/>
        <v>P</v>
      </c>
      <c r="L550" s="3" t="str">
        <f t="shared" si="26"/>
        <v>A</v>
      </c>
    </row>
    <row r="551" spans="1:12" ht="14.25" customHeight="1">
      <c r="A551" s="3">
        <v>550</v>
      </c>
      <c r="B551" s="3" t="s">
        <v>2948</v>
      </c>
      <c r="C551" s="3" t="s">
        <v>46</v>
      </c>
      <c r="D551" s="3">
        <v>9876543247</v>
      </c>
      <c r="E551" s="3" t="s">
        <v>4419</v>
      </c>
      <c r="F551" s="3" t="str" cm="1">
        <f t="array" ref="F551">IF(E551="","",_xlfn.XLOOKUP(E551,{"FIRST","SECOND","THIRD","FOURTH"},{"SEM-1","SEM-2","SEM-3","SEM-4"},""))</f>
        <v>SEM-2</v>
      </c>
      <c r="G551" s="3">
        <v>45</v>
      </c>
      <c r="H551" s="3">
        <v>92</v>
      </c>
      <c r="I551" s="3">
        <v>33</v>
      </c>
      <c r="J551" s="3">
        <f t="shared" si="24"/>
        <v>170</v>
      </c>
      <c r="K551" s="3" t="str">
        <f t="shared" si="25"/>
        <v>P</v>
      </c>
      <c r="L551" s="3" t="str">
        <f t="shared" si="26"/>
        <v>B</v>
      </c>
    </row>
    <row r="552" spans="1:12" ht="14.25" customHeight="1">
      <c r="A552" s="3">
        <v>551</v>
      </c>
      <c r="B552" s="3" t="s">
        <v>3632</v>
      </c>
      <c r="C552" s="3" t="s">
        <v>726</v>
      </c>
      <c r="D552" s="3">
        <v>9876543931</v>
      </c>
      <c r="E552" s="3" t="s">
        <v>4420</v>
      </c>
      <c r="F552" s="3" t="str" cm="1">
        <f t="array" ref="F552">IF(E552="","",_xlfn.XLOOKUP(E552,{"FIRST","SECOND","THIRD","FOURTH"},{"SEM-1","SEM-2","SEM-3","SEM-4"},""))</f>
        <v>SEM-3</v>
      </c>
      <c r="G552" s="3">
        <v>63</v>
      </c>
      <c r="H552" s="3">
        <v>96</v>
      </c>
      <c r="I552" s="3">
        <v>48</v>
      </c>
      <c r="J552" s="3">
        <f t="shared" si="24"/>
        <v>207</v>
      </c>
      <c r="K552" s="3" t="str">
        <f t="shared" si="25"/>
        <v>P</v>
      </c>
      <c r="L552" s="3" t="str">
        <f t="shared" si="26"/>
        <v>A</v>
      </c>
    </row>
    <row r="553" spans="1:12" ht="14.25" customHeight="1">
      <c r="A553" s="3">
        <v>552</v>
      </c>
      <c r="B553" s="3" t="s">
        <v>3131</v>
      </c>
      <c r="C553" s="3" t="s">
        <v>229</v>
      </c>
      <c r="D553" s="3">
        <v>9876543430</v>
      </c>
      <c r="E553" s="3" t="s">
        <v>4418</v>
      </c>
      <c r="F553" s="3" t="str" cm="1">
        <f t="array" ref="F553">IF(E553="","",_xlfn.XLOOKUP(E553,{"FIRST","SECOND","THIRD","FOURTH"},{"SEM-1","SEM-2","SEM-3","SEM-4"},""))</f>
        <v>SEM-1</v>
      </c>
      <c r="G553" s="3">
        <v>73</v>
      </c>
      <c r="H553" s="3">
        <v>47</v>
      </c>
      <c r="I553" s="3">
        <v>18</v>
      </c>
      <c r="J553" s="3">
        <f t="shared" si="24"/>
        <v>138</v>
      </c>
      <c r="K553" s="3" t="str">
        <f t="shared" si="25"/>
        <v>P</v>
      </c>
      <c r="L553" s="3" t="str">
        <f t="shared" si="26"/>
        <v>C</v>
      </c>
    </row>
    <row r="554" spans="1:12" ht="14.25" customHeight="1">
      <c r="A554" s="3">
        <v>553</v>
      </c>
      <c r="B554" s="3" t="s">
        <v>3841</v>
      </c>
      <c r="C554" s="3" t="s">
        <v>933</v>
      </c>
      <c r="D554" s="3">
        <v>9876544140</v>
      </c>
      <c r="E554" s="3" t="s">
        <v>4420</v>
      </c>
      <c r="F554" s="3" t="str" cm="1">
        <f t="array" ref="F554">IF(E554="","",_xlfn.XLOOKUP(E554,{"FIRST","SECOND","THIRD","FOURTH"},{"SEM-1","SEM-2","SEM-3","SEM-4"},""))</f>
        <v>SEM-3</v>
      </c>
      <c r="G554" s="3">
        <v>23</v>
      </c>
      <c r="H554" s="3">
        <v>92</v>
      </c>
      <c r="I554" s="3">
        <v>2</v>
      </c>
      <c r="J554" s="3">
        <f t="shared" si="24"/>
        <v>117</v>
      </c>
      <c r="K554" s="3" t="str">
        <f t="shared" si="25"/>
        <v>P</v>
      </c>
      <c r="L554" s="3" t="str">
        <f t="shared" si="26"/>
        <v>FAIL</v>
      </c>
    </row>
    <row r="555" spans="1:12" ht="14.25" customHeight="1">
      <c r="A555" s="3">
        <v>554</v>
      </c>
      <c r="B555" s="3" t="s">
        <v>3182</v>
      </c>
      <c r="C555" s="3" t="s">
        <v>280</v>
      </c>
      <c r="D555" s="3">
        <v>9876543481</v>
      </c>
      <c r="E555" s="3" t="s">
        <v>4418</v>
      </c>
      <c r="F555" s="3" t="str" cm="1">
        <f t="array" ref="F555">IF(E555="","",_xlfn.XLOOKUP(E555,{"FIRST","SECOND","THIRD","FOURTH"},{"SEM-1","SEM-2","SEM-3","SEM-4"},""))</f>
        <v>SEM-1</v>
      </c>
      <c r="G555" s="3">
        <v>37</v>
      </c>
      <c r="H555" s="3">
        <v>27</v>
      </c>
      <c r="I555" s="3">
        <v>94</v>
      </c>
      <c r="J555" s="3">
        <f t="shared" si="24"/>
        <v>158</v>
      </c>
      <c r="K555" s="3" t="str">
        <f t="shared" si="25"/>
        <v>P</v>
      </c>
      <c r="L555" s="3" t="str">
        <f t="shared" si="26"/>
        <v>B</v>
      </c>
    </row>
    <row r="556" spans="1:12" ht="14.25" customHeight="1">
      <c r="A556" s="3">
        <v>555</v>
      </c>
      <c r="B556" s="3" t="s">
        <v>3132</v>
      </c>
      <c r="C556" s="3" t="s">
        <v>230</v>
      </c>
      <c r="D556" s="3">
        <v>9876543431</v>
      </c>
      <c r="E556" s="3" t="s">
        <v>4420</v>
      </c>
      <c r="F556" s="3" t="str" cm="1">
        <f t="array" ref="F556">IF(E556="","",_xlfn.XLOOKUP(E556,{"FIRST","SECOND","THIRD","FOURTH"},{"SEM-1","SEM-2","SEM-3","SEM-4"},""))</f>
        <v>SEM-3</v>
      </c>
      <c r="G556" s="3">
        <v>20</v>
      </c>
      <c r="H556" s="3">
        <v>79</v>
      </c>
      <c r="I556" s="3">
        <v>33</v>
      </c>
      <c r="J556" s="3">
        <f t="shared" si="24"/>
        <v>132</v>
      </c>
      <c r="K556" s="3" t="str">
        <f t="shared" si="25"/>
        <v>P</v>
      </c>
      <c r="L556" s="3" t="str">
        <f t="shared" si="26"/>
        <v>C</v>
      </c>
    </row>
    <row r="557" spans="1:12" ht="14.25" customHeight="1">
      <c r="A557" s="3">
        <v>556</v>
      </c>
      <c r="B557" s="3" t="s">
        <v>4023</v>
      </c>
      <c r="C557" s="3" t="s">
        <v>1112</v>
      </c>
      <c r="D557" s="3">
        <v>9876544322</v>
      </c>
      <c r="E557" s="3" t="s">
        <v>4418</v>
      </c>
      <c r="F557" s="3" t="str" cm="1">
        <f t="array" ref="F557">IF(E557="","",_xlfn.XLOOKUP(E557,{"FIRST","SECOND","THIRD","FOURTH"},{"SEM-1","SEM-2","SEM-3","SEM-4"},""))</f>
        <v>SEM-1</v>
      </c>
      <c r="G557" s="3">
        <v>90</v>
      </c>
      <c r="H557" s="3">
        <v>96</v>
      </c>
      <c r="I557" s="3">
        <v>1</v>
      </c>
      <c r="J557" s="3">
        <f t="shared" si="24"/>
        <v>187</v>
      </c>
      <c r="K557" s="3" t="str">
        <f t="shared" si="25"/>
        <v>P</v>
      </c>
      <c r="L557" s="3" t="str">
        <f t="shared" si="26"/>
        <v>B</v>
      </c>
    </row>
    <row r="558" spans="1:12" ht="14.25" customHeight="1">
      <c r="A558" s="3">
        <v>557</v>
      </c>
      <c r="B558" s="3" t="s">
        <v>4149</v>
      </c>
      <c r="C558" s="3" t="s">
        <v>1234</v>
      </c>
      <c r="D558" s="3">
        <v>9876544448</v>
      </c>
      <c r="E558" s="3" t="s">
        <v>4420</v>
      </c>
      <c r="F558" s="3" t="str" cm="1">
        <f t="array" ref="F558">IF(E558="","",_xlfn.XLOOKUP(E558,{"FIRST","SECOND","THIRD","FOURTH"},{"SEM-1","SEM-2","SEM-3","SEM-4"},""))</f>
        <v>SEM-3</v>
      </c>
      <c r="G558" s="3">
        <v>37</v>
      </c>
      <c r="H558" s="3">
        <v>55</v>
      </c>
      <c r="I558" s="3">
        <v>77</v>
      </c>
      <c r="J558" s="3">
        <f t="shared" si="24"/>
        <v>169</v>
      </c>
      <c r="K558" s="3" t="str">
        <f t="shared" si="25"/>
        <v>P</v>
      </c>
      <c r="L558" s="3" t="str">
        <f t="shared" si="26"/>
        <v>B</v>
      </c>
    </row>
    <row r="559" spans="1:12" ht="14.25" customHeight="1">
      <c r="A559" s="3">
        <v>558</v>
      </c>
      <c r="B559" s="3" t="s">
        <v>4241</v>
      </c>
      <c r="C559" s="3" t="s">
        <v>1324</v>
      </c>
      <c r="D559" s="3">
        <v>9876544540</v>
      </c>
      <c r="E559" s="3" t="s">
        <v>4418</v>
      </c>
      <c r="F559" s="3" t="str" cm="1">
        <f t="array" ref="F559">IF(E559="","",_xlfn.XLOOKUP(E559,{"FIRST","SECOND","THIRD","FOURTH"},{"SEM-1","SEM-2","SEM-3","SEM-4"},""))</f>
        <v>SEM-1</v>
      </c>
      <c r="G559" s="3">
        <v>15</v>
      </c>
      <c r="H559" s="3">
        <v>98</v>
      </c>
      <c r="I559" s="3">
        <v>84</v>
      </c>
      <c r="J559" s="3">
        <f t="shared" si="24"/>
        <v>197</v>
      </c>
      <c r="K559" s="3" t="str">
        <f t="shared" si="25"/>
        <v>P</v>
      </c>
      <c r="L559" s="3" t="str">
        <f t="shared" si="26"/>
        <v>A</v>
      </c>
    </row>
    <row r="560" spans="1:12" ht="14.25" customHeight="1">
      <c r="A560" s="3">
        <v>559</v>
      </c>
      <c r="B560" s="3" t="s">
        <v>3641</v>
      </c>
      <c r="C560" s="3" t="s">
        <v>735</v>
      </c>
      <c r="D560" s="3">
        <v>9876543940</v>
      </c>
      <c r="E560" s="3" t="s">
        <v>4420</v>
      </c>
      <c r="F560" s="3" t="str" cm="1">
        <f t="array" ref="F560">IF(E560="","",_xlfn.XLOOKUP(E560,{"FIRST","SECOND","THIRD","FOURTH"},{"SEM-1","SEM-2","SEM-3","SEM-4"},""))</f>
        <v>SEM-3</v>
      </c>
      <c r="G560" s="3">
        <v>11</v>
      </c>
      <c r="H560" s="3">
        <v>39</v>
      </c>
      <c r="I560" s="3">
        <v>29</v>
      </c>
      <c r="J560" s="3">
        <f t="shared" si="24"/>
        <v>79</v>
      </c>
      <c r="K560" s="3" t="str">
        <f t="shared" si="25"/>
        <v>F</v>
      </c>
      <c r="L560" s="3" t="str">
        <f t="shared" si="26"/>
        <v>FAIL</v>
      </c>
    </row>
    <row r="561" spans="1:12" ht="14.25" customHeight="1">
      <c r="A561" s="3">
        <v>560</v>
      </c>
      <c r="B561" s="3" t="s">
        <v>3464</v>
      </c>
      <c r="C561" s="3" t="s">
        <v>560</v>
      </c>
      <c r="D561" s="3">
        <v>9876543763</v>
      </c>
      <c r="E561" s="3" t="s">
        <v>4418</v>
      </c>
      <c r="F561" s="3" t="str" cm="1">
        <f t="array" ref="F561">IF(E561="","",_xlfn.XLOOKUP(E561,{"FIRST","SECOND","THIRD","FOURTH"},{"SEM-1","SEM-2","SEM-3","SEM-4"},""))</f>
        <v>SEM-1</v>
      </c>
      <c r="G561" s="3">
        <v>1</v>
      </c>
      <c r="H561" s="3">
        <v>72</v>
      </c>
      <c r="I561" s="3">
        <v>13</v>
      </c>
      <c r="J561" s="3">
        <f t="shared" si="24"/>
        <v>86</v>
      </c>
      <c r="K561" s="3" t="str">
        <f t="shared" si="25"/>
        <v>P</v>
      </c>
      <c r="L561" s="3" t="str">
        <f t="shared" si="26"/>
        <v>FAIL</v>
      </c>
    </row>
    <row r="562" spans="1:12" ht="14.25" customHeight="1">
      <c r="A562" s="3">
        <v>561</v>
      </c>
      <c r="B562" s="3" t="s">
        <v>4128</v>
      </c>
      <c r="C562" s="3" t="s">
        <v>1213</v>
      </c>
      <c r="D562" s="3">
        <v>9876544427</v>
      </c>
      <c r="E562" s="3" t="s">
        <v>4418</v>
      </c>
      <c r="F562" s="3" t="str" cm="1">
        <f t="array" ref="F562">IF(E562="","",_xlfn.XLOOKUP(E562,{"FIRST","SECOND","THIRD","FOURTH"},{"SEM-1","SEM-2","SEM-3","SEM-4"},""))</f>
        <v>SEM-1</v>
      </c>
      <c r="G562" s="3">
        <v>85</v>
      </c>
      <c r="H562" s="3">
        <v>72</v>
      </c>
      <c r="I562" s="3">
        <v>49</v>
      </c>
      <c r="J562" s="3">
        <f t="shared" si="24"/>
        <v>206</v>
      </c>
      <c r="K562" s="3" t="str">
        <f t="shared" si="25"/>
        <v>P</v>
      </c>
      <c r="L562" s="3" t="str">
        <f t="shared" si="26"/>
        <v>A</v>
      </c>
    </row>
    <row r="563" spans="1:12" ht="14.25" customHeight="1">
      <c r="A563" s="3">
        <v>562</v>
      </c>
      <c r="B563" s="3" t="s">
        <v>3190</v>
      </c>
      <c r="C563" s="3" t="s">
        <v>288</v>
      </c>
      <c r="D563" s="3">
        <v>9876543489</v>
      </c>
      <c r="E563" s="3" t="s">
        <v>4420</v>
      </c>
      <c r="F563" s="3" t="str" cm="1">
        <f t="array" ref="F563">IF(E563="","",_xlfn.XLOOKUP(E563,{"FIRST","SECOND","THIRD","FOURTH"},{"SEM-1","SEM-2","SEM-3","SEM-4"},""))</f>
        <v>SEM-3</v>
      </c>
      <c r="G563" s="3">
        <v>95</v>
      </c>
      <c r="H563" s="3">
        <v>44</v>
      </c>
      <c r="I563" s="3">
        <v>2</v>
      </c>
      <c r="J563" s="3">
        <f t="shared" si="24"/>
        <v>141</v>
      </c>
      <c r="K563" s="3" t="str">
        <f t="shared" si="25"/>
        <v>P</v>
      </c>
      <c r="L563" s="3" t="str">
        <f t="shared" si="26"/>
        <v>C</v>
      </c>
    </row>
    <row r="564" spans="1:12" ht="14.25" customHeight="1">
      <c r="A564" s="3">
        <v>563</v>
      </c>
      <c r="B564" s="3" t="s">
        <v>3179</v>
      </c>
      <c r="C564" s="3" t="s">
        <v>277</v>
      </c>
      <c r="D564" s="3">
        <v>9876543478</v>
      </c>
      <c r="E564" s="3" t="s">
        <v>4419</v>
      </c>
      <c r="F564" s="3" t="str" cm="1">
        <f t="array" ref="F564">IF(E564="","",_xlfn.XLOOKUP(E564,{"FIRST","SECOND","THIRD","FOURTH"},{"SEM-1","SEM-2","SEM-3","SEM-4"},""))</f>
        <v>SEM-2</v>
      </c>
      <c r="G564" s="3">
        <v>89</v>
      </c>
      <c r="H564" s="3">
        <v>65</v>
      </c>
      <c r="I564" s="3">
        <v>38</v>
      </c>
      <c r="J564" s="3">
        <f t="shared" si="24"/>
        <v>192</v>
      </c>
      <c r="K564" s="3" t="str">
        <f t="shared" si="25"/>
        <v>P</v>
      </c>
      <c r="L564" s="3" t="str">
        <f t="shared" si="26"/>
        <v>A</v>
      </c>
    </row>
    <row r="565" spans="1:12" ht="14.25" customHeight="1">
      <c r="A565" s="3">
        <v>564</v>
      </c>
      <c r="B565" s="3" t="s">
        <v>3418</v>
      </c>
      <c r="C565" s="3" t="s">
        <v>514</v>
      </c>
      <c r="D565" s="3">
        <v>9876543717</v>
      </c>
      <c r="E565" s="3" t="s">
        <v>4419</v>
      </c>
      <c r="F565" s="3" t="str" cm="1">
        <f t="array" ref="F565">IF(E565="","",_xlfn.XLOOKUP(E565,{"FIRST","SECOND","THIRD","FOURTH"},{"SEM-1","SEM-2","SEM-3","SEM-4"},""))</f>
        <v>SEM-2</v>
      </c>
      <c r="G565" s="3">
        <v>53</v>
      </c>
      <c r="H565" s="3">
        <v>52</v>
      </c>
      <c r="I565" s="3">
        <v>58</v>
      </c>
      <c r="J565" s="3">
        <f t="shared" si="24"/>
        <v>163</v>
      </c>
      <c r="K565" s="3" t="str">
        <f t="shared" si="25"/>
        <v>P</v>
      </c>
      <c r="L565" s="3" t="str">
        <f t="shared" si="26"/>
        <v>B</v>
      </c>
    </row>
    <row r="566" spans="1:12" ht="14.25" customHeight="1">
      <c r="A566" s="3">
        <v>565</v>
      </c>
      <c r="B566" s="3" t="s">
        <v>4337</v>
      </c>
      <c r="C566" s="3" t="s">
        <v>1416</v>
      </c>
      <c r="D566" s="3">
        <v>9876544636</v>
      </c>
      <c r="E566" s="3" t="s">
        <v>4418</v>
      </c>
      <c r="F566" s="3" t="str" cm="1">
        <f t="array" ref="F566">IF(E566="","",_xlfn.XLOOKUP(E566,{"FIRST","SECOND","THIRD","FOURTH"},{"SEM-1","SEM-2","SEM-3","SEM-4"},""))</f>
        <v>SEM-1</v>
      </c>
      <c r="G566" s="3">
        <v>26</v>
      </c>
      <c r="H566" s="3">
        <v>28</v>
      </c>
      <c r="I566" s="3">
        <v>56</v>
      </c>
      <c r="J566" s="3">
        <f t="shared" si="24"/>
        <v>110</v>
      </c>
      <c r="K566" s="3" t="str">
        <f t="shared" si="25"/>
        <v>F</v>
      </c>
      <c r="L566" s="3" t="str">
        <f t="shared" si="26"/>
        <v>FAIL</v>
      </c>
    </row>
    <row r="567" spans="1:12" ht="14.25" customHeight="1">
      <c r="A567" s="3">
        <v>566</v>
      </c>
      <c r="B567" s="3" t="s">
        <v>3571</v>
      </c>
      <c r="C567" s="3" t="s">
        <v>665</v>
      </c>
      <c r="D567" s="3">
        <v>9876543870</v>
      </c>
      <c r="E567" s="3" t="s">
        <v>4419</v>
      </c>
      <c r="F567" s="3" t="str" cm="1">
        <f t="array" ref="F567">IF(E567="","",_xlfn.XLOOKUP(E567,{"FIRST","SECOND","THIRD","FOURTH"},{"SEM-1","SEM-2","SEM-3","SEM-4"},""))</f>
        <v>SEM-2</v>
      </c>
      <c r="G567" s="3">
        <v>1</v>
      </c>
      <c r="H567" s="3">
        <v>59</v>
      </c>
      <c r="I567" s="3">
        <v>56</v>
      </c>
      <c r="J567" s="3">
        <f t="shared" si="24"/>
        <v>116</v>
      </c>
      <c r="K567" s="3" t="str">
        <f t="shared" si="25"/>
        <v>F</v>
      </c>
      <c r="L567" s="3" t="str">
        <f t="shared" si="26"/>
        <v>FAIL</v>
      </c>
    </row>
    <row r="568" spans="1:12" ht="14.25" customHeight="1">
      <c r="A568" s="3">
        <v>567</v>
      </c>
      <c r="B568" s="3" t="s">
        <v>3414</v>
      </c>
      <c r="C568" s="3" t="s">
        <v>510</v>
      </c>
      <c r="D568" s="3">
        <v>9876543713</v>
      </c>
      <c r="E568" s="3" t="s">
        <v>4419</v>
      </c>
      <c r="F568" s="3" t="str" cm="1">
        <f t="array" ref="F568">IF(E568="","",_xlfn.XLOOKUP(E568,{"FIRST","SECOND","THIRD","FOURTH"},{"SEM-1","SEM-2","SEM-3","SEM-4"},""))</f>
        <v>SEM-2</v>
      </c>
      <c r="G568" s="3">
        <v>21</v>
      </c>
      <c r="H568" s="3">
        <v>46</v>
      </c>
      <c r="I568" s="3">
        <v>22</v>
      </c>
      <c r="J568" s="3">
        <f t="shared" si="24"/>
        <v>89</v>
      </c>
      <c r="K568" s="3" t="str">
        <f t="shared" si="25"/>
        <v>F</v>
      </c>
      <c r="L568" s="3" t="str">
        <f t="shared" si="26"/>
        <v>FAIL</v>
      </c>
    </row>
    <row r="569" spans="1:12" ht="14.25" customHeight="1">
      <c r="A569" s="3">
        <v>568</v>
      </c>
      <c r="B569" s="3" t="s">
        <v>3637</v>
      </c>
      <c r="C569" s="3" t="s">
        <v>731</v>
      </c>
      <c r="D569" s="3">
        <v>9876543936</v>
      </c>
      <c r="E569" s="3" t="s">
        <v>4420</v>
      </c>
      <c r="F569" s="3" t="str" cm="1">
        <f t="array" ref="F569">IF(E569="","",_xlfn.XLOOKUP(E569,{"FIRST","SECOND","THIRD","FOURTH"},{"SEM-1","SEM-2","SEM-3","SEM-4"},""))</f>
        <v>SEM-3</v>
      </c>
      <c r="G569" s="3">
        <v>46</v>
      </c>
      <c r="H569" s="3">
        <v>96</v>
      </c>
      <c r="I569" s="3">
        <v>8</v>
      </c>
      <c r="J569" s="3">
        <f t="shared" si="24"/>
        <v>150</v>
      </c>
      <c r="K569" s="3" t="str">
        <f t="shared" si="25"/>
        <v>P</v>
      </c>
      <c r="L569" s="3" t="str">
        <f t="shared" si="26"/>
        <v>B</v>
      </c>
    </row>
    <row r="570" spans="1:12" ht="14.25" customHeight="1">
      <c r="A570" s="3">
        <v>569</v>
      </c>
      <c r="B570" s="3" t="s">
        <v>4054</v>
      </c>
      <c r="C570" s="3" t="s">
        <v>1142</v>
      </c>
      <c r="D570" s="3">
        <v>9876544353</v>
      </c>
      <c r="E570" s="3" t="s">
        <v>4420</v>
      </c>
      <c r="F570" s="3" t="str" cm="1">
        <f t="array" ref="F570">IF(E570="","",_xlfn.XLOOKUP(E570,{"FIRST","SECOND","THIRD","FOURTH"},{"SEM-1","SEM-2","SEM-3","SEM-4"},""))</f>
        <v>SEM-3</v>
      </c>
      <c r="G570" s="3">
        <v>75</v>
      </c>
      <c r="H570" s="3">
        <v>29</v>
      </c>
      <c r="I570" s="3">
        <v>61</v>
      </c>
      <c r="J570" s="3">
        <f t="shared" si="24"/>
        <v>165</v>
      </c>
      <c r="K570" s="3" t="str">
        <f t="shared" si="25"/>
        <v>P</v>
      </c>
      <c r="L570" s="3" t="str">
        <f t="shared" si="26"/>
        <v>B</v>
      </c>
    </row>
    <row r="571" spans="1:12" ht="14.25" customHeight="1">
      <c r="A571" s="3">
        <v>570</v>
      </c>
      <c r="B571" s="3" t="s">
        <v>3763</v>
      </c>
      <c r="C571" s="3" t="s">
        <v>856</v>
      </c>
      <c r="D571" s="3">
        <v>9876544062</v>
      </c>
      <c r="E571" s="3" t="s">
        <v>4420</v>
      </c>
      <c r="F571" s="3" t="str" cm="1">
        <f t="array" ref="F571">IF(E571="","",_xlfn.XLOOKUP(E571,{"FIRST","SECOND","THIRD","FOURTH"},{"SEM-1","SEM-2","SEM-3","SEM-4"},""))</f>
        <v>SEM-3</v>
      </c>
      <c r="G571" s="3">
        <v>98</v>
      </c>
      <c r="H571" s="3">
        <v>87</v>
      </c>
      <c r="I571" s="3">
        <v>98</v>
      </c>
      <c r="J571" s="3">
        <f t="shared" si="24"/>
        <v>283</v>
      </c>
      <c r="K571" s="3" t="str">
        <f t="shared" si="25"/>
        <v>P</v>
      </c>
      <c r="L571" s="3" t="str">
        <f t="shared" si="26"/>
        <v>A</v>
      </c>
    </row>
    <row r="572" spans="1:12" ht="14.25" customHeight="1">
      <c r="A572" s="3">
        <v>571</v>
      </c>
      <c r="B572" s="3" t="s">
        <v>3329</v>
      </c>
      <c r="C572" s="3" t="s">
        <v>425</v>
      </c>
      <c r="D572" s="3">
        <v>9876543628</v>
      </c>
      <c r="E572" s="3" t="s">
        <v>4419</v>
      </c>
      <c r="F572" s="3" t="str" cm="1">
        <f t="array" ref="F572">IF(E572="","",_xlfn.XLOOKUP(E572,{"FIRST","SECOND","THIRD","FOURTH"},{"SEM-1","SEM-2","SEM-3","SEM-4"},""))</f>
        <v>SEM-2</v>
      </c>
      <c r="G572" s="3">
        <v>60</v>
      </c>
      <c r="H572" s="3">
        <v>57</v>
      </c>
      <c r="I572" s="3">
        <v>92</v>
      </c>
      <c r="J572" s="3">
        <f t="shared" si="24"/>
        <v>209</v>
      </c>
      <c r="K572" s="3" t="str">
        <f t="shared" si="25"/>
        <v>P</v>
      </c>
      <c r="L572" s="3" t="str">
        <f t="shared" si="26"/>
        <v>A</v>
      </c>
    </row>
    <row r="573" spans="1:12" ht="14.25" customHeight="1">
      <c r="A573" s="3">
        <v>572</v>
      </c>
      <c r="B573" s="3" t="s">
        <v>4003</v>
      </c>
      <c r="C573" s="3" t="s">
        <v>1092</v>
      </c>
      <c r="D573" s="3">
        <v>9876544302</v>
      </c>
      <c r="E573" s="3" t="s">
        <v>4419</v>
      </c>
      <c r="F573" s="3" t="str" cm="1">
        <f t="array" ref="F573">IF(E573="","",_xlfn.XLOOKUP(E573,{"FIRST","SECOND","THIRD","FOURTH"},{"SEM-1","SEM-2","SEM-3","SEM-4"},""))</f>
        <v>SEM-2</v>
      </c>
      <c r="G573" s="3">
        <v>41</v>
      </c>
      <c r="H573" s="3">
        <v>13</v>
      </c>
      <c r="I573" s="3">
        <v>13</v>
      </c>
      <c r="J573" s="3">
        <f t="shared" si="24"/>
        <v>67</v>
      </c>
      <c r="K573" s="3" t="str">
        <f t="shared" si="25"/>
        <v>F</v>
      </c>
      <c r="L573" s="3" t="str">
        <f t="shared" si="26"/>
        <v>FAIL</v>
      </c>
    </row>
    <row r="574" spans="1:12" ht="14.25" customHeight="1">
      <c r="A574" s="3">
        <v>573</v>
      </c>
      <c r="B574" s="3" t="s">
        <v>4161</v>
      </c>
      <c r="C574" s="3" t="s">
        <v>1246</v>
      </c>
      <c r="D574" s="3">
        <v>9876544460</v>
      </c>
      <c r="E574" s="3" t="s">
        <v>4418</v>
      </c>
      <c r="F574" s="3" t="str" cm="1">
        <f t="array" ref="F574">IF(E574="","",_xlfn.XLOOKUP(E574,{"FIRST","SECOND","THIRD","FOURTH"},{"SEM-1","SEM-2","SEM-3","SEM-4"},""))</f>
        <v>SEM-1</v>
      </c>
      <c r="G574" s="3">
        <v>93</v>
      </c>
      <c r="H574" s="3">
        <v>80</v>
      </c>
      <c r="I574" s="3">
        <v>47</v>
      </c>
      <c r="J574" s="3">
        <f t="shared" si="24"/>
        <v>220</v>
      </c>
      <c r="K574" s="3" t="str">
        <f t="shared" si="25"/>
        <v>P</v>
      </c>
      <c r="L574" s="3" t="str">
        <f t="shared" si="26"/>
        <v>A</v>
      </c>
    </row>
    <row r="575" spans="1:12" ht="14.25" customHeight="1">
      <c r="A575" s="3">
        <v>574</v>
      </c>
      <c r="B575" s="3" t="s">
        <v>3358</v>
      </c>
      <c r="C575" s="3" t="s">
        <v>454</v>
      </c>
      <c r="D575" s="3">
        <v>9876543657</v>
      </c>
      <c r="E575" s="3" t="s">
        <v>4418</v>
      </c>
      <c r="F575" s="3" t="str" cm="1">
        <f t="array" ref="F575">IF(E575="","",_xlfn.XLOOKUP(E575,{"FIRST","SECOND","THIRD","FOURTH"},{"SEM-1","SEM-2","SEM-3","SEM-4"},""))</f>
        <v>SEM-1</v>
      </c>
      <c r="G575" s="3">
        <v>11</v>
      </c>
      <c r="H575" s="3">
        <v>68</v>
      </c>
      <c r="I575" s="3">
        <v>72</v>
      </c>
      <c r="J575" s="3">
        <f t="shared" si="24"/>
        <v>151</v>
      </c>
      <c r="K575" s="3" t="str">
        <f t="shared" si="25"/>
        <v>P</v>
      </c>
      <c r="L575" s="3" t="str">
        <f t="shared" si="26"/>
        <v>B</v>
      </c>
    </row>
    <row r="576" spans="1:12" ht="14.25" customHeight="1">
      <c r="A576" s="3">
        <v>575</v>
      </c>
      <c r="B576" s="3" t="s">
        <v>3461</v>
      </c>
      <c r="C576" s="3" t="s">
        <v>557</v>
      </c>
      <c r="D576" s="3">
        <v>9876543760</v>
      </c>
      <c r="E576" s="3" t="s">
        <v>4419</v>
      </c>
      <c r="F576" s="3" t="str" cm="1">
        <f t="array" ref="F576">IF(E576="","",_xlfn.XLOOKUP(E576,{"FIRST","SECOND","THIRD","FOURTH"},{"SEM-1","SEM-2","SEM-3","SEM-4"},""))</f>
        <v>SEM-2</v>
      </c>
      <c r="G576" s="3">
        <v>40</v>
      </c>
      <c r="H576" s="3">
        <v>94</v>
      </c>
      <c r="I576" s="3">
        <v>39</v>
      </c>
      <c r="J576" s="3">
        <f t="shared" si="24"/>
        <v>173</v>
      </c>
      <c r="K576" s="3" t="str">
        <f t="shared" si="25"/>
        <v>P</v>
      </c>
      <c r="L576" s="3" t="str">
        <f t="shared" si="26"/>
        <v>B</v>
      </c>
    </row>
    <row r="577" spans="1:12" ht="14.25" customHeight="1">
      <c r="A577" s="3">
        <v>576</v>
      </c>
      <c r="B577" s="3" t="s">
        <v>3386</v>
      </c>
      <c r="C577" s="3" t="s">
        <v>482</v>
      </c>
      <c r="D577" s="3">
        <v>9876543685</v>
      </c>
      <c r="E577" s="3" t="s">
        <v>4420</v>
      </c>
      <c r="F577" s="3" t="str" cm="1">
        <f t="array" ref="F577">IF(E577="","",_xlfn.XLOOKUP(E577,{"FIRST","SECOND","THIRD","FOURTH"},{"SEM-1","SEM-2","SEM-3","SEM-4"},""))</f>
        <v>SEM-3</v>
      </c>
      <c r="G577" s="3">
        <v>27</v>
      </c>
      <c r="H577" s="3">
        <v>19</v>
      </c>
      <c r="I577" s="3">
        <v>80</v>
      </c>
      <c r="J577" s="3">
        <f t="shared" si="24"/>
        <v>126</v>
      </c>
      <c r="K577" s="3" t="str">
        <f t="shared" si="25"/>
        <v>P</v>
      </c>
      <c r="L577" s="3" t="str">
        <f t="shared" si="26"/>
        <v>C</v>
      </c>
    </row>
    <row r="578" spans="1:12" ht="14.25" customHeight="1">
      <c r="A578" s="3">
        <v>577</v>
      </c>
      <c r="B578" s="3" t="s">
        <v>3335</v>
      </c>
      <c r="C578" s="3" t="s">
        <v>431</v>
      </c>
      <c r="D578" s="3">
        <v>9876543634</v>
      </c>
      <c r="E578" s="3" t="s">
        <v>4420</v>
      </c>
      <c r="F578" s="3" t="str" cm="1">
        <f t="array" ref="F578">IF(E578="","",_xlfn.XLOOKUP(E578,{"FIRST","SECOND","THIRD","FOURTH"},{"SEM-1","SEM-2","SEM-3","SEM-4"},""))</f>
        <v>SEM-3</v>
      </c>
      <c r="G578" s="3">
        <v>29</v>
      </c>
      <c r="H578" s="3">
        <v>73</v>
      </c>
      <c r="I578" s="3">
        <v>25</v>
      </c>
      <c r="J578" s="3">
        <f t="shared" ref="J578:J641" si="27">SUM(G578:I578)</f>
        <v>127</v>
      </c>
      <c r="K578" s="3" t="str">
        <f t="shared" ref="K578:K641" si="28">IF(OR(G578&gt;=70,H578&gt;=70,I578&gt;=70,J578&gt;=120),"P","F")</f>
        <v>P</v>
      </c>
      <c r="L578" s="3" t="str">
        <f t="shared" ref="L578:L641" si="29">IF(J578&gt;=190,"A",IF(J578&gt;=150,"B",IF(J578&gt;=120,"C","FAIL")))</f>
        <v>C</v>
      </c>
    </row>
    <row r="579" spans="1:12" ht="14.25" customHeight="1">
      <c r="A579" s="3">
        <v>578</v>
      </c>
      <c r="B579" s="3" t="s">
        <v>3806</v>
      </c>
      <c r="C579" s="3" t="s">
        <v>898</v>
      </c>
      <c r="D579" s="3">
        <v>9876544105</v>
      </c>
      <c r="E579" s="3" t="s">
        <v>4419</v>
      </c>
      <c r="F579" s="3" t="str" cm="1">
        <f t="array" ref="F579">IF(E579="","",_xlfn.XLOOKUP(E579,{"FIRST","SECOND","THIRD","FOURTH"},{"SEM-1","SEM-2","SEM-3","SEM-4"},""))</f>
        <v>SEM-2</v>
      </c>
      <c r="G579" s="3">
        <v>74</v>
      </c>
      <c r="H579" s="3">
        <v>97</v>
      </c>
      <c r="I579" s="3">
        <v>54</v>
      </c>
      <c r="J579" s="3">
        <f t="shared" si="27"/>
        <v>225</v>
      </c>
      <c r="K579" s="3" t="str">
        <f t="shared" si="28"/>
        <v>P</v>
      </c>
      <c r="L579" s="3" t="str">
        <f t="shared" si="29"/>
        <v>A</v>
      </c>
    </row>
    <row r="580" spans="1:12" ht="14.25" customHeight="1">
      <c r="A580" s="3">
        <v>579</v>
      </c>
      <c r="B580" s="3" t="s">
        <v>3195</v>
      </c>
      <c r="C580" s="3" t="s">
        <v>293</v>
      </c>
      <c r="D580" s="3">
        <v>9876543494</v>
      </c>
      <c r="E580" s="3" t="s">
        <v>4418</v>
      </c>
      <c r="F580" s="3" t="str" cm="1">
        <f t="array" ref="F580">IF(E580="","",_xlfn.XLOOKUP(E580,{"FIRST","SECOND","THIRD","FOURTH"},{"SEM-1","SEM-2","SEM-3","SEM-4"},""))</f>
        <v>SEM-1</v>
      </c>
      <c r="G580" s="3">
        <v>98</v>
      </c>
      <c r="H580" s="3">
        <v>79</v>
      </c>
      <c r="I580" s="3">
        <v>9</v>
      </c>
      <c r="J580" s="3">
        <f t="shared" si="27"/>
        <v>186</v>
      </c>
      <c r="K580" s="3" t="str">
        <f t="shared" si="28"/>
        <v>P</v>
      </c>
      <c r="L580" s="3" t="str">
        <f t="shared" si="29"/>
        <v>B</v>
      </c>
    </row>
    <row r="581" spans="1:12" ht="14.25" customHeight="1">
      <c r="A581" s="3">
        <v>580</v>
      </c>
      <c r="B581" s="3" t="s">
        <v>2976</v>
      </c>
      <c r="C581" s="3" t="s">
        <v>74</v>
      </c>
      <c r="D581" s="3">
        <v>9876543275</v>
      </c>
      <c r="E581" s="3" t="s">
        <v>4419</v>
      </c>
      <c r="F581" s="3" t="str" cm="1">
        <f t="array" ref="F581">IF(E581="","",_xlfn.XLOOKUP(E581,{"FIRST","SECOND","THIRD","FOURTH"},{"SEM-1","SEM-2","SEM-3","SEM-4"},""))</f>
        <v>SEM-2</v>
      </c>
      <c r="G581" s="3">
        <v>84</v>
      </c>
      <c r="H581" s="3">
        <v>71</v>
      </c>
      <c r="I581" s="3">
        <v>6</v>
      </c>
      <c r="J581" s="3">
        <f t="shared" si="27"/>
        <v>161</v>
      </c>
      <c r="K581" s="3" t="str">
        <f t="shared" si="28"/>
        <v>P</v>
      </c>
      <c r="L581" s="3" t="str">
        <f t="shared" si="29"/>
        <v>B</v>
      </c>
    </row>
    <row r="582" spans="1:12" ht="14.25" customHeight="1">
      <c r="A582" s="3">
        <v>581</v>
      </c>
      <c r="B582" s="3" t="s">
        <v>3589</v>
      </c>
      <c r="C582" s="3" t="s">
        <v>683</v>
      </c>
      <c r="D582" s="3">
        <v>9876543888</v>
      </c>
      <c r="E582" s="3" t="s">
        <v>4419</v>
      </c>
      <c r="F582" s="3" t="str" cm="1">
        <f t="array" ref="F582">IF(E582="","",_xlfn.XLOOKUP(E582,{"FIRST","SECOND","THIRD","FOURTH"},{"SEM-1","SEM-2","SEM-3","SEM-4"},""))</f>
        <v>SEM-2</v>
      </c>
      <c r="G582" s="3">
        <v>59</v>
      </c>
      <c r="H582" s="3">
        <v>45</v>
      </c>
      <c r="I582" s="3">
        <v>27</v>
      </c>
      <c r="J582" s="3">
        <f t="shared" si="27"/>
        <v>131</v>
      </c>
      <c r="K582" s="3" t="str">
        <f t="shared" si="28"/>
        <v>P</v>
      </c>
      <c r="L582" s="3" t="str">
        <f t="shared" si="29"/>
        <v>C</v>
      </c>
    </row>
    <row r="583" spans="1:12" ht="14.25" customHeight="1">
      <c r="A583" s="3">
        <v>582</v>
      </c>
      <c r="B583" s="3" t="s">
        <v>3325</v>
      </c>
      <c r="C583" s="3" t="s">
        <v>421</v>
      </c>
      <c r="D583" s="3">
        <v>9876543624</v>
      </c>
      <c r="E583" s="3" t="s">
        <v>4419</v>
      </c>
      <c r="F583" s="3" t="str" cm="1">
        <f t="array" ref="F583">IF(E583="","",_xlfn.XLOOKUP(E583,{"FIRST","SECOND","THIRD","FOURTH"},{"SEM-1","SEM-2","SEM-3","SEM-4"},""))</f>
        <v>SEM-2</v>
      </c>
      <c r="G583" s="3">
        <v>98</v>
      </c>
      <c r="H583" s="3">
        <v>1</v>
      </c>
      <c r="I583" s="3">
        <v>26</v>
      </c>
      <c r="J583" s="3">
        <f t="shared" si="27"/>
        <v>125</v>
      </c>
      <c r="K583" s="3" t="str">
        <f t="shared" si="28"/>
        <v>P</v>
      </c>
      <c r="L583" s="3" t="str">
        <f t="shared" si="29"/>
        <v>C</v>
      </c>
    </row>
    <row r="584" spans="1:12" ht="14.25" customHeight="1">
      <c r="A584" s="3">
        <v>583</v>
      </c>
      <c r="B584" s="3" t="s">
        <v>3022</v>
      </c>
      <c r="C584" s="3" t="s">
        <v>120</v>
      </c>
      <c r="D584" s="3">
        <v>9876543321</v>
      </c>
      <c r="E584" s="3" t="s">
        <v>4419</v>
      </c>
      <c r="F584" s="3" t="str" cm="1">
        <f t="array" ref="F584">IF(E584="","",_xlfn.XLOOKUP(E584,{"FIRST","SECOND","THIRD","FOURTH"},{"SEM-1","SEM-2","SEM-3","SEM-4"},""))</f>
        <v>SEM-2</v>
      </c>
      <c r="G584" s="3">
        <v>21</v>
      </c>
      <c r="H584" s="3">
        <v>92</v>
      </c>
      <c r="I584" s="3">
        <v>99</v>
      </c>
      <c r="J584" s="3">
        <f t="shared" si="27"/>
        <v>212</v>
      </c>
      <c r="K584" s="3" t="str">
        <f t="shared" si="28"/>
        <v>P</v>
      </c>
      <c r="L584" s="3" t="str">
        <f t="shared" si="29"/>
        <v>A</v>
      </c>
    </row>
    <row r="585" spans="1:12" ht="14.25" customHeight="1">
      <c r="A585" s="3">
        <v>584</v>
      </c>
      <c r="B585" s="3" t="s">
        <v>4308</v>
      </c>
      <c r="C585" s="3" t="s">
        <v>1388</v>
      </c>
      <c r="D585" s="3">
        <v>9876544607</v>
      </c>
      <c r="E585" s="3" t="s">
        <v>4420</v>
      </c>
      <c r="F585" s="3" t="str" cm="1">
        <f t="array" ref="F585">IF(E585="","",_xlfn.XLOOKUP(E585,{"FIRST","SECOND","THIRD","FOURTH"},{"SEM-1","SEM-2","SEM-3","SEM-4"},""))</f>
        <v>SEM-3</v>
      </c>
      <c r="G585" s="3">
        <v>41</v>
      </c>
      <c r="H585" s="3">
        <v>99</v>
      </c>
      <c r="I585" s="3">
        <v>69</v>
      </c>
      <c r="J585" s="3">
        <f t="shared" si="27"/>
        <v>209</v>
      </c>
      <c r="K585" s="3" t="str">
        <f t="shared" si="28"/>
        <v>P</v>
      </c>
      <c r="L585" s="3" t="str">
        <f t="shared" si="29"/>
        <v>A</v>
      </c>
    </row>
    <row r="586" spans="1:12" ht="14.25" customHeight="1">
      <c r="A586" s="3">
        <v>585</v>
      </c>
      <c r="B586" s="3" t="s">
        <v>3833</v>
      </c>
      <c r="C586" s="3" t="s">
        <v>925</v>
      </c>
      <c r="D586" s="3">
        <v>9876544132</v>
      </c>
      <c r="E586" s="3" t="s">
        <v>4419</v>
      </c>
      <c r="F586" s="3" t="str" cm="1">
        <f t="array" ref="F586">IF(E586="","",_xlfn.XLOOKUP(E586,{"FIRST","SECOND","THIRD","FOURTH"},{"SEM-1","SEM-2","SEM-3","SEM-4"},""))</f>
        <v>SEM-2</v>
      </c>
      <c r="G586" s="3">
        <v>97</v>
      </c>
      <c r="H586" s="3">
        <v>75</v>
      </c>
      <c r="I586" s="3">
        <v>30</v>
      </c>
      <c r="J586" s="3">
        <f t="shared" si="27"/>
        <v>202</v>
      </c>
      <c r="K586" s="3" t="str">
        <f t="shared" si="28"/>
        <v>P</v>
      </c>
      <c r="L586" s="3" t="str">
        <f t="shared" si="29"/>
        <v>A</v>
      </c>
    </row>
    <row r="587" spans="1:12" ht="14.25" customHeight="1">
      <c r="A587" s="3">
        <v>586</v>
      </c>
      <c r="B587" s="3" t="s">
        <v>3444</v>
      </c>
      <c r="C587" s="3" t="s">
        <v>540</v>
      </c>
      <c r="D587" s="3">
        <v>9876543743</v>
      </c>
      <c r="E587" s="3" t="s">
        <v>4418</v>
      </c>
      <c r="F587" s="3" t="str" cm="1">
        <f t="array" ref="F587">IF(E587="","",_xlfn.XLOOKUP(E587,{"FIRST","SECOND","THIRD","FOURTH"},{"SEM-1","SEM-2","SEM-3","SEM-4"},""))</f>
        <v>SEM-1</v>
      </c>
      <c r="G587" s="3">
        <v>72</v>
      </c>
      <c r="H587" s="3">
        <v>68</v>
      </c>
      <c r="I587" s="3">
        <v>46</v>
      </c>
      <c r="J587" s="3">
        <f t="shared" si="27"/>
        <v>186</v>
      </c>
      <c r="K587" s="3" t="str">
        <f t="shared" si="28"/>
        <v>P</v>
      </c>
      <c r="L587" s="3" t="str">
        <f t="shared" si="29"/>
        <v>B</v>
      </c>
    </row>
    <row r="588" spans="1:12" ht="14.25" customHeight="1">
      <c r="A588" s="3">
        <v>587</v>
      </c>
      <c r="B588" s="3" t="s">
        <v>3488</v>
      </c>
      <c r="C588" s="3" t="s">
        <v>540</v>
      </c>
      <c r="D588" s="3">
        <v>9876543787</v>
      </c>
      <c r="E588" s="3" t="s">
        <v>4420</v>
      </c>
      <c r="F588" s="3" t="str" cm="1">
        <f t="array" ref="F588">IF(E588="","",_xlfn.XLOOKUP(E588,{"FIRST","SECOND","THIRD","FOURTH"},{"SEM-1","SEM-2","SEM-3","SEM-4"},""))</f>
        <v>SEM-3</v>
      </c>
      <c r="G588" s="3">
        <v>17</v>
      </c>
      <c r="H588" s="3">
        <v>48</v>
      </c>
      <c r="I588" s="3">
        <v>8</v>
      </c>
      <c r="J588" s="3">
        <f t="shared" si="27"/>
        <v>73</v>
      </c>
      <c r="K588" s="3" t="str">
        <f t="shared" si="28"/>
        <v>F</v>
      </c>
      <c r="L588" s="3" t="str">
        <f t="shared" si="29"/>
        <v>FAIL</v>
      </c>
    </row>
    <row r="589" spans="1:12" ht="14.25" customHeight="1">
      <c r="A589" s="3">
        <v>588</v>
      </c>
      <c r="B589" s="3" t="s">
        <v>4271</v>
      </c>
      <c r="C589" s="3" t="s">
        <v>1352</v>
      </c>
      <c r="D589" s="3">
        <v>9876544570</v>
      </c>
      <c r="E589" s="3" t="s">
        <v>4419</v>
      </c>
      <c r="F589" s="3" t="str" cm="1">
        <f t="array" ref="F589">IF(E589="","",_xlfn.XLOOKUP(E589,{"FIRST","SECOND","THIRD","FOURTH"},{"SEM-1","SEM-2","SEM-3","SEM-4"},""))</f>
        <v>SEM-2</v>
      </c>
      <c r="G589" s="3">
        <v>85</v>
      </c>
      <c r="H589" s="3">
        <v>72</v>
      </c>
      <c r="I589" s="3">
        <v>53</v>
      </c>
      <c r="J589" s="3">
        <f t="shared" si="27"/>
        <v>210</v>
      </c>
      <c r="K589" s="3" t="str">
        <f t="shared" si="28"/>
        <v>P</v>
      </c>
      <c r="L589" s="3" t="str">
        <f t="shared" si="29"/>
        <v>A</v>
      </c>
    </row>
    <row r="590" spans="1:12" ht="14.25" customHeight="1">
      <c r="A590" s="3">
        <v>589</v>
      </c>
      <c r="B590" s="3" t="s">
        <v>3348</v>
      </c>
      <c r="C590" s="3" t="s">
        <v>444</v>
      </c>
      <c r="D590" s="3">
        <v>9876543647</v>
      </c>
      <c r="E590" s="3" t="s">
        <v>4420</v>
      </c>
      <c r="F590" s="3" t="str" cm="1">
        <f t="array" ref="F590">IF(E590="","",_xlfn.XLOOKUP(E590,{"FIRST","SECOND","THIRD","FOURTH"},{"SEM-1","SEM-2","SEM-3","SEM-4"},""))</f>
        <v>SEM-3</v>
      </c>
      <c r="G590" s="3">
        <v>96</v>
      </c>
      <c r="H590" s="3">
        <v>53</v>
      </c>
      <c r="I590" s="3">
        <v>26</v>
      </c>
      <c r="J590" s="3">
        <f t="shared" si="27"/>
        <v>175</v>
      </c>
      <c r="K590" s="3" t="str">
        <f t="shared" si="28"/>
        <v>P</v>
      </c>
      <c r="L590" s="3" t="str">
        <f t="shared" si="29"/>
        <v>B</v>
      </c>
    </row>
    <row r="591" spans="1:12" ht="14.25" customHeight="1">
      <c r="A591" s="3">
        <v>590</v>
      </c>
      <c r="B591" s="3" t="s">
        <v>3750</v>
      </c>
      <c r="C591" s="3" t="s">
        <v>843</v>
      </c>
      <c r="D591" s="3">
        <v>9876544049</v>
      </c>
      <c r="E591" s="3" t="s">
        <v>4418</v>
      </c>
      <c r="F591" s="3" t="str" cm="1">
        <f t="array" ref="F591">IF(E591="","",_xlfn.XLOOKUP(E591,{"FIRST","SECOND","THIRD","FOURTH"},{"SEM-1","SEM-2","SEM-3","SEM-4"},""))</f>
        <v>SEM-1</v>
      </c>
      <c r="G591" s="3">
        <v>63</v>
      </c>
      <c r="H591" s="3">
        <v>29</v>
      </c>
      <c r="I591" s="3">
        <v>91</v>
      </c>
      <c r="J591" s="3">
        <f t="shared" si="27"/>
        <v>183</v>
      </c>
      <c r="K591" s="3" t="str">
        <f t="shared" si="28"/>
        <v>P</v>
      </c>
      <c r="L591" s="3" t="str">
        <f t="shared" si="29"/>
        <v>B</v>
      </c>
    </row>
    <row r="592" spans="1:12" ht="14.25" customHeight="1">
      <c r="A592" s="3">
        <v>591</v>
      </c>
      <c r="B592" s="3" t="s">
        <v>3580</v>
      </c>
      <c r="C592" s="3" t="s">
        <v>674</v>
      </c>
      <c r="D592" s="3">
        <v>9876543879</v>
      </c>
      <c r="E592" s="3" t="s">
        <v>4418</v>
      </c>
      <c r="F592" s="3" t="str" cm="1">
        <f t="array" ref="F592">IF(E592="","",_xlfn.XLOOKUP(E592,{"FIRST","SECOND","THIRD","FOURTH"},{"SEM-1","SEM-2","SEM-3","SEM-4"},""))</f>
        <v>SEM-1</v>
      </c>
      <c r="G592" s="3">
        <v>74</v>
      </c>
      <c r="H592" s="3">
        <v>13</v>
      </c>
      <c r="I592" s="3">
        <v>13</v>
      </c>
      <c r="J592" s="3">
        <f t="shared" si="27"/>
        <v>100</v>
      </c>
      <c r="K592" s="3" t="str">
        <f t="shared" si="28"/>
        <v>P</v>
      </c>
      <c r="L592" s="3" t="str">
        <f t="shared" si="29"/>
        <v>FAIL</v>
      </c>
    </row>
    <row r="593" spans="1:12" ht="14.25" customHeight="1">
      <c r="A593" s="3">
        <v>592</v>
      </c>
      <c r="B593" s="3" t="s">
        <v>3943</v>
      </c>
      <c r="C593" s="3" t="s">
        <v>1033</v>
      </c>
      <c r="D593" s="3">
        <v>9876544242</v>
      </c>
      <c r="E593" s="3" t="s">
        <v>4420</v>
      </c>
      <c r="F593" s="3" t="str" cm="1">
        <f t="array" ref="F593">IF(E593="","",_xlfn.XLOOKUP(E593,{"FIRST","SECOND","THIRD","FOURTH"},{"SEM-1","SEM-2","SEM-3","SEM-4"},""))</f>
        <v>SEM-3</v>
      </c>
      <c r="G593" s="3">
        <v>2</v>
      </c>
      <c r="H593" s="3">
        <v>6</v>
      </c>
      <c r="I593" s="3">
        <v>6</v>
      </c>
      <c r="J593" s="3">
        <f t="shared" si="27"/>
        <v>14</v>
      </c>
      <c r="K593" s="3" t="str">
        <f t="shared" si="28"/>
        <v>F</v>
      </c>
      <c r="L593" s="3" t="str">
        <f t="shared" si="29"/>
        <v>FAIL</v>
      </c>
    </row>
    <row r="594" spans="1:12" ht="14.25" customHeight="1">
      <c r="A594" s="3">
        <v>593</v>
      </c>
      <c r="B594" s="3" t="s">
        <v>3443</v>
      </c>
      <c r="C594" s="3" t="s">
        <v>539</v>
      </c>
      <c r="D594" s="3">
        <v>9876543742</v>
      </c>
      <c r="E594" s="3" t="s">
        <v>4418</v>
      </c>
      <c r="F594" s="3" t="str" cm="1">
        <f t="array" ref="F594">IF(E594="","",_xlfn.XLOOKUP(E594,{"FIRST","SECOND","THIRD","FOURTH"},{"SEM-1","SEM-2","SEM-3","SEM-4"},""))</f>
        <v>SEM-1</v>
      </c>
      <c r="G594" s="3">
        <v>28</v>
      </c>
      <c r="H594" s="3">
        <v>89</v>
      </c>
      <c r="I594" s="3">
        <v>7</v>
      </c>
      <c r="J594" s="3">
        <f t="shared" si="27"/>
        <v>124</v>
      </c>
      <c r="K594" s="3" t="str">
        <f t="shared" si="28"/>
        <v>P</v>
      </c>
      <c r="L594" s="3" t="str">
        <f t="shared" si="29"/>
        <v>C</v>
      </c>
    </row>
    <row r="595" spans="1:12" ht="14.25" customHeight="1">
      <c r="A595" s="3">
        <v>594</v>
      </c>
      <c r="B595" s="3" t="s">
        <v>3073</v>
      </c>
      <c r="C595" s="3" t="s">
        <v>171</v>
      </c>
      <c r="D595" s="3">
        <v>9876543372</v>
      </c>
      <c r="E595" s="3" t="s">
        <v>4419</v>
      </c>
      <c r="F595" s="3" t="str" cm="1">
        <f t="array" ref="F595">IF(E595="","",_xlfn.XLOOKUP(E595,{"FIRST","SECOND","THIRD","FOURTH"},{"SEM-1","SEM-2","SEM-3","SEM-4"},""))</f>
        <v>SEM-2</v>
      </c>
      <c r="G595" s="3">
        <v>31</v>
      </c>
      <c r="H595" s="3">
        <v>7</v>
      </c>
      <c r="I595" s="3">
        <v>45</v>
      </c>
      <c r="J595" s="3">
        <f t="shared" si="27"/>
        <v>83</v>
      </c>
      <c r="K595" s="3" t="str">
        <f t="shared" si="28"/>
        <v>F</v>
      </c>
      <c r="L595" s="3" t="str">
        <f t="shared" si="29"/>
        <v>FAIL</v>
      </c>
    </row>
    <row r="596" spans="1:12" ht="14.25" customHeight="1">
      <c r="A596" s="3">
        <v>595</v>
      </c>
      <c r="B596" s="3" t="s">
        <v>4341</v>
      </c>
      <c r="C596" s="3" t="s">
        <v>1420</v>
      </c>
      <c r="D596" s="3">
        <v>9876544640</v>
      </c>
      <c r="E596" s="3" t="s">
        <v>4418</v>
      </c>
      <c r="F596" s="3" t="str" cm="1">
        <f t="array" ref="F596">IF(E596="","",_xlfn.XLOOKUP(E596,{"FIRST","SECOND","THIRD","FOURTH"},{"SEM-1","SEM-2","SEM-3","SEM-4"},""))</f>
        <v>SEM-1</v>
      </c>
      <c r="G596" s="3">
        <v>14</v>
      </c>
      <c r="H596" s="3">
        <v>0</v>
      </c>
      <c r="I596" s="3">
        <v>35</v>
      </c>
      <c r="J596" s="3">
        <f t="shared" si="27"/>
        <v>49</v>
      </c>
      <c r="K596" s="3" t="str">
        <f t="shared" si="28"/>
        <v>F</v>
      </c>
      <c r="L596" s="3" t="str">
        <f t="shared" si="29"/>
        <v>FAIL</v>
      </c>
    </row>
    <row r="597" spans="1:12" ht="14.25" customHeight="1">
      <c r="A597" s="3">
        <v>596</v>
      </c>
      <c r="B597" s="3" t="s">
        <v>4099</v>
      </c>
      <c r="C597" s="3" t="s">
        <v>1184</v>
      </c>
      <c r="D597" s="3">
        <v>9876544398</v>
      </c>
      <c r="E597" s="3" t="s">
        <v>4419</v>
      </c>
      <c r="F597" s="3" t="str" cm="1">
        <f t="array" ref="F597">IF(E597="","",_xlfn.XLOOKUP(E597,{"FIRST","SECOND","THIRD","FOURTH"},{"SEM-1","SEM-2","SEM-3","SEM-4"},""))</f>
        <v>SEM-2</v>
      </c>
      <c r="G597" s="3">
        <v>59</v>
      </c>
      <c r="H597" s="3">
        <v>23</v>
      </c>
      <c r="I597" s="3">
        <v>71</v>
      </c>
      <c r="J597" s="3">
        <f t="shared" si="27"/>
        <v>153</v>
      </c>
      <c r="K597" s="3" t="str">
        <f t="shared" si="28"/>
        <v>P</v>
      </c>
      <c r="L597" s="3" t="str">
        <f t="shared" si="29"/>
        <v>B</v>
      </c>
    </row>
    <row r="598" spans="1:12" ht="14.25" customHeight="1">
      <c r="A598" s="3">
        <v>597</v>
      </c>
      <c r="B598" s="3" t="s">
        <v>3779</v>
      </c>
      <c r="C598" s="3" t="s">
        <v>871</v>
      </c>
      <c r="D598" s="3">
        <v>9876544078</v>
      </c>
      <c r="E598" s="3" t="s">
        <v>4418</v>
      </c>
      <c r="F598" s="3" t="str" cm="1">
        <f t="array" ref="F598">IF(E598="","",_xlfn.XLOOKUP(E598,{"FIRST","SECOND","THIRD","FOURTH"},{"SEM-1","SEM-2","SEM-3","SEM-4"},""))</f>
        <v>SEM-1</v>
      </c>
      <c r="G598" s="3">
        <v>22</v>
      </c>
      <c r="H598" s="3">
        <v>43</v>
      </c>
      <c r="I598" s="3">
        <v>30</v>
      </c>
      <c r="J598" s="3">
        <f t="shared" si="27"/>
        <v>95</v>
      </c>
      <c r="K598" s="3" t="str">
        <f t="shared" si="28"/>
        <v>F</v>
      </c>
      <c r="L598" s="3" t="str">
        <f t="shared" si="29"/>
        <v>FAIL</v>
      </c>
    </row>
    <row r="599" spans="1:12" ht="14.25" customHeight="1">
      <c r="A599" s="3">
        <v>598</v>
      </c>
      <c r="B599" s="3" t="s">
        <v>4253</v>
      </c>
      <c r="C599" s="3" t="s">
        <v>1336</v>
      </c>
      <c r="D599" s="3">
        <v>9876544552</v>
      </c>
      <c r="E599" s="3" t="s">
        <v>4419</v>
      </c>
      <c r="F599" s="3" t="str" cm="1">
        <f t="array" ref="F599">IF(E599="","",_xlfn.XLOOKUP(E599,{"FIRST","SECOND","THIRD","FOURTH"},{"SEM-1","SEM-2","SEM-3","SEM-4"},""))</f>
        <v>SEM-2</v>
      </c>
      <c r="G599" s="3">
        <v>64</v>
      </c>
      <c r="H599" s="3">
        <v>89</v>
      </c>
      <c r="I599" s="3">
        <v>88</v>
      </c>
      <c r="J599" s="3">
        <f t="shared" si="27"/>
        <v>241</v>
      </c>
      <c r="K599" s="3" t="str">
        <f t="shared" si="28"/>
        <v>P</v>
      </c>
      <c r="L599" s="3" t="str">
        <f t="shared" si="29"/>
        <v>A</v>
      </c>
    </row>
    <row r="600" spans="1:12" ht="14.25" customHeight="1">
      <c r="A600" s="3">
        <v>599</v>
      </c>
      <c r="B600" s="3" t="s">
        <v>3942</v>
      </c>
      <c r="C600" s="3" t="s">
        <v>1032</v>
      </c>
      <c r="D600" s="3">
        <v>9876544241</v>
      </c>
      <c r="E600" s="3" t="s">
        <v>4419</v>
      </c>
      <c r="F600" s="3" t="str" cm="1">
        <f t="array" ref="F600">IF(E600="","",_xlfn.XLOOKUP(E600,{"FIRST","SECOND","THIRD","FOURTH"},{"SEM-1","SEM-2","SEM-3","SEM-4"},""))</f>
        <v>SEM-2</v>
      </c>
      <c r="G600" s="3">
        <v>44</v>
      </c>
      <c r="H600" s="3">
        <v>67</v>
      </c>
      <c r="I600" s="3">
        <v>13</v>
      </c>
      <c r="J600" s="3">
        <f t="shared" si="27"/>
        <v>124</v>
      </c>
      <c r="K600" s="3" t="str">
        <f t="shared" si="28"/>
        <v>P</v>
      </c>
      <c r="L600" s="3" t="str">
        <f t="shared" si="29"/>
        <v>C</v>
      </c>
    </row>
    <row r="601" spans="1:12" ht="14.25" customHeight="1">
      <c r="A601" s="3">
        <v>600</v>
      </c>
      <c r="B601" s="3" t="s">
        <v>4264</v>
      </c>
      <c r="C601" s="3" t="s">
        <v>1346</v>
      </c>
      <c r="D601" s="3">
        <v>9876544563</v>
      </c>
      <c r="E601" s="3" t="s">
        <v>4420</v>
      </c>
      <c r="F601" s="3" t="str" cm="1">
        <f t="array" ref="F601">IF(E601="","",_xlfn.XLOOKUP(E601,{"FIRST","SECOND","THIRD","FOURTH"},{"SEM-1","SEM-2","SEM-3","SEM-4"},""))</f>
        <v>SEM-3</v>
      </c>
      <c r="G601" s="3">
        <v>16</v>
      </c>
      <c r="H601" s="3">
        <v>65</v>
      </c>
      <c r="I601" s="3">
        <v>46</v>
      </c>
      <c r="J601" s="3">
        <f t="shared" si="27"/>
        <v>127</v>
      </c>
      <c r="K601" s="3" t="str">
        <f t="shared" si="28"/>
        <v>P</v>
      </c>
      <c r="L601" s="3" t="str">
        <f t="shared" si="29"/>
        <v>C</v>
      </c>
    </row>
    <row r="602" spans="1:12" ht="14.25" customHeight="1">
      <c r="A602" s="3">
        <v>601</v>
      </c>
      <c r="B602" s="3" t="s">
        <v>3859</v>
      </c>
      <c r="C602" s="3" t="s">
        <v>951</v>
      </c>
      <c r="D602" s="3">
        <v>9876544158</v>
      </c>
      <c r="E602" s="3" t="s">
        <v>4420</v>
      </c>
      <c r="F602" s="3" t="str" cm="1">
        <f t="array" ref="F602">IF(E602="","",_xlfn.XLOOKUP(E602,{"FIRST","SECOND","THIRD","FOURTH"},{"SEM-1","SEM-2","SEM-3","SEM-4"},""))</f>
        <v>SEM-3</v>
      </c>
      <c r="G602" s="3">
        <v>42</v>
      </c>
      <c r="H602" s="3">
        <v>25</v>
      </c>
      <c r="I602" s="3">
        <v>59</v>
      </c>
      <c r="J602" s="3">
        <f t="shared" si="27"/>
        <v>126</v>
      </c>
      <c r="K602" s="3" t="str">
        <f t="shared" si="28"/>
        <v>P</v>
      </c>
      <c r="L602" s="3" t="str">
        <f t="shared" si="29"/>
        <v>C</v>
      </c>
    </row>
    <row r="603" spans="1:12" ht="14.25" customHeight="1">
      <c r="A603" s="3">
        <v>602</v>
      </c>
      <c r="B603" s="3" t="s">
        <v>3529</v>
      </c>
      <c r="C603" s="3" t="s">
        <v>624</v>
      </c>
      <c r="D603" s="3">
        <v>9876543828</v>
      </c>
      <c r="E603" s="3" t="s">
        <v>4419</v>
      </c>
      <c r="F603" s="3" t="str" cm="1">
        <f t="array" ref="F603">IF(E603="","",_xlfn.XLOOKUP(E603,{"FIRST","SECOND","THIRD","FOURTH"},{"SEM-1","SEM-2","SEM-3","SEM-4"},""))</f>
        <v>SEM-2</v>
      </c>
      <c r="G603" s="3">
        <v>73</v>
      </c>
      <c r="H603" s="3">
        <v>14</v>
      </c>
      <c r="I603" s="3">
        <v>15</v>
      </c>
      <c r="J603" s="3">
        <f t="shared" si="27"/>
        <v>102</v>
      </c>
      <c r="K603" s="3" t="str">
        <f t="shared" si="28"/>
        <v>P</v>
      </c>
      <c r="L603" s="3" t="str">
        <f t="shared" si="29"/>
        <v>FAIL</v>
      </c>
    </row>
    <row r="604" spans="1:12" ht="14.25" customHeight="1">
      <c r="A604" s="3">
        <v>603</v>
      </c>
      <c r="B604" s="3" t="s">
        <v>3787</v>
      </c>
      <c r="C604" s="3" t="s">
        <v>879</v>
      </c>
      <c r="D604" s="3">
        <v>9876544086</v>
      </c>
      <c r="E604" s="3" t="s">
        <v>4420</v>
      </c>
      <c r="F604" s="3" t="str" cm="1">
        <f t="array" ref="F604">IF(E604="","",_xlfn.XLOOKUP(E604,{"FIRST","SECOND","THIRD","FOURTH"},{"SEM-1","SEM-2","SEM-3","SEM-4"},""))</f>
        <v>SEM-3</v>
      </c>
      <c r="G604" s="3">
        <v>29</v>
      </c>
      <c r="H604" s="3">
        <v>16</v>
      </c>
      <c r="I604" s="3">
        <v>92</v>
      </c>
      <c r="J604" s="3">
        <f t="shared" si="27"/>
        <v>137</v>
      </c>
      <c r="K604" s="3" t="str">
        <f t="shared" si="28"/>
        <v>P</v>
      </c>
      <c r="L604" s="3" t="str">
        <f t="shared" si="29"/>
        <v>C</v>
      </c>
    </row>
    <row r="605" spans="1:12" ht="14.25" customHeight="1">
      <c r="A605" s="3">
        <v>604</v>
      </c>
      <c r="B605" s="3" t="s">
        <v>3800</v>
      </c>
      <c r="C605" s="3" t="s">
        <v>892</v>
      </c>
      <c r="D605" s="3">
        <v>9876544099</v>
      </c>
      <c r="E605" s="3" t="s">
        <v>4419</v>
      </c>
      <c r="F605" s="3" t="str" cm="1">
        <f t="array" ref="F605">IF(E605="","",_xlfn.XLOOKUP(E605,{"FIRST","SECOND","THIRD","FOURTH"},{"SEM-1","SEM-2","SEM-3","SEM-4"},""))</f>
        <v>SEM-2</v>
      </c>
      <c r="G605" s="3">
        <v>17</v>
      </c>
      <c r="H605" s="3">
        <v>10</v>
      </c>
      <c r="I605" s="3">
        <v>81</v>
      </c>
      <c r="J605" s="3">
        <f t="shared" si="27"/>
        <v>108</v>
      </c>
      <c r="K605" s="3" t="str">
        <f t="shared" si="28"/>
        <v>P</v>
      </c>
      <c r="L605" s="3" t="str">
        <f t="shared" si="29"/>
        <v>FAIL</v>
      </c>
    </row>
    <row r="606" spans="1:12" ht="14.25" customHeight="1">
      <c r="A606" s="3">
        <v>605</v>
      </c>
      <c r="B606" s="3" t="s">
        <v>3560</v>
      </c>
      <c r="C606" s="3" t="s">
        <v>654</v>
      </c>
      <c r="D606" s="3">
        <v>9876543859</v>
      </c>
      <c r="E606" s="3" t="s">
        <v>4419</v>
      </c>
      <c r="F606" s="3" t="str" cm="1">
        <f t="array" ref="F606">IF(E606="","",_xlfn.XLOOKUP(E606,{"FIRST","SECOND","THIRD","FOURTH"},{"SEM-1","SEM-2","SEM-3","SEM-4"},""))</f>
        <v>SEM-2</v>
      </c>
      <c r="G606" s="3">
        <v>22</v>
      </c>
      <c r="H606" s="3">
        <v>91</v>
      </c>
      <c r="I606" s="3">
        <v>86</v>
      </c>
      <c r="J606" s="3">
        <f t="shared" si="27"/>
        <v>199</v>
      </c>
      <c r="K606" s="3" t="str">
        <f t="shared" si="28"/>
        <v>P</v>
      </c>
      <c r="L606" s="3" t="str">
        <f t="shared" si="29"/>
        <v>A</v>
      </c>
    </row>
    <row r="607" spans="1:12" ht="14.25" customHeight="1">
      <c r="A607" s="3">
        <v>606</v>
      </c>
      <c r="B607" s="3" t="s">
        <v>4278</v>
      </c>
      <c r="C607" s="3" t="s">
        <v>1359</v>
      </c>
      <c r="D607" s="3">
        <v>9876544577</v>
      </c>
      <c r="E607" s="3" t="s">
        <v>4418</v>
      </c>
      <c r="F607" s="3" t="str" cm="1">
        <f t="array" ref="F607">IF(E607="","",_xlfn.XLOOKUP(E607,{"FIRST","SECOND","THIRD","FOURTH"},{"SEM-1","SEM-2","SEM-3","SEM-4"},""))</f>
        <v>SEM-1</v>
      </c>
      <c r="G607" s="3">
        <v>74</v>
      </c>
      <c r="H607" s="3">
        <v>83</v>
      </c>
      <c r="I607" s="3">
        <v>90</v>
      </c>
      <c r="J607" s="3">
        <f t="shared" si="27"/>
        <v>247</v>
      </c>
      <c r="K607" s="3" t="str">
        <f t="shared" si="28"/>
        <v>P</v>
      </c>
      <c r="L607" s="3" t="str">
        <f t="shared" si="29"/>
        <v>A</v>
      </c>
    </row>
    <row r="608" spans="1:12" ht="14.25" customHeight="1">
      <c r="A608" s="3">
        <v>607</v>
      </c>
      <c r="B608" s="3" t="s">
        <v>3353</v>
      </c>
      <c r="C608" s="3" t="s">
        <v>449</v>
      </c>
      <c r="D608" s="3">
        <v>9876543652</v>
      </c>
      <c r="E608" s="3" t="s">
        <v>4418</v>
      </c>
      <c r="F608" s="3" t="str" cm="1">
        <f t="array" ref="F608">IF(E608="","",_xlfn.XLOOKUP(E608,{"FIRST","SECOND","THIRD","FOURTH"},{"SEM-1","SEM-2","SEM-3","SEM-4"},""))</f>
        <v>SEM-1</v>
      </c>
      <c r="G608" s="3">
        <v>56</v>
      </c>
      <c r="H608" s="3">
        <v>36</v>
      </c>
      <c r="I608" s="3">
        <v>45</v>
      </c>
      <c r="J608" s="3">
        <f t="shared" si="27"/>
        <v>137</v>
      </c>
      <c r="K608" s="3" t="str">
        <f t="shared" si="28"/>
        <v>P</v>
      </c>
      <c r="L608" s="3" t="str">
        <f t="shared" si="29"/>
        <v>C</v>
      </c>
    </row>
    <row r="609" spans="1:12" ht="14.25" customHeight="1">
      <c r="A609" s="3">
        <v>608</v>
      </c>
      <c r="B609" s="3" t="s">
        <v>2913</v>
      </c>
      <c r="C609" s="3" t="s">
        <v>11</v>
      </c>
      <c r="D609" s="3">
        <v>9876543212</v>
      </c>
      <c r="E609" s="3" t="s">
        <v>4419</v>
      </c>
      <c r="F609" s="3" t="str" cm="1">
        <f t="array" ref="F609">IF(E609="","",_xlfn.XLOOKUP(E609,{"FIRST","SECOND","THIRD","FOURTH"},{"SEM-1","SEM-2","SEM-3","SEM-4"},""))</f>
        <v>SEM-2</v>
      </c>
      <c r="G609" s="3">
        <v>100</v>
      </c>
      <c r="H609" s="3">
        <v>87</v>
      </c>
      <c r="I609" s="3">
        <v>47</v>
      </c>
      <c r="J609" s="3">
        <f t="shared" si="27"/>
        <v>234</v>
      </c>
      <c r="K609" s="3" t="str">
        <f t="shared" si="28"/>
        <v>P</v>
      </c>
      <c r="L609" s="3" t="str">
        <f t="shared" si="29"/>
        <v>A</v>
      </c>
    </row>
    <row r="610" spans="1:12" ht="14.25" customHeight="1">
      <c r="A610" s="3">
        <v>609</v>
      </c>
      <c r="B610" s="3" t="s">
        <v>3076</v>
      </c>
      <c r="C610" s="3" t="s">
        <v>174</v>
      </c>
      <c r="D610" s="3">
        <v>9876543375</v>
      </c>
      <c r="E610" s="3" t="s">
        <v>4418</v>
      </c>
      <c r="F610" s="3" t="str" cm="1">
        <f t="array" ref="F610">IF(E610="","",_xlfn.XLOOKUP(E610,{"FIRST","SECOND","THIRD","FOURTH"},{"SEM-1","SEM-2","SEM-3","SEM-4"},""))</f>
        <v>SEM-1</v>
      </c>
      <c r="G610" s="3">
        <v>99</v>
      </c>
      <c r="H610" s="3">
        <v>84</v>
      </c>
      <c r="I610" s="3">
        <v>35</v>
      </c>
      <c r="J610" s="3">
        <f t="shared" si="27"/>
        <v>218</v>
      </c>
      <c r="K610" s="3" t="str">
        <f t="shared" si="28"/>
        <v>P</v>
      </c>
      <c r="L610" s="3" t="str">
        <f t="shared" si="29"/>
        <v>A</v>
      </c>
    </row>
    <row r="611" spans="1:12" ht="14.25" customHeight="1">
      <c r="A611" s="3">
        <v>610</v>
      </c>
      <c r="B611" s="3" t="s">
        <v>3006</v>
      </c>
      <c r="C611" s="3" t="s">
        <v>104</v>
      </c>
      <c r="D611" s="3">
        <v>9876543305</v>
      </c>
      <c r="E611" s="3" t="s">
        <v>4420</v>
      </c>
      <c r="F611" s="3" t="str" cm="1">
        <f t="array" ref="F611">IF(E611="","",_xlfn.XLOOKUP(E611,{"FIRST","SECOND","THIRD","FOURTH"},{"SEM-1","SEM-2","SEM-3","SEM-4"},""))</f>
        <v>SEM-3</v>
      </c>
      <c r="G611" s="3">
        <v>38</v>
      </c>
      <c r="H611" s="3">
        <v>60</v>
      </c>
      <c r="I611" s="3">
        <v>31</v>
      </c>
      <c r="J611" s="3">
        <f t="shared" si="27"/>
        <v>129</v>
      </c>
      <c r="K611" s="3" t="str">
        <f t="shared" si="28"/>
        <v>P</v>
      </c>
      <c r="L611" s="3" t="str">
        <f t="shared" si="29"/>
        <v>C</v>
      </c>
    </row>
    <row r="612" spans="1:12" ht="14.25" customHeight="1">
      <c r="A612" s="3">
        <v>611</v>
      </c>
      <c r="B612" s="3" t="s">
        <v>3499</v>
      </c>
      <c r="C612" s="3" t="s">
        <v>594</v>
      </c>
      <c r="D612" s="3">
        <v>9876543798</v>
      </c>
      <c r="E612" s="3" t="s">
        <v>4419</v>
      </c>
      <c r="F612" s="3" t="str" cm="1">
        <f t="array" ref="F612">IF(E612="","",_xlfn.XLOOKUP(E612,{"FIRST","SECOND","THIRD","FOURTH"},{"SEM-1","SEM-2","SEM-3","SEM-4"},""))</f>
        <v>SEM-2</v>
      </c>
      <c r="G612" s="3">
        <v>75</v>
      </c>
      <c r="H612" s="3">
        <v>58</v>
      </c>
      <c r="I612" s="3">
        <v>8</v>
      </c>
      <c r="J612" s="3">
        <f t="shared" si="27"/>
        <v>141</v>
      </c>
      <c r="K612" s="3" t="str">
        <f t="shared" si="28"/>
        <v>P</v>
      </c>
      <c r="L612" s="3" t="str">
        <f t="shared" si="29"/>
        <v>C</v>
      </c>
    </row>
    <row r="613" spans="1:12" ht="14.25" customHeight="1">
      <c r="A613" s="3">
        <v>612</v>
      </c>
      <c r="B613" s="3" t="s">
        <v>3982</v>
      </c>
      <c r="C613" s="3" t="s">
        <v>1072</v>
      </c>
      <c r="D613" s="3">
        <v>9876544281</v>
      </c>
      <c r="E613" s="3" t="s">
        <v>4420</v>
      </c>
      <c r="F613" s="3" t="str" cm="1">
        <f t="array" ref="F613">IF(E613="","",_xlfn.XLOOKUP(E613,{"FIRST","SECOND","THIRD","FOURTH"},{"SEM-1","SEM-2","SEM-3","SEM-4"},""))</f>
        <v>SEM-3</v>
      </c>
      <c r="G613" s="3">
        <v>21</v>
      </c>
      <c r="H613" s="3">
        <v>70</v>
      </c>
      <c r="I613" s="3">
        <v>39</v>
      </c>
      <c r="J613" s="3">
        <f t="shared" si="27"/>
        <v>130</v>
      </c>
      <c r="K613" s="3" t="str">
        <f t="shared" si="28"/>
        <v>P</v>
      </c>
      <c r="L613" s="3" t="str">
        <f t="shared" si="29"/>
        <v>C</v>
      </c>
    </row>
    <row r="614" spans="1:12" ht="14.25" customHeight="1">
      <c r="A614" s="3">
        <v>613</v>
      </c>
      <c r="B614" s="3" t="s">
        <v>4292</v>
      </c>
      <c r="C614" s="3" t="s">
        <v>1373</v>
      </c>
      <c r="D614" s="3">
        <v>9876544591</v>
      </c>
      <c r="E614" s="3" t="s">
        <v>4419</v>
      </c>
      <c r="F614" s="3" t="str" cm="1">
        <f t="array" ref="F614">IF(E614="","",_xlfn.XLOOKUP(E614,{"FIRST","SECOND","THIRD","FOURTH"},{"SEM-1","SEM-2","SEM-3","SEM-4"},""))</f>
        <v>SEM-2</v>
      </c>
      <c r="G614" s="3">
        <v>19</v>
      </c>
      <c r="H614" s="3">
        <v>53</v>
      </c>
      <c r="I614" s="3">
        <v>86</v>
      </c>
      <c r="J614" s="3">
        <f t="shared" si="27"/>
        <v>158</v>
      </c>
      <c r="K614" s="3" t="str">
        <f t="shared" si="28"/>
        <v>P</v>
      </c>
      <c r="L614" s="3" t="str">
        <f t="shared" si="29"/>
        <v>B</v>
      </c>
    </row>
    <row r="615" spans="1:12" ht="14.25" customHeight="1">
      <c r="A615" s="3">
        <v>614</v>
      </c>
      <c r="B615" s="3" t="s">
        <v>4152</v>
      </c>
      <c r="C615" s="3" t="s">
        <v>1237</v>
      </c>
      <c r="D615" s="3">
        <v>9876544451</v>
      </c>
      <c r="E615" s="3" t="s">
        <v>4419</v>
      </c>
      <c r="F615" s="3" t="str" cm="1">
        <f t="array" ref="F615">IF(E615="","",_xlfn.XLOOKUP(E615,{"FIRST","SECOND","THIRD","FOURTH"},{"SEM-1","SEM-2","SEM-3","SEM-4"},""))</f>
        <v>SEM-2</v>
      </c>
      <c r="G615" s="3">
        <v>85</v>
      </c>
      <c r="H615" s="3">
        <v>80</v>
      </c>
      <c r="I615" s="3">
        <v>38</v>
      </c>
      <c r="J615" s="3">
        <f t="shared" si="27"/>
        <v>203</v>
      </c>
      <c r="K615" s="3" t="str">
        <f t="shared" si="28"/>
        <v>P</v>
      </c>
      <c r="L615" s="3" t="str">
        <f t="shared" si="29"/>
        <v>A</v>
      </c>
    </row>
    <row r="616" spans="1:12" ht="14.25" customHeight="1">
      <c r="A616" s="3">
        <v>615</v>
      </c>
      <c r="B616" s="3" t="s">
        <v>3226</v>
      </c>
      <c r="C616" s="3" t="s">
        <v>323</v>
      </c>
      <c r="D616" s="3">
        <v>9876543525</v>
      </c>
      <c r="E616" s="3" t="s">
        <v>4419</v>
      </c>
      <c r="F616" s="3" t="str" cm="1">
        <f t="array" ref="F616">IF(E616="","",_xlfn.XLOOKUP(E616,{"FIRST","SECOND","THIRD","FOURTH"},{"SEM-1","SEM-2","SEM-3","SEM-4"},""))</f>
        <v>SEM-2</v>
      </c>
      <c r="G616" s="3">
        <v>56</v>
      </c>
      <c r="H616" s="3">
        <v>42</v>
      </c>
      <c r="I616" s="3">
        <v>79</v>
      </c>
      <c r="J616" s="3">
        <f t="shared" si="27"/>
        <v>177</v>
      </c>
      <c r="K616" s="3" t="str">
        <f t="shared" si="28"/>
        <v>P</v>
      </c>
      <c r="L616" s="3" t="str">
        <f t="shared" si="29"/>
        <v>B</v>
      </c>
    </row>
    <row r="617" spans="1:12" ht="14.25" customHeight="1">
      <c r="A617" s="3">
        <v>616</v>
      </c>
      <c r="B617" s="3" t="s">
        <v>3700</v>
      </c>
      <c r="C617" s="3" t="s">
        <v>793</v>
      </c>
      <c r="D617" s="3">
        <v>9876543999</v>
      </c>
      <c r="E617" s="3" t="s">
        <v>4418</v>
      </c>
      <c r="F617" s="3" t="str" cm="1">
        <f t="array" ref="F617">IF(E617="","",_xlfn.XLOOKUP(E617,{"FIRST","SECOND","THIRD","FOURTH"},{"SEM-1","SEM-2","SEM-3","SEM-4"},""))</f>
        <v>SEM-1</v>
      </c>
      <c r="G617" s="3">
        <v>7</v>
      </c>
      <c r="H617" s="3">
        <v>2</v>
      </c>
      <c r="I617" s="3">
        <v>12</v>
      </c>
      <c r="J617" s="3">
        <f t="shared" si="27"/>
        <v>21</v>
      </c>
      <c r="K617" s="3" t="str">
        <f t="shared" si="28"/>
        <v>F</v>
      </c>
      <c r="L617" s="3" t="str">
        <f t="shared" si="29"/>
        <v>FAIL</v>
      </c>
    </row>
    <row r="618" spans="1:12" ht="14.25" customHeight="1">
      <c r="A618" s="3">
        <v>617</v>
      </c>
      <c r="B618" s="3" t="s">
        <v>3003</v>
      </c>
      <c r="C618" s="3" t="s">
        <v>101</v>
      </c>
      <c r="D618" s="3">
        <v>9876543302</v>
      </c>
      <c r="E618" s="3" t="s">
        <v>4420</v>
      </c>
      <c r="F618" s="3" t="str" cm="1">
        <f t="array" ref="F618">IF(E618="","",_xlfn.XLOOKUP(E618,{"FIRST","SECOND","THIRD","FOURTH"},{"SEM-1","SEM-2","SEM-3","SEM-4"},""))</f>
        <v>SEM-3</v>
      </c>
      <c r="G618" s="3">
        <v>74</v>
      </c>
      <c r="H618" s="3">
        <v>97</v>
      </c>
      <c r="I618" s="3">
        <v>78</v>
      </c>
      <c r="J618" s="3">
        <f t="shared" si="27"/>
        <v>249</v>
      </c>
      <c r="K618" s="3" t="str">
        <f t="shared" si="28"/>
        <v>P</v>
      </c>
      <c r="L618" s="3" t="str">
        <f t="shared" si="29"/>
        <v>A</v>
      </c>
    </row>
    <row r="619" spans="1:12" ht="14.25" customHeight="1">
      <c r="A619" s="3">
        <v>618</v>
      </c>
      <c r="B619" s="3" t="s">
        <v>3572</v>
      </c>
      <c r="C619" s="3" t="s">
        <v>666</v>
      </c>
      <c r="D619" s="3">
        <v>9876543871</v>
      </c>
      <c r="E619" s="3" t="s">
        <v>4419</v>
      </c>
      <c r="F619" s="3" t="str" cm="1">
        <f t="array" ref="F619">IF(E619="","",_xlfn.XLOOKUP(E619,{"FIRST","SECOND","THIRD","FOURTH"},{"SEM-1","SEM-2","SEM-3","SEM-4"},""))</f>
        <v>SEM-2</v>
      </c>
      <c r="G619" s="3">
        <v>68</v>
      </c>
      <c r="H619" s="3">
        <v>6</v>
      </c>
      <c r="I619" s="3">
        <v>10</v>
      </c>
      <c r="J619" s="3">
        <f t="shared" si="27"/>
        <v>84</v>
      </c>
      <c r="K619" s="3" t="str">
        <f t="shared" si="28"/>
        <v>F</v>
      </c>
      <c r="L619" s="3" t="str">
        <f t="shared" si="29"/>
        <v>FAIL</v>
      </c>
    </row>
    <row r="620" spans="1:12" ht="14.25" customHeight="1">
      <c r="A620" s="3">
        <v>619</v>
      </c>
      <c r="B620" s="3" t="s">
        <v>4216</v>
      </c>
      <c r="C620" s="3" t="s">
        <v>1299</v>
      </c>
      <c r="D620" s="3">
        <v>9876544515</v>
      </c>
      <c r="E620" s="3" t="s">
        <v>4420</v>
      </c>
      <c r="F620" s="3" t="str" cm="1">
        <f t="array" ref="F620">IF(E620="","",_xlfn.XLOOKUP(E620,{"FIRST","SECOND","THIRD","FOURTH"},{"SEM-1","SEM-2","SEM-3","SEM-4"},""))</f>
        <v>SEM-3</v>
      </c>
      <c r="G620" s="3">
        <v>1</v>
      </c>
      <c r="H620" s="3">
        <v>10</v>
      </c>
      <c r="I620" s="3">
        <v>88</v>
      </c>
      <c r="J620" s="3">
        <f t="shared" si="27"/>
        <v>99</v>
      </c>
      <c r="K620" s="3" t="str">
        <f t="shared" si="28"/>
        <v>P</v>
      </c>
      <c r="L620" s="3" t="str">
        <f t="shared" si="29"/>
        <v>FAIL</v>
      </c>
    </row>
    <row r="621" spans="1:12" ht="14.25" customHeight="1">
      <c r="A621" s="3">
        <v>620</v>
      </c>
      <c r="B621" s="3" t="s">
        <v>4067</v>
      </c>
      <c r="C621" s="3" t="s">
        <v>1153</v>
      </c>
      <c r="D621" s="3">
        <v>9876544366</v>
      </c>
      <c r="E621" s="3" t="s">
        <v>4420</v>
      </c>
      <c r="F621" s="3" t="str" cm="1">
        <f t="array" ref="F621">IF(E621="","",_xlfn.XLOOKUP(E621,{"FIRST","SECOND","THIRD","FOURTH"},{"SEM-1","SEM-2","SEM-3","SEM-4"},""))</f>
        <v>SEM-3</v>
      </c>
      <c r="G621" s="3">
        <v>53</v>
      </c>
      <c r="H621" s="3">
        <v>71</v>
      </c>
      <c r="I621" s="3">
        <v>53</v>
      </c>
      <c r="J621" s="3">
        <f t="shared" si="27"/>
        <v>177</v>
      </c>
      <c r="K621" s="3" t="str">
        <f t="shared" si="28"/>
        <v>P</v>
      </c>
      <c r="L621" s="3" t="str">
        <f t="shared" si="29"/>
        <v>B</v>
      </c>
    </row>
    <row r="622" spans="1:12" ht="14.25" customHeight="1">
      <c r="A622" s="3">
        <v>621</v>
      </c>
      <c r="B622" s="3" t="s">
        <v>3789</v>
      </c>
      <c r="C622" s="3" t="s">
        <v>881</v>
      </c>
      <c r="D622" s="3">
        <v>9876544088</v>
      </c>
      <c r="E622" s="3" t="s">
        <v>4419</v>
      </c>
      <c r="F622" s="3" t="str" cm="1">
        <f t="array" ref="F622">IF(E622="","",_xlfn.XLOOKUP(E622,{"FIRST","SECOND","THIRD","FOURTH"},{"SEM-1","SEM-2","SEM-3","SEM-4"},""))</f>
        <v>SEM-2</v>
      </c>
      <c r="G622" s="3">
        <v>71</v>
      </c>
      <c r="H622" s="3">
        <v>1</v>
      </c>
      <c r="I622" s="3">
        <v>64</v>
      </c>
      <c r="J622" s="3">
        <f t="shared" si="27"/>
        <v>136</v>
      </c>
      <c r="K622" s="3" t="str">
        <f t="shared" si="28"/>
        <v>P</v>
      </c>
      <c r="L622" s="3" t="str">
        <f t="shared" si="29"/>
        <v>C</v>
      </c>
    </row>
    <row r="623" spans="1:12" ht="14.25" customHeight="1">
      <c r="A623" s="3">
        <v>622</v>
      </c>
      <c r="B623" s="3" t="s">
        <v>4183</v>
      </c>
      <c r="C623" s="3" t="s">
        <v>1268</v>
      </c>
      <c r="D623" s="3">
        <v>9876544482</v>
      </c>
      <c r="E623" s="3" t="s">
        <v>4420</v>
      </c>
      <c r="F623" s="3" t="str" cm="1">
        <f t="array" ref="F623">IF(E623="","",_xlfn.XLOOKUP(E623,{"FIRST","SECOND","THIRD","FOURTH"},{"SEM-1","SEM-2","SEM-3","SEM-4"},""))</f>
        <v>SEM-3</v>
      </c>
      <c r="G623" s="3">
        <v>32</v>
      </c>
      <c r="H623" s="3">
        <v>8</v>
      </c>
      <c r="I623" s="3">
        <v>30</v>
      </c>
      <c r="J623" s="3">
        <f t="shared" si="27"/>
        <v>70</v>
      </c>
      <c r="K623" s="3" t="str">
        <f t="shared" si="28"/>
        <v>F</v>
      </c>
      <c r="L623" s="3" t="str">
        <f t="shared" si="29"/>
        <v>FAIL</v>
      </c>
    </row>
    <row r="624" spans="1:12" ht="14.25" customHeight="1">
      <c r="A624" s="3">
        <v>623</v>
      </c>
      <c r="B624" s="3" t="s">
        <v>4078</v>
      </c>
      <c r="C624" s="3" t="s">
        <v>1164</v>
      </c>
      <c r="D624" s="3">
        <v>9876544377</v>
      </c>
      <c r="E624" s="3" t="s">
        <v>4419</v>
      </c>
      <c r="F624" s="3" t="str" cm="1">
        <f t="array" ref="F624">IF(E624="","",_xlfn.XLOOKUP(E624,{"FIRST","SECOND","THIRD","FOURTH"},{"SEM-1","SEM-2","SEM-3","SEM-4"},""))</f>
        <v>SEM-2</v>
      </c>
      <c r="G624" s="3">
        <v>3</v>
      </c>
      <c r="H624" s="3">
        <v>21</v>
      </c>
      <c r="I624" s="3">
        <v>68</v>
      </c>
      <c r="J624" s="3">
        <f t="shared" si="27"/>
        <v>92</v>
      </c>
      <c r="K624" s="3" t="str">
        <f t="shared" si="28"/>
        <v>F</v>
      </c>
      <c r="L624" s="3" t="str">
        <f t="shared" si="29"/>
        <v>FAIL</v>
      </c>
    </row>
    <row r="625" spans="1:12" ht="14.25" customHeight="1">
      <c r="A625" s="3">
        <v>624</v>
      </c>
      <c r="B625" s="3" t="s">
        <v>4049</v>
      </c>
      <c r="C625" s="3" t="s">
        <v>1137</v>
      </c>
      <c r="D625" s="3">
        <v>9876544348</v>
      </c>
      <c r="E625" s="3" t="s">
        <v>4419</v>
      </c>
      <c r="F625" s="3" t="str" cm="1">
        <f t="array" ref="F625">IF(E625="","",_xlfn.XLOOKUP(E625,{"FIRST","SECOND","THIRD","FOURTH"},{"SEM-1","SEM-2","SEM-3","SEM-4"},""))</f>
        <v>SEM-2</v>
      </c>
      <c r="G625" s="3">
        <v>64</v>
      </c>
      <c r="H625" s="3">
        <v>11</v>
      </c>
      <c r="I625" s="3">
        <v>70</v>
      </c>
      <c r="J625" s="3">
        <f t="shared" si="27"/>
        <v>145</v>
      </c>
      <c r="K625" s="3" t="str">
        <f t="shared" si="28"/>
        <v>P</v>
      </c>
      <c r="L625" s="3" t="str">
        <f t="shared" si="29"/>
        <v>C</v>
      </c>
    </row>
    <row r="626" spans="1:12" ht="14.25" customHeight="1">
      <c r="A626" s="3">
        <v>625</v>
      </c>
      <c r="B626" s="3" t="s">
        <v>4301</v>
      </c>
      <c r="C626" s="3" t="s">
        <v>1382</v>
      </c>
      <c r="D626" s="3">
        <v>9876544600</v>
      </c>
      <c r="E626" s="3" t="s">
        <v>4420</v>
      </c>
      <c r="F626" s="3" t="str" cm="1">
        <f t="array" ref="F626">IF(E626="","",_xlfn.XLOOKUP(E626,{"FIRST","SECOND","THIRD","FOURTH"},{"SEM-1","SEM-2","SEM-3","SEM-4"},""))</f>
        <v>SEM-3</v>
      </c>
      <c r="G626" s="3">
        <v>60</v>
      </c>
      <c r="H626" s="3">
        <v>86</v>
      </c>
      <c r="I626" s="3">
        <v>37</v>
      </c>
      <c r="J626" s="3">
        <f t="shared" si="27"/>
        <v>183</v>
      </c>
      <c r="K626" s="3" t="str">
        <f t="shared" si="28"/>
        <v>P</v>
      </c>
      <c r="L626" s="3" t="str">
        <f t="shared" si="29"/>
        <v>B</v>
      </c>
    </row>
    <row r="627" spans="1:12" ht="14.25" customHeight="1">
      <c r="A627" s="3">
        <v>626</v>
      </c>
      <c r="B627" s="3" t="s">
        <v>3638</v>
      </c>
      <c r="C627" s="3" t="s">
        <v>732</v>
      </c>
      <c r="D627" s="3">
        <v>9876543937</v>
      </c>
      <c r="E627" s="3" t="s">
        <v>4418</v>
      </c>
      <c r="F627" s="3" t="str" cm="1">
        <f t="array" ref="F627">IF(E627="","",_xlfn.XLOOKUP(E627,{"FIRST","SECOND","THIRD","FOURTH"},{"SEM-1","SEM-2","SEM-3","SEM-4"},""))</f>
        <v>SEM-1</v>
      </c>
      <c r="G627" s="3">
        <v>30</v>
      </c>
      <c r="H627" s="3">
        <v>42</v>
      </c>
      <c r="I627" s="3">
        <v>43</v>
      </c>
      <c r="J627" s="3">
        <f t="shared" si="27"/>
        <v>115</v>
      </c>
      <c r="K627" s="3" t="str">
        <f t="shared" si="28"/>
        <v>F</v>
      </c>
      <c r="L627" s="3" t="str">
        <f t="shared" si="29"/>
        <v>FAIL</v>
      </c>
    </row>
    <row r="628" spans="1:12" ht="14.25" customHeight="1">
      <c r="A628" s="3">
        <v>627</v>
      </c>
      <c r="B628" s="3" t="s">
        <v>3370</v>
      </c>
      <c r="C628" s="3" t="s">
        <v>466</v>
      </c>
      <c r="D628" s="3">
        <v>9876543669</v>
      </c>
      <c r="E628" s="3" t="s">
        <v>4418</v>
      </c>
      <c r="F628" s="3" t="str" cm="1">
        <f t="array" ref="F628">IF(E628="","",_xlfn.XLOOKUP(E628,{"FIRST","SECOND","THIRD","FOURTH"},{"SEM-1","SEM-2","SEM-3","SEM-4"},""))</f>
        <v>SEM-1</v>
      </c>
      <c r="G628" s="3">
        <v>75</v>
      </c>
      <c r="H628" s="3">
        <v>88</v>
      </c>
      <c r="I628" s="3">
        <v>55</v>
      </c>
      <c r="J628" s="3">
        <f t="shared" si="27"/>
        <v>218</v>
      </c>
      <c r="K628" s="3" t="str">
        <f t="shared" si="28"/>
        <v>P</v>
      </c>
      <c r="L628" s="3" t="str">
        <f t="shared" si="29"/>
        <v>A</v>
      </c>
    </row>
    <row r="629" spans="1:12" ht="14.25" customHeight="1">
      <c r="A629" s="3">
        <v>628</v>
      </c>
      <c r="B629" s="3" t="s">
        <v>3950</v>
      </c>
      <c r="C629" s="3" t="s">
        <v>1040</v>
      </c>
      <c r="D629" s="3">
        <v>9876544249</v>
      </c>
      <c r="E629" s="3" t="s">
        <v>4420</v>
      </c>
      <c r="F629" s="3" t="str" cm="1">
        <f t="array" ref="F629">IF(E629="","",_xlfn.XLOOKUP(E629,{"FIRST","SECOND","THIRD","FOURTH"},{"SEM-1","SEM-2","SEM-3","SEM-4"},""))</f>
        <v>SEM-3</v>
      </c>
      <c r="G629" s="3">
        <v>51</v>
      </c>
      <c r="H629" s="3">
        <v>15</v>
      </c>
      <c r="I629" s="3">
        <v>0</v>
      </c>
      <c r="J629" s="3">
        <f t="shared" si="27"/>
        <v>66</v>
      </c>
      <c r="K629" s="3" t="str">
        <f t="shared" si="28"/>
        <v>F</v>
      </c>
      <c r="L629" s="3" t="str">
        <f t="shared" si="29"/>
        <v>FAIL</v>
      </c>
    </row>
    <row r="630" spans="1:12" ht="14.25" customHeight="1">
      <c r="A630" s="3">
        <v>629</v>
      </c>
      <c r="B630" s="3" t="s">
        <v>3514</v>
      </c>
      <c r="C630" s="3" t="s">
        <v>609</v>
      </c>
      <c r="D630" s="3">
        <v>9876543813</v>
      </c>
      <c r="E630" s="3" t="s">
        <v>4420</v>
      </c>
      <c r="F630" s="3" t="str" cm="1">
        <f t="array" ref="F630">IF(E630="","",_xlfn.XLOOKUP(E630,{"FIRST","SECOND","THIRD","FOURTH"},{"SEM-1","SEM-2","SEM-3","SEM-4"},""))</f>
        <v>SEM-3</v>
      </c>
      <c r="G630" s="3">
        <v>83</v>
      </c>
      <c r="H630" s="3">
        <v>46</v>
      </c>
      <c r="I630" s="3">
        <v>19</v>
      </c>
      <c r="J630" s="3">
        <f t="shared" si="27"/>
        <v>148</v>
      </c>
      <c r="K630" s="3" t="str">
        <f t="shared" si="28"/>
        <v>P</v>
      </c>
      <c r="L630" s="3" t="str">
        <f t="shared" si="29"/>
        <v>C</v>
      </c>
    </row>
    <row r="631" spans="1:12" ht="14.25" customHeight="1">
      <c r="A631" s="3">
        <v>630</v>
      </c>
      <c r="B631" s="3" t="s">
        <v>2921</v>
      </c>
      <c r="C631" s="3" t="s">
        <v>19</v>
      </c>
      <c r="D631" s="3">
        <v>9876543220</v>
      </c>
      <c r="E631" s="3" t="s">
        <v>4420</v>
      </c>
      <c r="F631" s="3" t="str" cm="1">
        <f t="array" ref="F631">IF(E631="","",_xlfn.XLOOKUP(E631,{"FIRST","SECOND","THIRD","FOURTH"},{"SEM-1","SEM-2","SEM-3","SEM-4"},""))</f>
        <v>SEM-3</v>
      </c>
      <c r="G631" s="3">
        <v>25</v>
      </c>
      <c r="H631" s="3">
        <v>3</v>
      </c>
      <c r="I631" s="3">
        <v>11</v>
      </c>
      <c r="J631" s="3">
        <f t="shared" si="27"/>
        <v>39</v>
      </c>
      <c r="K631" s="3" t="str">
        <f t="shared" si="28"/>
        <v>F</v>
      </c>
      <c r="L631" s="3" t="str">
        <f t="shared" si="29"/>
        <v>FAIL</v>
      </c>
    </row>
    <row r="632" spans="1:12" ht="14.25" customHeight="1">
      <c r="A632" s="3">
        <v>631</v>
      </c>
      <c r="B632" s="3" t="s">
        <v>3496</v>
      </c>
      <c r="C632" s="3" t="s">
        <v>591</v>
      </c>
      <c r="D632" s="3">
        <v>9876543795</v>
      </c>
      <c r="E632" s="3" t="s">
        <v>4418</v>
      </c>
      <c r="F632" s="3" t="str" cm="1">
        <f t="array" ref="F632">IF(E632="","",_xlfn.XLOOKUP(E632,{"FIRST","SECOND","THIRD","FOURTH"},{"SEM-1","SEM-2","SEM-3","SEM-4"},""))</f>
        <v>SEM-1</v>
      </c>
      <c r="G632" s="3">
        <v>24</v>
      </c>
      <c r="H632" s="3">
        <v>48</v>
      </c>
      <c r="I632" s="3">
        <v>10</v>
      </c>
      <c r="J632" s="3">
        <f t="shared" si="27"/>
        <v>82</v>
      </c>
      <c r="K632" s="3" t="str">
        <f t="shared" si="28"/>
        <v>F</v>
      </c>
      <c r="L632" s="3" t="str">
        <f t="shared" si="29"/>
        <v>FAIL</v>
      </c>
    </row>
    <row r="633" spans="1:12" ht="14.25" customHeight="1">
      <c r="A633" s="3">
        <v>632</v>
      </c>
      <c r="B633" s="3" t="s">
        <v>3170</v>
      </c>
      <c r="C633" s="3" t="s">
        <v>268</v>
      </c>
      <c r="D633" s="3">
        <v>9876543469</v>
      </c>
      <c r="E633" s="3" t="s">
        <v>4418</v>
      </c>
      <c r="F633" s="3" t="str" cm="1">
        <f t="array" ref="F633">IF(E633="","",_xlfn.XLOOKUP(E633,{"FIRST","SECOND","THIRD","FOURTH"},{"SEM-1","SEM-2","SEM-3","SEM-4"},""))</f>
        <v>SEM-1</v>
      </c>
      <c r="G633" s="3">
        <v>36</v>
      </c>
      <c r="H633" s="3">
        <v>20</v>
      </c>
      <c r="I633" s="3">
        <v>72</v>
      </c>
      <c r="J633" s="3">
        <f t="shared" si="27"/>
        <v>128</v>
      </c>
      <c r="K633" s="3" t="str">
        <f t="shared" si="28"/>
        <v>P</v>
      </c>
      <c r="L633" s="3" t="str">
        <f t="shared" si="29"/>
        <v>C</v>
      </c>
    </row>
    <row r="634" spans="1:12" ht="14.25" customHeight="1">
      <c r="A634" s="3">
        <v>633</v>
      </c>
      <c r="B634" s="3" t="s">
        <v>4186</v>
      </c>
      <c r="C634" s="3" t="s">
        <v>1271</v>
      </c>
      <c r="D634" s="3">
        <v>9876544485</v>
      </c>
      <c r="E634" s="3" t="s">
        <v>4419</v>
      </c>
      <c r="F634" s="3" t="str" cm="1">
        <f t="array" ref="F634">IF(E634="","",_xlfn.XLOOKUP(E634,{"FIRST","SECOND","THIRD","FOURTH"},{"SEM-1","SEM-2","SEM-3","SEM-4"},""))</f>
        <v>SEM-2</v>
      </c>
      <c r="G634" s="3">
        <v>59</v>
      </c>
      <c r="H634" s="3">
        <v>80</v>
      </c>
      <c r="I634" s="3">
        <v>58</v>
      </c>
      <c r="J634" s="3">
        <f t="shared" si="27"/>
        <v>197</v>
      </c>
      <c r="K634" s="3" t="str">
        <f t="shared" si="28"/>
        <v>P</v>
      </c>
      <c r="L634" s="3" t="str">
        <f t="shared" si="29"/>
        <v>A</v>
      </c>
    </row>
    <row r="635" spans="1:12" ht="14.25" customHeight="1">
      <c r="A635" s="3">
        <v>634</v>
      </c>
      <c r="B635" s="3" t="s">
        <v>4274</v>
      </c>
      <c r="C635" s="3" t="s">
        <v>1355</v>
      </c>
      <c r="D635" s="3">
        <v>9876544573</v>
      </c>
      <c r="E635" s="3" t="s">
        <v>4420</v>
      </c>
      <c r="F635" s="3" t="str" cm="1">
        <f t="array" ref="F635">IF(E635="","",_xlfn.XLOOKUP(E635,{"FIRST","SECOND","THIRD","FOURTH"},{"SEM-1","SEM-2","SEM-3","SEM-4"},""))</f>
        <v>SEM-3</v>
      </c>
      <c r="G635" s="3">
        <v>43</v>
      </c>
      <c r="H635" s="3">
        <v>12</v>
      </c>
      <c r="I635" s="3">
        <v>34</v>
      </c>
      <c r="J635" s="3">
        <f t="shared" si="27"/>
        <v>89</v>
      </c>
      <c r="K635" s="3" t="str">
        <f t="shared" si="28"/>
        <v>F</v>
      </c>
      <c r="L635" s="3" t="str">
        <f t="shared" si="29"/>
        <v>FAIL</v>
      </c>
    </row>
    <row r="636" spans="1:12" ht="14.25" customHeight="1">
      <c r="A636" s="3">
        <v>635</v>
      </c>
      <c r="B636" s="3" t="s">
        <v>3445</v>
      </c>
      <c r="C636" s="3" t="s">
        <v>541</v>
      </c>
      <c r="D636" s="3">
        <v>9876543744</v>
      </c>
      <c r="E636" s="3" t="s">
        <v>4418</v>
      </c>
      <c r="F636" s="3" t="str" cm="1">
        <f t="array" ref="F636">IF(E636="","",_xlfn.XLOOKUP(E636,{"FIRST","SECOND","THIRD","FOURTH"},{"SEM-1","SEM-2","SEM-3","SEM-4"},""))</f>
        <v>SEM-1</v>
      </c>
      <c r="G636" s="3">
        <v>41</v>
      </c>
      <c r="H636" s="3">
        <v>70</v>
      </c>
      <c r="I636" s="3">
        <v>84</v>
      </c>
      <c r="J636" s="3">
        <f t="shared" si="27"/>
        <v>195</v>
      </c>
      <c r="K636" s="3" t="str">
        <f t="shared" si="28"/>
        <v>P</v>
      </c>
      <c r="L636" s="3" t="str">
        <f t="shared" si="29"/>
        <v>A</v>
      </c>
    </row>
    <row r="637" spans="1:12" ht="14.25" customHeight="1">
      <c r="A637" s="3">
        <v>636</v>
      </c>
      <c r="B637" s="3" t="s">
        <v>3521</v>
      </c>
      <c r="C637" s="3" t="s">
        <v>616</v>
      </c>
      <c r="D637" s="3">
        <v>9876543820</v>
      </c>
      <c r="E637" s="3" t="s">
        <v>4419</v>
      </c>
      <c r="F637" s="3" t="str" cm="1">
        <f t="array" ref="F637">IF(E637="","",_xlfn.XLOOKUP(E637,{"FIRST","SECOND","THIRD","FOURTH"},{"SEM-1","SEM-2","SEM-3","SEM-4"},""))</f>
        <v>SEM-2</v>
      </c>
      <c r="G637" s="3">
        <v>24</v>
      </c>
      <c r="H637" s="3">
        <v>25</v>
      </c>
      <c r="I637" s="3">
        <v>0</v>
      </c>
      <c r="J637" s="3">
        <f t="shared" si="27"/>
        <v>49</v>
      </c>
      <c r="K637" s="3" t="str">
        <f t="shared" si="28"/>
        <v>F</v>
      </c>
      <c r="L637" s="3" t="str">
        <f t="shared" si="29"/>
        <v>FAIL</v>
      </c>
    </row>
    <row r="638" spans="1:12" ht="14.25" customHeight="1">
      <c r="A638" s="3">
        <v>637</v>
      </c>
      <c r="B638" s="3" t="s">
        <v>3661</v>
      </c>
      <c r="C638" s="3" t="s">
        <v>754</v>
      </c>
      <c r="D638" s="3">
        <v>9876543960</v>
      </c>
      <c r="E638" s="3" t="s">
        <v>4419</v>
      </c>
      <c r="F638" s="3" t="str" cm="1">
        <f t="array" ref="F638">IF(E638="","",_xlfn.XLOOKUP(E638,{"FIRST","SECOND","THIRD","FOURTH"},{"SEM-1","SEM-2","SEM-3","SEM-4"},""))</f>
        <v>SEM-2</v>
      </c>
      <c r="G638" s="3">
        <v>3</v>
      </c>
      <c r="H638" s="3">
        <v>22</v>
      </c>
      <c r="I638" s="3">
        <v>73</v>
      </c>
      <c r="J638" s="3">
        <f t="shared" si="27"/>
        <v>98</v>
      </c>
      <c r="K638" s="3" t="str">
        <f t="shared" si="28"/>
        <v>P</v>
      </c>
      <c r="L638" s="3" t="str">
        <f t="shared" si="29"/>
        <v>FAIL</v>
      </c>
    </row>
    <row r="639" spans="1:12" ht="14.25" customHeight="1">
      <c r="A639" s="3">
        <v>638</v>
      </c>
      <c r="B639" s="3" t="s">
        <v>3994</v>
      </c>
      <c r="C639" s="3" t="s">
        <v>754</v>
      </c>
      <c r="D639" s="3">
        <v>9876544293</v>
      </c>
      <c r="E639" s="3" t="s">
        <v>4420</v>
      </c>
      <c r="F639" s="3" t="str" cm="1">
        <f t="array" ref="F639">IF(E639="","",_xlfn.XLOOKUP(E639,{"FIRST","SECOND","THIRD","FOURTH"},{"SEM-1","SEM-2","SEM-3","SEM-4"},""))</f>
        <v>SEM-3</v>
      </c>
      <c r="G639" s="3">
        <v>99</v>
      </c>
      <c r="H639" s="3">
        <v>32</v>
      </c>
      <c r="I639" s="3">
        <v>58</v>
      </c>
      <c r="J639" s="3">
        <f t="shared" si="27"/>
        <v>189</v>
      </c>
      <c r="K639" s="3" t="str">
        <f t="shared" si="28"/>
        <v>P</v>
      </c>
      <c r="L639" s="3" t="str">
        <f t="shared" si="29"/>
        <v>B</v>
      </c>
    </row>
    <row r="640" spans="1:12" ht="14.25" customHeight="1">
      <c r="A640" s="3">
        <v>639</v>
      </c>
      <c r="B640" s="3" t="s">
        <v>4163</v>
      </c>
      <c r="C640" s="3" t="s">
        <v>1248</v>
      </c>
      <c r="D640" s="3">
        <v>9876544462</v>
      </c>
      <c r="E640" s="3" t="s">
        <v>4418</v>
      </c>
      <c r="F640" s="3" t="str" cm="1">
        <f t="array" ref="F640">IF(E640="","",_xlfn.XLOOKUP(E640,{"FIRST","SECOND","THIRD","FOURTH"},{"SEM-1","SEM-2","SEM-3","SEM-4"},""))</f>
        <v>SEM-1</v>
      </c>
      <c r="G640" s="3">
        <v>42</v>
      </c>
      <c r="H640" s="3">
        <v>42</v>
      </c>
      <c r="I640" s="3">
        <v>22</v>
      </c>
      <c r="J640" s="3">
        <f t="shared" si="27"/>
        <v>106</v>
      </c>
      <c r="K640" s="3" t="str">
        <f t="shared" si="28"/>
        <v>F</v>
      </c>
      <c r="L640" s="3" t="str">
        <f t="shared" si="29"/>
        <v>FAIL</v>
      </c>
    </row>
    <row r="641" spans="1:12" ht="14.25" customHeight="1">
      <c r="A641" s="3">
        <v>640</v>
      </c>
      <c r="B641" s="3" t="s">
        <v>3113</v>
      </c>
      <c r="C641" s="3" t="s">
        <v>211</v>
      </c>
      <c r="D641" s="3">
        <v>9876543412</v>
      </c>
      <c r="E641" s="3" t="s">
        <v>4420</v>
      </c>
      <c r="F641" s="3" t="str" cm="1">
        <f t="array" ref="F641">IF(E641="","",_xlfn.XLOOKUP(E641,{"FIRST","SECOND","THIRD","FOURTH"},{"SEM-1","SEM-2","SEM-3","SEM-4"},""))</f>
        <v>SEM-3</v>
      </c>
      <c r="G641" s="3">
        <v>21</v>
      </c>
      <c r="H641" s="3">
        <v>70</v>
      </c>
      <c r="I641" s="3">
        <v>96</v>
      </c>
      <c r="J641" s="3">
        <f t="shared" si="27"/>
        <v>187</v>
      </c>
      <c r="K641" s="3" t="str">
        <f t="shared" si="28"/>
        <v>P</v>
      </c>
      <c r="L641" s="3" t="str">
        <f t="shared" si="29"/>
        <v>B</v>
      </c>
    </row>
    <row r="642" spans="1:12" ht="14.25" customHeight="1">
      <c r="A642" s="3">
        <v>641</v>
      </c>
      <c r="B642" s="3" t="s">
        <v>3082</v>
      </c>
      <c r="C642" s="3" t="s">
        <v>180</v>
      </c>
      <c r="D642" s="3">
        <v>9876543381</v>
      </c>
      <c r="E642" s="3" t="s">
        <v>4419</v>
      </c>
      <c r="F642" s="3" t="str" cm="1">
        <f t="array" ref="F642">IF(E642="","",_xlfn.XLOOKUP(E642,{"FIRST","SECOND","THIRD","FOURTH"},{"SEM-1","SEM-2","SEM-3","SEM-4"},""))</f>
        <v>SEM-2</v>
      </c>
      <c r="G642" s="3">
        <v>72</v>
      </c>
      <c r="H642" s="3">
        <v>9</v>
      </c>
      <c r="I642" s="3">
        <v>57</v>
      </c>
      <c r="J642" s="3">
        <f t="shared" ref="J642:J705" si="30">SUM(G642:I642)</f>
        <v>138</v>
      </c>
      <c r="K642" s="3" t="str">
        <f t="shared" ref="K642:K705" si="31">IF(OR(G642&gt;=70,H642&gt;=70,I642&gt;=70,J642&gt;=120),"P","F")</f>
        <v>P</v>
      </c>
      <c r="L642" s="3" t="str">
        <f t="shared" ref="L642:L705" si="32">IF(J642&gt;=190,"A",IF(J642&gt;=150,"B",IF(J642&gt;=120,"C","FAIL")))</f>
        <v>C</v>
      </c>
    </row>
    <row r="643" spans="1:12" ht="14.25" customHeight="1">
      <c r="A643" s="3">
        <v>642</v>
      </c>
      <c r="B643" s="3" t="s">
        <v>4360</v>
      </c>
      <c r="C643" s="3" t="s">
        <v>1439</v>
      </c>
      <c r="D643" s="3">
        <v>9876544659</v>
      </c>
      <c r="E643" s="3" t="s">
        <v>4419</v>
      </c>
      <c r="F643" s="3" t="str" cm="1">
        <f t="array" ref="F643">IF(E643="","",_xlfn.XLOOKUP(E643,{"FIRST","SECOND","THIRD","FOURTH"},{"SEM-1","SEM-2","SEM-3","SEM-4"},""))</f>
        <v>SEM-2</v>
      </c>
      <c r="G643" s="3">
        <v>80</v>
      </c>
      <c r="H643" s="3">
        <v>20</v>
      </c>
      <c r="I643" s="3">
        <v>32</v>
      </c>
      <c r="J643" s="3">
        <f t="shared" si="30"/>
        <v>132</v>
      </c>
      <c r="K643" s="3" t="str">
        <f t="shared" si="31"/>
        <v>P</v>
      </c>
      <c r="L643" s="3" t="str">
        <f t="shared" si="32"/>
        <v>C</v>
      </c>
    </row>
    <row r="644" spans="1:12" ht="14.25" customHeight="1">
      <c r="A644" s="3">
        <v>643</v>
      </c>
      <c r="B644" s="3" t="s">
        <v>3761</v>
      </c>
      <c r="C644" s="3" t="s">
        <v>854</v>
      </c>
      <c r="D644" s="3">
        <v>9876544060</v>
      </c>
      <c r="E644" s="3" t="s">
        <v>4420</v>
      </c>
      <c r="F644" s="3" t="str" cm="1">
        <f t="array" ref="F644">IF(E644="","",_xlfn.XLOOKUP(E644,{"FIRST","SECOND","THIRD","FOURTH"},{"SEM-1","SEM-2","SEM-3","SEM-4"},""))</f>
        <v>SEM-3</v>
      </c>
      <c r="G644" s="3">
        <v>95</v>
      </c>
      <c r="H644" s="3">
        <v>9</v>
      </c>
      <c r="I644" s="3">
        <v>72</v>
      </c>
      <c r="J644" s="3">
        <f t="shared" si="30"/>
        <v>176</v>
      </c>
      <c r="K644" s="3" t="str">
        <f t="shared" si="31"/>
        <v>P</v>
      </c>
      <c r="L644" s="3" t="str">
        <f t="shared" si="32"/>
        <v>B</v>
      </c>
    </row>
    <row r="645" spans="1:12" ht="14.25" customHeight="1">
      <c r="A645" s="3">
        <v>644</v>
      </c>
      <c r="B645" s="3" t="s">
        <v>4227</v>
      </c>
      <c r="C645" s="3" t="s">
        <v>1310</v>
      </c>
      <c r="D645" s="3">
        <v>9876544526</v>
      </c>
      <c r="E645" s="3" t="s">
        <v>4419</v>
      </c>
      <c r="F645" s="3" t="str" cm="1">
        <f t="array" ref="F645">IF(E645="","",_xlfn.XLOOKUP(E645,{"FIRST","SECOND","THIRD","FOURTH"},{"SEM-1","SEM-2","SEM-3","SEM-4"},""))</f>
        <v>SEM-2</v>
      </c>
      <c r="G645" s="3">
        <v>22</v>
      </c>
      <c r="H645" s="3">
        <v>98</v>
      </c>
      <c r="I645" s="3">
        <v>67</v>
      </c>
      <c r="J645" s="3">
        <f t="shared" si="30"/>
        <v>187</v>
      </c>
      <c r="K645" s="3" t="str">
        <f t="shared" si="31"/>
        <v>P</v>
      </c>
      <c r="L645" s="3" t="str">
        <f t="shared" si="32"/>
        <v>B</v>
      </c>
    </row>
    <row r="646" spans="1:12" ht="14.25" customHeight="1">
      <c r="A646" s="3">
        <v>645</v>
      </c>
      <c r="B646" s="3" t="s">
        <v>3498</v>
      </c>
      <c r="C646" s="3" t="s">
        <v>593</v>
      </c>
      <c r="D646" s="3">
        <v>9876543797</v>
      </c>
      <c r="E646" s="3" t="s">
        <v>4418</v>
      </c>
      <c r="F646" s="3" t="str" cm="1">
        <f t="array" ref="F646">IF(E646="","",_xlfn.XLOOKUP(E646,{"FIRST","SECOND","THIRD","FOURTH"},{"SEM-1","SEM-2","SEM-3","SEM-4"},""))</f>
        <v>SEM-1</v>
      </c>
      <c r="G646" s="3">
        <v>79</v>
      </c>
      <c r="H646" s="3">
        <v>100</v>
      </c>
      <c r="I646" s="3">
        <v>75</v>
      </c>
      <c r="J646" s="3">
        <f t="shared" si="30"/>
        <v>254</v>
      </c>
      <c r="K646" s="3" t="str">
        <f t="shared" si="31"/>
        <v>P</v>
      </c>
      <c r="L646" s="3" t="str">
        <f t="shared" si="32"/>
        <v>A</v>
      </c>
    </row>
    <row r="647" spans="1:12" ht="14.25" customHeight="1">
      <c r="A647" s="3">
        <v>646</v>
      </c>
      <c r="B647" s="3" t="s">
        <v>3849</v>
      </c>
      <c r="C647" s="3" t="s">
        <v>941</v>
      </c>
      <c r="D647" s="3">
        <v>9876544148</v>
      </c>
      <c r="E647" s="3" t="s">
        <v>4419</v>
      </c>
      <c r="F647" s="3" t="str" cm="1">
        <f t="array" ref="F647">IF(E647="","",_xlfn.XLOOKUP(E647,{"FIRST","SECOND","THIRD","FOURTH"},{"SEM-1","SEM-2","SEM-3","SEM-4"},""))</f>
        <v>SEM-2</v>
      </c>
      <c r="G647" s="3">
        <v>32</v>
      </c>
      <c r="H647" s="3">
        <v>98</v>
      </c>
      <c r="I647" s="3">
        <v>31</v>
      </c>
      <c r="J647" s="3">
        <f t="shared" si="30"/>
        <v>161</v>
      </c>
      <c r="K647" s="3" t="str">
        <f t="shared" si="31"/>
        <v>P</v>
      </c>
      <c r="L647" s="3" t="str">
        <f t="shared" si="32"/>
        <v>B</v>
      </c>
    </row>
    <row r="648" spans="1:12" ht="14.25" customHeight="1">
      <c r="A648" s="3">
        <v>647</v>
      </c>
      <c r="B648" s="3" t="s">
        <v>3699</v>
      </c>
      <c r="C648" s="3" t="s">
        <v>792</v>
      </c>
      <c r="D648" s="3">
        <v>9876543998</v>
      </c>
      <c r="E648" s="3" t="s">
        <v>4419</v>
      </c>
      <c r="F648" s="3" t="str" cm="1">
        <f t="array" ref="F648">IF(E648="","",_xlfn.XLOOKUP(E648,{"FIRST","SECOND","THIRD","FOURTH"},{"SEM-1","SEM-2","SEM-3","SEM-4"},""))</f>
        <v>SEM-2</v>
      </c>
      <c r="G648" s="3">
        <v>95</v>
      </c>
      <c r="H648" s="3">
        <v>6</v>
      </c>
      <c r="I648" s="3">
        <v>23</v>
      </c>
      <c r="J648" s="3">
        <f t="shared" si="30"/>
        <v>124</v>
      </c>
      <c r="K648" s="3" t="str">
        <f t="shared" si="31"/>
        <v>P</v>
      </c>
      <c r="L648" s="3" t="str">
        <f t="shared" si="32"/>
        <v>C</v>
      </c>
    </row>
    <row r="649" spans="1:12" ht="14.25" customHeight="1">
      <c r="A649" s="3">
        <v>648</v>
      </c>
      <c r="B649" s="3" t="s">
        <v>4132</v>
      </c>
      <c r="C649" s="3" t="s">
        <v>1217</v>
      </c>
      <c r="D649" s="3">
        <v>9876544431</v>
      </c>
      <c r="E649" s="3" t="s">
        <v>4418</v>
      </c>
      <c r="F649" s="3" t="str" cm="1">
        <f t="array" ref="F649">IF(E649="","",_xlfn.XLOOKUP(E649,{"FIRST","SECOND","THIRD","FOURTH"},{"SEM-1","SEM-2","SEM-3","SEM-4"},""))</f>
        <v>SEM-1</v>
      </c>
      <c r="G649" s="3">
        <v>21</v>
      </c>
      <c r="H649" s="3">
        <v>93</v>
      </c>
      <c r="I649" s="3">
        <v>68</v>
      </c>
      <c r="J649" s="3">
        <f t="shared" si="30"/>
        <v>182</v>
      </c>
      <c r="K649" s="3" t="str">
        <f t="shared" si="31"/>
        <v>P</v>
      </c>
      <c r="L649" s="3" t="str">
        <f t="shared" si="32"/>
        <v>B</v>
      </c>
    </row>
    <row r="650" spans="1:12" ht="14.25" customHeight="1">
      <c r="A650" s="3">
        <v>649</v>
      </c>
      <c r="B650" s="3" t="s">
        <v>4142</v>
      </c>
      <c r="C650" s="3" t="s">
        <v>1227</v>
      </c>
      <c r="D650" s="3">
        <v>9876544441</v>
      </c>
      <c r="E650" s="3" t="s">
        <v>4418</v>
      </c>
      <c r="F650" s="3" t="str" cm="1">
        <f t="array" ref="F650">IF(E650="","",_xlfn.XLOOKUP(E650,{"FIRST","SECOND","THIRD","FOURTH"},{"SEM-1","SEM-2","SEM-3","SEM-4"},""))</f>
        <v>SEM-1</v>
      </c>
      <c r="G650" s="3">
        <v>99</v>
      </c>
      <c r="H650" s="3">
        <v>45</v>
      </c>
      <c r="I650" s="3">
        <v>98</v>
      </c>
      <c r="J650" s="3">
        <f t="shared" si="30"/>
        <v>242</v>
      </c>
      <c r="K650" s="3" t="str">
        <f t="shared" si="31"/>
        <v>P</v>
      </c>
      <c r="L650" s="3" t="str">
        <f t="shared" si="32"/>
        <v>A</v>
      </c>
    </row>
    <row r="651" spans="1:12" ht="14.25" customHeight="1">
      <c r="A651" s="3">
        <v>650</v>
      </c>
      <c r="B651" s="3" t="s">
        <v>3332</v>
      </c>
      <c r="C651" s="3" t="s">
        <v>428</v>
      </c>
      <c r="D651" s="3">
        <v>9876543631</v>
      </c>
      <c r="E651" s="3" t="s">
        <v>4418</v>
      </c>
      <c r="F651" s="3" t="str" cm="1">
        <f t="array" ref="F651">IF(E651="","",_xlfn.XLOOKUP(E651,{"FIRST","SECOND","THIRD","FOURTH"},{"SEM-1","SEM-2","SEM-3","SEM-4"},""))</f>
        <v>SEM-1</v>
      </c>
      <c r="G651" s="3">
        <v>71</v>
      </c>
      <c r="H651" s="3">
        <v>72</v>
      </c>
      <c r="I651" s="3">
        <v>57</v>
      </c>
      <c r="J651" s="3">
        <f t="shared" si="30"/>
        <v>200</v>
      </c>
      <c r="K651" s="3" t="str">
        <f t="shared" si="31"/>
        <v>P</v>
      </c>
      <c r="L651" s="3" t="str">
        <f t="shared" si="32"/>
        <v>A</v>
      </c>
    </row>
    <row r="652" spans="1:12" ht="14.25" customHeight="1">
      <c r="A652" s="3">
        <v>651</v>
      </c>
      <c r="B652" s="3" t="s">
        <v>3089</v>
      </c>
      <c r="C652" s="3" t="s">
        <v>187</v>
      </c>
      <c r="D652" s="3">
        <v>9876543388</v>
      </c>
      <c r="E652" s="3" t="s">
        <v>4418</v>
      </c>
      <c r="F652" s="3" t="str" cm="1">
        <f t="array" ref="F652">IF(E652="","",_xlfn.XLOOKUP(E652,{"FIRST","SECOND","THIRD","FOURTH"},{"SEM-1","SEM-2","SEM-3","SEM-4"},""))</f>
        <v>SEM-1</v>
      </c>
      <c r="G652" s="3">
        <v>4</v>
      </c>
      <c r="H652" s="3">
        <v>93</v>
      </c>
      <c r="I652" s="3">
        <v>64</v>
      </c>
      <c r="J652" s="3">
        <f t="shared" si="30"/>
        <v>161</v>
      </c>
      <c r="K652" s="3" t="str">
        <f t="shared" si="31"/>
        <v>P</v>
      </c>
      <c r="L652" s="3" t="str">
        <f t="shared" si="32"/>
        <v>B</v>
      </c>
    </row>
    <row r="653" spans="1:12" ht="14.25" customHeight="1">
      <c r="A653" s="3">
        <v>652</v>
      </c>
      <c r="B653" s="3" t="s">
        <v>4040</v>
      </c>
      <c r="C653" s="3" t="s">
        <v>1129</v>
      </c>
      <c r="D653" s="3">
        <v>9876544339</v>
      </c>
      <c r="E653" s="3" t="s">
        <v>4419</v>
      </c>
      <c r="F653" s="3" t="str" cm="1">
        <f t="array" ref="F653">IF(E653="","",_xlfn.XLOOKUP(E653,{"FIRST","SECOND","THIRD","FOURTH"},{"SEM-1","SEM-2","SEM-3","SEM-4"},""))</f>
        <v>SEM-2</v>
      </c>
      <c r="G653" s="3">
        <v>13</v>
      </c>
      <c r="H653" s="3">
        <v>27</v>
      </c>
      <c r="I653" s="3">
        <v>12</v>
      </c>
      <c r="J653" s="3">
        <f t="shared" si="30"/>
        <v>52</v>
      </c>
      <c r="K653" s="3" t="str">
        <f t="shared" si="31"/>
        <v>F</v>
      </c>
      <c r="L653" s="3" t="str">
        <f t="shared" si="32"/>
        <v>FAIL</v>
      </c>
    </row>
    <row r="654" spans="1:12" ht="14.25" customHeight="1">
      <c r="A654" s="3">
        <v>653</v>
      </c>
      <c r="B654" s="3" t="s">
        <v>3233</v>
      </c>
      <c r="C654" s="3" t="s">
        <v>330</v>
      </c>
      <c r="D654" s="3">
        <v>9876543532</v>
      </c>
      <c r="E654" s="3" t="s">
        <v>4418</v>
      </c>
      <c r="F654" s="3" t="str" cm="1">
        <f t="array" ref="F654">IF(E654="","",_xlfn.XLOOKUP(E654,{"FIRST","SECOND","THIRD","FOURTH"},{"SEM-1","SEM-2","SEM-3","SEM-4"},""))</f>
        <v>SEM-1</v>
      </c>
      <c r="G654" s="3">
        <v>63</v>
      </c>
      <c r="H654" s="3">
        <v>39</v>
      </c>
      <c r="I654" s="3">
        <v>34</v>
      </c>
      <c r="J654" s="3">
        <f t="shared" si="30"/>
        <v>136</v>
      </c>
      <c r="K654" s="3" t="str">
        <f t="shared" si="31"/>
        <v>P</v>
      </c>
      <c r="L654" s="3" t="str">
        <f t="shared" si="32"/>
        <v>C</v>
      </c>
    </row>
    <row r="655" spans="1:12" ht="14.25" customHeight="1">
      <c r="A655" s="3">
        <v>654</v>
      </c>
      <c r="B655" s="3" t="s">
        <v>3031</v>
      </c>
      <c r="C655" s="3" t="s">
        <v>129</v>
      </c>
      <c r="D655" s="3">
        <v>9876543330</v>
      </c>
      <c r="E655" s="3" t="s">
        <v>4419</v>
      </c>
      <c r="F655" s="3" t="str" cm="1">
        <f t="array" ref="F655">IF(E655="","",_xlfn.XLOOKUP(E655,{"FIRST","SECOND","THIRD","FOURTH"},{"SEM-1","SEM-2","SEM-3","SEM-4"},""))</f>
        <v>SEM-2</v>
      </c>
      <c r="G655" s="3">
        <v>72</v>
      </c>
      <c r="H655" s="3">
        <v>68</v>
      </c>
      <c r="I655" s="3">
        <v>39</v>
      </c>
      <c r="J655" s="3">
        <f t="shared" si="30"/>
        <v>179</v>
      </c>
      <c r="K655" s="3" t="str">
        <f t="shared" si="31"/>
        <v>P</v>
      </c>
      <c r="L655" s="3" t="str">
        <f t="shared" si="32"/>
        <v>B</v>
      </c>
    </row>
    <row r="656" spans="1:12" ht="14.25" customHeight="1">
      <c r="A656" s="3">
        <v>655</v>
      </c>
      <c r="B656" s="3" t="s">
        <v>4242</v>
      </c>
      <c r="C656" s="3" t="s">
        <v>1325</v>
      </c>
      <c r="D656" s="3">
        <v>9876544541</v>
      </c>
      <c r="E656" s="3" t="s">
        <v>4419</v>
      </c>
      <c r="F656" s="3" t="str" cm="1">
        <f t="array" ref="F656">IF(E656="","",_xlfn.XLOOKUP(E656,{"FIRST","SECOND","THIRD","FOURTH"},{"SEM-1","SEM-2","SEM-3","SEM-4"},""))</f>
        <v>SEM-2</v>
      </c>
      <c r="G656" s="3">
        <v>65</v>
      </c>
      <c r="H656" s="3">
        <v>95</v>
      </c>
      <c r="I656" s="3">
        <v>80</v>
      </c>
      <c r="J656" s="3">
        <f t="shared" si="30"/>
        <v>240</v>
      </c>
      <c r="K656" s="3" t="str">
        <f t="shared" si="31"/>
        <v>P</v>
      </c>
      <c r="L656" s="3" t="str">
        <f t="shared" si="32"/>
        <v>A</v>
      </c>
    </row>
    <row r="657" spans="1:12" ht="14.25" customHeight="1">
      <c r="A657" s="3">
        <v>656</v>
      </c>
      <c r="B657" s="3" t="s">
        <v>3791</v>
      </c>
      <c r="C657" s="3" t="s">
        <v>883</v>
      </c>
      <c r="D657" s="3">
        <v>9876544090</v>
      </c>
      <c r="E657" s="3" t="s">
        <v>4420</v>
      </c>
      <c r="F657" s="3" t="str" cm="1">
        <f t="array" ref="F657">IF(E657="","",_xlfn.XLOOKUP(E657,{"FIRST","SECOND","THIRD","FOURTH"},{"SEM-1","SEM-2","SEM-3","SEM-4"},""))</f>
        <v>SEM-3</v>
      </c>
      <c r="G657" s="3">
        <v>52</v>
      </c>
      <c r="H657" s="3">
        <v>30</v>
      </c>
      <c r="I657" s="3">
        <v>62</v>
      </c>
      <c r="J657" s="3">
        <f t="shared" si="30"/>
        <v>144</v>
      </c>
      <c r="K657" s="3" t="str">
        <f t="shared" si="31"/>
        <v>P</v>
      </c>
      <c r="L657" s="3" t="str">
        <f t="shared" si="32"/>
        <v>C</v>
      </c>
    </row>
    <row r="658" spans="1:12" ht="14.25" customHeight="1">
      <c r="A658" s="3">
        <v>657</v>
      </c>
      <c r="B658" s="3" t="s">
        <v>3852</v>
      </c>
      <c r="C658" s="3" t="s">
        <v>944</v>
      </c>
      <c r="D658" s="3">
        <v>9876544151</v>
      </c>
      <c r="E658" s="3" t="s">
        <v>4418</v>
      </c>
      <c r="F658" s="3" t="str" cm="1">
        <f t="array" ref="F658">IF(E658="","",_xlfn.XLOOKUP(E658,{"FIRST","SECOND","THIRD","FOURTH"},{"SEM-1","SEM-2","SEM-3","SEM-4"},""))</f>
        <v>SEM-1</v>
      </c>
      <c r="G658" s="3">
        <v>15</v>
      </c>
      <c r="H658" s="3">
        <v>55</v>
      </c>
      <c r="I658" s="3">
        <v>100</v>
      </c>
      <c r="J658" s="3">
        <f t="shared" si="30"/>
        <v>170</v>
      </c>
      <c r="K658" s="3" t="str">
        <f t="shared" si="31"/>
        <v>P</v>
      </c>
      <c r="L658" s="3" t="str">
        <f t="shared" si="32"/>
        <v>B</v>
      </c>
    </row>
    <row r="659" spans="1:12" ht="14.25" customHeight="1">
      <c r="A659" s="3">
        <v>658</v>
      </c>
      <c r="B659" s="3" t="s">
        <v>3421</v>
      </c>
      <c r="C659" s="3" t="s">
        <v>517</v>
      </c>
      <c r="D659" s="3">
        <v>9876543720</v>
      </c>
      <c r="E659" s="3" t="s">
        <v>4418</v>
      </c>
      <c r="F659" s="3" t="str" cm="1">
        <f t="array" ref="F659">IF(E659="","",_xlfn.XLOOKUP(E659,{"FIRST","SECOND","THIRD","FOURTH"},{"SEM-1","SEM-2","SEM-3","SEM-4"},""))</f>
        <v>SEM-1</v>
      </c>
      <c r="G659" s="3">
        <v>15</v>
      </c>
      <c r="H659" s="3">
        <v>35</v>
      </c>
      <c r="I659" s="3">
        <v>92</v>
      </c>
      <c r="J659" s="3">
        <f t="shared" si="30"/>
        <v>142</v>
      </c>
      <c r="K659" s="3" t="str">
        <f t="shared" si="31"/>
        <v>P</v>
      </c>
      <c r="L659" s="3" t="str">
        <f t="shared" si="32"/>
        <v>C</v>
      </c>
    </row>
    <row r="660" spans="1:12" ht="14.25" customHeight="1">
      <c r="A660" s="3">
        <v>659</v>
      </c>
      <c r="B660" s="3" t="s">
        <v>3898</v>
      </c>
      <c r="C660" s="3" t="s">
        <v>989</v>
      </c>
      <c r="D660" s="3">
        <v>9876544197</v>
      </c>
      <c r="E660" s="3" t="s">
        <v>4418</v>
      </c>
      <c r="F660" s="3" t="str" cm="1">
        <f t="array" ref="F660">IF(E660="","",_xlfn.XLOOKUP(E660,{"FIRST","SECOND","THIRD","FOURTH"},{"SEM-1","SEM-2","SEM-3","SEM-4"},""))</f>
        <v>SEM-1</v>
      </c>
      <c r="G660" s="3">
        <v>39</v>
      </c>
      <c r="H660" s="3">
        <v>61</v>
      </c>
      <c r="I660" s="3">
        <v>41</v>
      </c>
      <c r="J660" s="3">
        <f t="shared" si="30"/>
        <v>141</v>
      </c>
      <c r="K660" s="3" t="str">
        <f t="shared" si="31"/>
        <v>P</v>
      </c>
      <c r="L660" s="3" t="str">
        <f t="shared" si="32"/>
        <v>C</v>
      </c>
    </row>
    <row r="661" spans="1:12" ht="14.25" customHeight="1">
      <c r="A661" s="3">
        <v>660</v>
      </c>
      <c r="B661" s="3" t="s">
        <v>4037</v>
      </c>
      <c r="C661" s="3" t="s">
        <v>1126</v>
      </c>
      <c r="D661" s="3">
        <v>9876544336</v>
      </c>
      <c r="E661" s="3" t="s">
        <v>4419</v>
      </c>
      <c r="F661" s="3" t="str" cm="1">
        <f t="array" ref="F661">IF(E661="","",_xlfn.XLOOKUP(E661,{"FIRST","SECOND","THIRD","FOURTH"},{"SEM-1","SEM-2","SEM-3","SEM-4"},""))</f>
        <v>SEM-2</v>
      </c>
      <c r="G661" s="3">
        <v>90</v>
      </c>
      <c r="H661" s="3">
        <v>30</v>
      </c>
      <c r="I661" s="3">
        <v>97</v>
      </c>
      <c r="J661" s="3">
        <f t="shared" si="30"/>
        <v>217</v>
      </c>
      <c r="K661" s="3" t="str">
        <f t="shared" si="31"/>
        <v>P</v>
      </c>
      <c r="L661" s="3" t="str">
        <f t="shared" si="32"/>
        <v>A</v>
      </c>
    </row>
    <row r="662" spans="1:12" ht="14.25" customHeight="1">
      <c r="A662" s="3">
        <v>661</v>
      </c>
      <c r="B662" s="3" t="s">
        <v>3895</v>
      </c>
      <c r="C662" s="3" t="s">
        <v>986</v>
      </c>
      <c r="D662" s="3">
        <v>9876544194</v>
      </c>
      <c r="E662" s="3" t="s">
        <v>4419</v>
      </c>
      <c r="F662" s="3" t="str" cm="1">
        <f t="array" ref="F662">IF(E662="","",_xlfn.XLOOKUP(E662,{"FIRST","SECOND","THIRD","FOURTH"},{"SEM-1","SEM-2","SEM-3","SEM-4"},""))</f>
        <v>SEM-2</v>
      </c>
      <c r="G662" s="3">
        <v>50</v>
      </c>
      <c r="H662" s="3">
        <v>99</v>
      </c>
      <c r="I662" s="3">
        <v>78</v>
      </c>
      <c r="J662" s="3">
        <f t="shared" si="30"/>
        <v>227</v>
      </c>
      <c r="K662" s="3" t="str">
        <f t="shared" si="31"/>
        <v>P</v>
      </c>
      <c r="L662" s="3" t="str">
        <f t="shared" si="32"/>
        <v>A</v>
      </c>
    </row>
    <row r="663" spans="1:12" ht="14.25" customHeight="1">
      <c r="A663" s="3">
        <v>662</v>
      </c>
      <c r="B663" s="3" t="s">
        <v>3345</v>
      </c>
      <c r="C663" s="3" t="s">
        <v>441</v>
      </c>
      <c r="D663" s="3">
        <v>9876543644</v>
      </c>
      <c r="E663" s="3" t="s">
        <v>4418</v>
      </c>
      <c r="F663" s="3" t="str" cm="1">
        <f t="array" ref="F663">IF(E663="","",_xlfn.XLOOKUP(E663,{"FIRST","SECOND","THIRD","FOURTH"},{"SEM-1","SEM-2","SEM-3","SEM-4"},""))</f>
        <v>SEM-1</v>
      </c>
      <c r="G663" s="3">
        <v>89</v>
      </c>
      <c r="H663" s="3">
        <v>75</v>
      </c>
      <c r="I663" s="3">
        <v>32</v>
      </c>
      <c r="J663" s="3">
        <f t="shared" si="30"/>
        <v>196</v>
      </c>
      <c r="K663" s="3" t="str">
        <f t="shared" si="31"/>
        <v>P</v>
      </c>
      <c r="L663" s="3" t="str">
        <f t="shared" si="32"/>
        <v>A</v>
      </c>
    </row>
    <row r="664" spans="1:12" ht="14.25" customHeight="1">
      <c r="A664" s="3">
        <v>663</v>
      </c>
      <c r="B664" s="3" t="s">
        <v>3902</v>
      </c>
      <c r="C664" s="3" t="s">
        <v>993</v>
      </c>
      <c r="D664" s="3">
        <v>9876544201</v>
      </c>
      <c r="E664" s="3" t="s">
        <v>4419</v>
      </c>
      <c r="F664" s="3" t="str" cm="1">
        <f t="array" ref="F664">IF(E664="","",_xlfn.XLOOKUP(E664,{"FIRST","SECOND","THIRD","FOURTH"},{"SEM-1","SEM-2","SEM-3","SEM-4"},""))</f>
        <v>SEM-2</v>
      </c>
      <c r="G664" s="3">
        <v>94</v>
      </c>
      <c r="H664" s="3">
        <v>12</v>
      </c>
      <c r="I664" s="3">
        <v>46</v>
      </c>
      <c r="J664" s="3">
        <f t="shared" si="30"/>
        <v>152</v>
      </c>
      <c r="K664" s="3" t="str">
        <f t="shared" si="31"/>
        <v>P</v>
      </c>
      <c r="L664" s="3" t="str">
        <f t="shared" si="32"/>
        <v>B</v>
      </c>
    </row>
    <row r="665" spans="1:12" ht="14.25" customHeight="1">
      <c r="A665" s="3">
        <v>664</v>
      </c>
      <c r="B665" s="3" t="s">
        <v>3532</v>
      </c>
      <c r="C665" s="3" t="s">
        <v>627</v>
      </c>
      <c r="D665" s="3">
        <v>9876543831</v>
      </c>
      <c r="E665" s="3" t="s">
        <v>4418</v>
      </c>
      <c r="F665" s="3" t="str" cm="1">
        <f t="array" ref="F665">IF(E665="","",_xlfn.XLOOKUP(E665,{"FIRST","SECOND","THIRD","FOURTH"},{"SEM-1","SEM-2","SEM-3","SEM-4"},""))</f>
        <v>SEM-1</v>
      </c>
      <c r="G665" s="3">
        <v>72</v>
      </c>
      <c r="H665" s="3">
        <v>59</v>
      </c>
      <c r="I665" s="3">
        <v>48</v>
      </c>
      <c r="J665" s="3">
        <f t="shared" si="30"/>
        <v>179</v>
      </c>
      <c r="K665" s="3" t="str">
        <f t="shared" si="31"/>
        <v>P</v>
      </c>
      <c r="L665" s="3" t="str">
        <f t="shared" si="32"/>
        <v>B</v>
      </c>
    </row>
    <row r="666" spans="1:12" ht="14.25" customHeight="1">
      <c r="A666" s="3">
        <v>665</v>
      </c>
      <c r="B666" s="3" t="s">
        <v>3717</v>
      </c>
      <c r="C666" s="3" t="s">
        <v>810</v>
      </c>
      <c r="D666" s="3">
        <v>9876544016</v>
      </c>
      <c r="E666" s="3" t="s">
        <v>4418</v>
      </c>
      <c r="F666" s="3" t="str" cm="1">
        <f t="array" ref="F666">IF(E666="","",_xlfn.XLOOKUP(E666,{"FIRST","SECOND","THIRD","FOURTH"},{"SEM-1","SEM-2","SEM-3","SEM-4"},""))</f>
        <v>SEM-1</v>
      </c>
      <c r="G666" s="3">
        <v>18</v>
      </c>
      <c r="H666" s="3">
        <v>50</v>
      </c>
      <c r="I666" s="3">
        <v>59</v>
      </c>
      <c r="J666" s="3">
        <f t="shared" si="30"/>
        <v>127</v>
      </c>
      <c r="K666" s="3" t="str">
        <f t="shared" si="31"/>
        <v>P</v>
      </c>
      <c r="L666" s="3" t="str">
        <f t="shared" si="32"/>
        <v>C</v>
      </c>
    </row>
    <row r="667" spans="1:12" ht="14.25" customHeight="1">
      <c r="A667" s="3">
        <v>666</v>
      </c>
      <c r="B667" s="3" t="s">
        <v>3085</v>
      </c>
      <c r="C667" s="3" t="s">
        <v>183</v>
      </c>
      <c r="D667" s="3">
        <v>9876543384</v>
      </c>
      <c r="E667" s="3" t="s">
        <v>4418</v>
      </c>
      <c r="F667" s="3" t="str" cm="1">
        <f t="array" ref="F667">IF(E667="","",_xlfn.XLOOKUP(E667,{"FIRST","SECOND","THIRD","FOURTH"},{"SEM-1","SEM-2","SEM-3","SEM-4"},""))</f>
        <v>SEM-1</v>
      </c>
      <c r="G667" s="3">
        <v>19</v>
      </c>
      <c r="H667" s="3">
        <v>79</v>
      </c>
      <c r="I667" s="3">
        <v>58</v>
      </c>
      <c r="J667" s="3">
        <f t="shared" si="30"/>
        <v>156</v>
      </c>
      <c r="K667" s="3" t="str">
        <f t="shared" si="31"/>
        <v>P</v>
      </c>
      <c r="L667" s="3" t="str">
        <f t="shared" si="32"/>
        <v>B</v>
      </c>
    </row>
    <row r="668" spans="1:12" ht="14.25" customHeight="1">
      <c r="A668" s="3">
        <v>667</v>
      </c>
      <c r="B668" s="3" t="s">
        <v>3159</v>
      </c>
      <c r="C668" s="3" t="s">
        <v>257</v>
      </c>
      <c r="D668" s="3">
        <v>9876543458</v>
      </c>
      <c r="E668" s="3" t="s">
        <v>4420</v>
      </c>
      <c r="F668" s="3" t="str" cm="1">
        <f t="array" ref="F668">IF(E668="","",_xlfn.XLOOKUP(E668,{"FIRST","SECOND","THIRD","FOURTH"},{"SEM-1","SEM-2","SEM-3","SEM-4"},""))</f>
        <v>SEM-3</v>
      </c>
      <c r="G668" s="3">
        <v>60</v>
      </c>
      <c r="H668" s="3">
        <v>69</v>
      </c>
      <c r="I668" s="3">
        <v>46</v>
      </c>
      <c r="J668" s="3">
        <f t="shared" si="30"/>
        <v>175</v>
      </c>
      <c r="K668" s="3" t="str">
        <f t="shared" si="31"/>
        <v>P</v>
      </c>
      <c r="L668" s="3" t="str">
        <f t="shared" si="32"/>
        <v>B</v>
      </c>
    </row>
    <row r="669" spans="1:12" ht="14.25" customHeight="1">
      <c r="A669" s="3">
        <v>668</v>
      </c>
      <c r="B669" s="3" t="s">
        <v>3478</v>
      </c>
      <c r="C669" s="3" t="s">
        <v>574</v>
      </c>
      <c r="D669" s="3">
        <v>9876543777</v>
      </c>
      <c r="E669" s="3" t="s">
        <v>4418</v>
      </c>
      <c r="F669" s="3" t="str" cm="1">
        <f t="array" ref="F669">IF(E669="","",_xlfn.XLOOKUP(E669,{"FIRST","SECOND","THIRD","FOURTH"},{"SEM-1","SEM-2","SEM-3","SEM-4"},""))</f>
        <v>SEM-1</v>
      </c>
      <c r="G669" s="3">
        <v>13</v>
      </c>
      <c r="H669" s="3">
        <v>59</v>
      </c>
      <c r="I669" s="3">
        <v>98</v>
      </c>
      <c r="J669" s="3">
        <f t="shared" si="30"/>
        <v>170</v>
      </c>
      <c r="K669" s="3" t="str">
        <f t="shared" si="31"/>
        <v>P</v>
      </c>
      <c r="L669" s="3" t="str">
        <f t="shared" si="32"/>
        <v>B</v>
      </c>
    </row>
    <row r="670" spans="1:12" ht="14.25" customHeight="1">
      <c r="A670" s="3">
        <v>669</v>
      </c>
      <c r="B670" s="3" t="s">
        <v>3947</v>
      </c>
      <c r="C670" s="3" t="s">
        <v>1037</v>
      </c>
      <c r="D670" s="3">
        <v>9876544246</v>
      </c>
      <c r="E670" s="3" t="s">
        <v>4419</v>
      </c>
      <c r="F670" s="3" t="str" cm="1">
        <f t="array" ref="F670">IF(E670="","",_xlfn.XLOOKUP(E670,{"FIRST","SECOND","THIRD","FOURTH"},{"SEM-1","SEM-2","SEM-3","SEM-4"},""))</f>
        <v>SEM-2</v>
      </c>
      <c r="G670" s="3">
        <v>80</v>
      </c>
      <c r="H670" s="3">
        <v>40</v>
      </c>
      <c r="I670" s="3">
        <v>15</v>
      </c>
      <c r="J670" s="3">
        <f t="shared" si="30"/>
        <v>135</v>
      </c>
      <c r="K670" s="3" t="str">
        <f t="shared" si="31"/>
        <v>P</v>
      </c>
      <c r="L670" s="3" t="str">
        <f t="shared" si="32"/>
        <v>C</v>
      </c>
    </row>
    <row r="671" spans="1:12" ht="14.25" customHeight="1">
      <c r="A671" s="3">
        <v>670</v>
      </c>
      <c r="B671" s="3" t="s">
        <v>3712</v>
      </c>
      <c r="C671" s="3" t="s">
        <v>805</v>
      </c>
      <c r="D671" s="3">
        <v>9876544011</v>
      </c>
      <c r="E671" s="3" t="s">
        <v>4419</v>
      </c>
      <c r="F671" s="3" t="str" cm="1">
        <f t="array" ref="F671">IF(E671="","",_xlfn.XLOOKUP(E671,{"FIRST","SECOND","THIRD","FOURTH"},{"SEM-1","SEM-2","SEM-3","SEM-4"},""))</f>
        <v>SEM-2</v>
      </c>
      <c r="G671" s="3">
        <v>21</v>
      </c>
      <c r="H671" s="3">
        <v>20</v>
      </c>
      <c r="I671" s="3">
        <v>96</v>
      </c>
      <c r="J671" s="3">
        <f t="shared" si="30"/>
        <v>137</v>
      </c>
      <c r="K671" s="3" t="str">
        <f t="shared" si="31"/>
        <v>P</v>
      </c>
      <c r="L671" s="3" t="str">
        <f t="shared" si="32"/>
        <v>C</v>
      </c>
    </row>
    <row r="672" spans="1:12" ht="14.25" customHeight="1">
      <c r="A672" s="3">
        <v>671</v>
      </c>
      <c r="B672" s="3" t="s">
        <v>4287</v>
      </c>
      <c r="C672" s="3" t="s">
        <v>1368</v>
      </c>
      <c r="D672" s="3">
        <v>9876544586</v>
      </c>
      <c r="E672" s="3" t="s">
        <v>4419</v>
      </c>
      <c r="F672" s="3" t="str" cm="1">
        <f t="array" ref="F672">IF(E672="","",_xlfn.XLOOKUP(E672,{"FIRST","SECOND","THIRD","FOURTH"},{"SEM-1","SEM-2","SEM-3","SEM-4"},""))</f>
        <v>SEM-2</v>
      </c>
      <c r="G672" s="3">
        <v>14</v>
      </c>
      <c r="H672" s="3">
        <v>84</v>
      </c>
      <c r="I672" s="3">
        <v>21</v>
      </c>
      <c r="J672" s="3">
        <f t="shared" si="30"/>
        <v>119</v>
      </c>
      <c r="K672" s="3" t="str">
        <f t="shared" si="31"/>
        <v>P</v>
      </c>
      <c r="L672" s="3" t="str">
        <f t="shared" si="32"/>
        <v>FAIL</v>
      </c>
    </row>
    <row r="673" spans="1:12" ht="14.25" customHeight="1">
      <c r="A673" s="3">
        <v>672</v>
      </c>
      <c r="B673" s="3" t="s">
        <v>3563</v>
      </c>
      <c r="C673" s="3" t="s">
        <v>657</v>
      </c>
      <c r="D673" s="3">
        <v>9876543862</v>
      </c>
      <c r="E673" s="3" t="s">
        <v>4419</v>
      </c>
      <c r="F673" s="3" t="str" cm="1">
        <f t="array" ref="F673">IF(E673="","",_xlfn.XLOOKUP(E673,{"FIRST","SECOND","THIRD","FOURTH"},{"SEM-1","SEM-2","SEM-3","SEM-4"},""))</f>
        <v>SEM-2</v>
      </c>
      <c r="G673" s="3">
        <v>12</v>
      </c>
      <c r="H673" s="3">
        <v>29</v>
      </c>
      <c r="I673" s="3">
        <v>43</v>
      </c>
      <c r="J673" s="3">
        <f t="shared" si="30"/>
        <v>84</v>
      </c>
      <c r="K673" s="3" t="str">
        <f t="shared" si="31"/>
        <v>F</v>
      </c>
      <c r="L673" s="3" t="str">
        <f t="shared" si="32"/>
        <v>FAIL</v>
      </c>
    </row>
    <row r="674" spans="1:12" ht="14.25" customHeight="1">
      <c r="A674" s="3">
        <v>673</v>
      </c>
      <c r="B674" s="3" t="s">
        <v>4107</v>
      </c>
      <c r="C674" s="3" t="s">
        <v>1192</v>
      </c>
      <c r="D674" s="3">
        <v>9876544406</v>
      </c>
      <c r="E674" s="3" t="s">
        <v>4418</v>
      </c>
      <c r="F674" s="3" t="str" cm="1">
        <f t="array" ref="F674">IF(E674="","",_xlfn.XLOOKUP(E674,{"FIRST","SECOND","THIRD","FOURTH"},{"SEM-1","SEM-2","SEM-3","SEM-4"},""))</f>
        <v>SEM-1</v>
      </c>
      <c r="G674" s="3">
        <v>73</v>
      </c>
      <c r="H674" s="3">
        <v>93</v>
      </c>
      <c r="I674" s="3">
        <v>17</v>
      </c>
      <c r="J674" s="3">
        <f t="shared" si="30"/>
        <v>183</v>
      </c>
      <c r="K674" s="3" t="str">
        <f t="shared" si="31"/>
        <v>P</v>
      </c>
      <c r="L674" s="3" t="str">
        <f t="shared" si="32"/>
        <v>B</v>
      </c>
    </row>
    <row r="675" spans="1:12" ht="14.25" customHeight="1">
      <c r="A675" s="3">
        <v>674</v>
      </c>
      <c r="B675" s="3" t="s">
        <v>3172</v>
      </c>
      <c r="C675" s="3" t="s">
        <v>270</v>
      </c>
      <c r="D675" s="3">
        <v>9876543471</v>
      </c>
      <c r="E675" s="3" t="s">
        <v>4418</v>
      </c>
      <c r="F675" s="3" t="str" cm="1">
        <f t="array" ref="F675">IF(E675="","",_xlfn.XLOOKUP(E675,{"FIRST","SECOND","THIRD","FOURTH"},{"SEM-1","SEM-2","SEM-3","SEM-4"},""))</f>
        <v>SEM-1</v>
      </c>
      <c r="G675" s="3">
        <v>78</v>
      </c>
      <c r="H675" s="3">
        <v>80</v>
      </c>
      <c r="I675" s="3">
        <v>11</v>
      </c>
      <c r="J675" s="3">
        <f t="shared" si="30"/>
        <v>169</v>
      </c>
      <c r="K675" s="3" t="str">
        <f t="shared" si="31"/>
        <v>P</v>
      </c>
      <c r="L675" s="3" t="str">
        <f t="shared" si="32"/>
        <v>B</v>
      </c>
    </row>
    <row r="676" spans="1:12" ht="14.25" customHeight="1">
      <c r="A676" s="3">
        <v>675</v>
      </c>
      <c r="B676" s="3" t="s">
        <v>4256</v>
      </c>
      <c r="C676" s="3" t="s">
        <v>1339</v>
      </c>
      <c r="D676" s="3">
        <v>9876544555</v>
      </c>
      <c r="E676" s="3" t="s">
        <v>4418</v>
      </c>
      <c r="F676" s="3" t="str" cm="1">
        <f t="array" ref="F676">IF(E676="","",_xlfn.XLOOKUP(E676,{"FIRST","SECOND","THIRD","FOURTH"},{"SEM-1","SEM-2","SEM-3","SEM-4"},""))</f>
        <v>SEM-1</v>
      </c>
      <c r="G676" s="3">
        <v>11</v>
      </c>
      <c r="H676" s="3">
        <v>63</v>
      </c>
      <c r="I676" s="3">
        <v>58</v>
      </c>
      <c r="J676" s="3">
        <f t="shared" si="30"/>
        <v>132</v>
      </c>
      <c r="K676" s="3" t="str">
        <f t="shared" si="31"/>
        <v>P</v>
      </c>
      <c r="L676" s="3" t="str">
        <f t="shared" si="32"/>
        <v>C</v>
      </c>
    </row>
    <row r="677" spans="1:12" ht="14.25" customHeight="1">
      <c r="A677" s="3">
        <v>676</v>
      </c>
      <c r="B677" s="3" t="s">
        <v>3431</v>
      </c>
      <c r="C677" s="3" t="s">
        <v>527</v>
      </c>
      <c r="D677" s="3">
        <v>9876543730</v>
      </c>
      <c r="E677" s="3" t="s">
        <v>4419</v>
      </c>
      <c r="F677" s="3" t="str" cm="1">
        <f t="array" ref="F677">IF(E677="","",_xlfn.XLOOKUP(E677,{"FIRST","SECOND","THIRD","FOURTH"},{"SEM-1","SEM-2","SEM-3","SEM-4"},""))</f>
        <v>SEM-2</v>
      </c>
      <c r="G677" s="3">
        <v>30</v>
      </c>
      <c r="H677" s="3">
        <v>50</v>
      </c>
      <c r="I677" s="3">
        <v>66</v>
      </c>
      <c r="J677" s="3">
        <f t="shared" si="30"/>
        <v>146</v>
      </c>
      <c r="K677" s="3" t="str">
        <f t="shared" si="31"/>
        <v>P</v>
      </c>
      <c r="L677" s="3" t="str">
        <f t="shared" si="32"/>
        <v>C</v>
      </c>
    </row>
    <row r="678" spans="1:12" ht="14.25" customHeight="1">
      <c r="A678" s="3">
        <v>677</v>
      </c>
      <c r="B678" s="3" t="s">
        <v>3924</v>
      </c>
      <c r="C678" s="3" t="s">
        <v>1014</v>
      </c>
      <c r="D678" s="3">
        <v>9876544223</v>
      </c>
      <c r="E678" s="3" t="s">
        <v>4418</v>
      </c>
      <c r="F678" s="3" t="str" cm="1">
        <f t="array" ref="F678">IF(E678="","",_xlfn.XLOOKUP(E678,{"FIRST","SECOND","THIRD","FOURTH"},{"SEM-1","SEM-2","SEM-3","SEM-4"},""))</f>
        <v>SEM-1</v>
      </c>
      <c r="G678" s="3">
        <v>97</v>
      </c>
      <c r="H678" s="3">
        <v>31</v>
      </c>
      <c r="I678" s="3">
        <v>72</v>
      </c>
      <c r="J678" s="3">
        <f t="shared" si="30"/>
        <v>200</v>
      </c>
      <c r="K678" s="3" t="str">
        <f t="shared" si="31"/>
        <v>P</v>
      </c>
      <c r="L678" s="3" t="str">
        <f t="shared" si="32"/>
        <v>A</v>
      </c>
    </row>
    <row r="679" spans="1:12" ht="14.25" customHeight="1">
      <c r="A679" s="3">
        <v>678</v>
      </c>
      <c r="B679" s="3" t="s">
        <v>3091</v>
      </c>
      <c r="C679" s="3" t="s">
        <v>189</v>
      </c>
      <c r="D679" s="3">
        <v>9876543390</v>
      </c>
      <c r="E679" s="3" t="s">
        <v>4420</v>
      </c>
      <c r="F679" s="3" t="str" cm="1">
        <f t="array" ref="F679">IF(E679="","",_xlfn.XLOOKUP(E679,{"FIRST","SECOND","THIRD","FOURTH"},{"SEM-1","SEM-2","SEM-3","SEM-4"},""))</f>
        <v>SEM-3</v>
      </c>
      <c r="G679" s="3">
        <v>87</v>
      </c>
      <c r="H679" s="3">
        <v>2</v>
      </c>
      <c r="I679" s="3">
        <v>1</v>
      </c>
      <c r="J679" s="3">
        <f t="shared" si="30"/>
        <v>90</v>
      </c>
      <c r="K679" s="3" t="str">
        <f t="shared" si="31"/>
        <v>P</v>
      </c>
      <c r="L679" s="3" t="str">
        <f t="shared" si="32"/>
        <v>FAIL</v>
      </c>
    </row>
    <row r="680" spans="1:12" ht="14.25" customHeight="1">
      <c r="A680" s="3">
        <v>679</v>
      </c>
      <c r="B680" s="3" t="s">
        <v>4335</v>
      </c>
      <c r="C680" s="3" t="s">
        <v>1414</v>
      </c>
      <c r="D680" s="3">
        <v>9876544634</v>
      </c>
      <c r="E680" s="3" t="s">
        <v>4420</v>
      </c>
      <c r="F680" s="3" t="str" cm="1">
        <f t="array" ref="F680">IF(E680="","",_xlfn.XLOOKUP(E680,{"FIRST","SECOND","THIRD","FOURTH"},{"SEM-1","SEM-2","SEM-3","SEM-4"},""))</f>
        <v>SEM-3</v>
      </c>
      <c r="G680" s="3">
        <v>47</v>
      </c>
      <c r="H680" s="3">
        <v>61</v>
      </c>
      <c r="I680" s="3">
        <v>83</v>
      </c>
      <c r="J680" s="3">
        <f t="shared" si="30"/>
        <v>191</v>
      </c>
      <c r="K680" s="3" t="str">
        <f t="shared" si="31"/>
        <v>P</v>
      </c>
      <c r="L680" s="3" t="str">
        <f t="shared" si="32"/>
        <v>A</v>
      </c>
    </row>
    <row r="681" spans="1:12" ht="14.25" customHeight="1">
      <c r="A681" s="3">
        <v>680</v>
      </c>
      <c r="B681" s="3" t="s">
        <v>3781</v>
      </c>
      <c r="C681" s="3" t="s">
        <v>873</v>
      </c>
      <c r="D681" s="3">
        <v>9876544080</v>
      </c>
      <c r="E681" s="3" t="s">
        <v>4419</v>
      </c>
      <c r="F681" s="3" t="str" cm="1">
        <f t="array" ref="F681">IF(E681="","",_xlfn.XLOOKUP(E681,{"FIRST","SECOND","THIRD","FOURTH"},{"SEM-1","SEM-2","SEM-3","SEM-4"},""))</f>
        <v>SEM-2</v>
      </c>
      <c r="G681" s="3">
        <v>90</v>
      </c>
      <c r="H681" s="3">
        <v>55</v>
      </c>
      <c r="I681" s="3">
        <v>24</v>
      </c>
      <c r="J681" s="3">
        <f t="shared" si="30"/>
        <v>169</v>
      </c>
      <c r="K681" s="3" t="str">
        <f t="shared" si="31"/>
        <v>P</v>
      </c>
      <c r="L681" s="3" t="str">
        <f t="shared" si="32"/>
        <v>B</v>
      </c>
    </row>
    <row r="682" spans="1:12" ht="14.25" customHeight="1">
      <c r="A682" s="3">
        <v>681</v>
      </c>
      <c r="B682" s="3" t="s">
        <v>3187</v>
      </c>
      <c r="C682" s="3" t="s">
        <v>285</v>
      </c>
      <c r="D682" s="3">
        <v>9876543486</v>
      </c>
      <c r="E682" s="3" t="s">
        <v>4418</v>
      </c>
      <c r="F682" s="3" t="str" cm="1">
        <f t="array" ref="F682">IF(E682="","",_xlfn.XLOOKUP(E682,{"FIRST","SECOND","THIRD","FOURTH"},{"SEM-1","SEM-2","SEM-3","SEM-4"},""))</f>
        <v>SEM-1</v>
      </c>
      <c r="G682" s="3">
        <v>2</v>
      </c>
      <c r="H682" s="3">
        <v>14</v>
      </c>
      <c r="I682" s="3">
        <v>95</v>
      </c>
      <c r="J682" s="3">
        <f t="shared" si="30"/>
        <v>111</v>
      </c>
      <c r="K682" s="3" t="str">
        <f t="shared" si="31"/>
        <v>P</v>
      </c>
      <c r="L682" s="3" t="str">
        <f t="shared" si="32"/>
        <v>FAIL</v>
      </c>
    </row>
    <row r="683" spans="1:12" ht="14.25" customHeight="1">
      <c r="A683" s="3">
        <v>682</v>
      </c>
      <c r="B683" s="3" t="s">
        <v>3264</v>
      </c>
      <c r="C683" s="3" t="s">
        <v>361</v>
      </c>
      <c r="D683" s="3">
        <v>9876543563</v>
      </c>
      <c r="E683" s="3" t="s">
        <v>4419</v>
      </c>
      <c r="F683" s="3" t="str" cm="1">
        <f t="array" ref="F683">IF(E683="","",_xlfn.XLOOKUP(E683,{"FIRST","SECOND","THIRD","FOURTH"},{"SEM-1","SEM-2","SEM-3","SEM-4"},""))</f>
        <v>SEM-2</v>
      </c>
      <c r="G683" s="3">
        <v>24</v>
      </c>
      <c r="H683" s="3">
        <v>32</v>
      </c>
      <c r="I683" s="3">
        <v>48</v>
      </c>
      <c r="J683" s="3">
        <f t="shared" si="30"/>
        <v>104</v>
      </c>
      <c r="K683" s="3" t="str">
        <f t="shared" si="31"/>
        <v>F</v>
      </c>
      <c r="L683" s="3" t="str">
        <f t="shared" si="32"/>
        <v>FAIL</v>
      </c>
    </row>
    <row r="684" spans="1:12" ht="14.25" customHeight="1">
      <c r="A684" s="3">
        <v>683</v>
      </c>
      <c r="B684" s="3" t="s">
        <v>4061</v>
      </c>
      <c r="C684" s="3" t="s">
        <v>361</v>
      </c>
      <c r="D684" s="3">
        <v>9876544360</v>
      </c>
      <c r="E684" s="3" t="s">
        <v>4419</v>
      </c>
      <c r="F684" s="3" t="str" cm="1">
        <f t="array" ref="F684">IF(E684="","",_xlfn.XLOOKUP(E684,{"FIRST","SECOND","THIRD","FOURTH"},{"SEM-1","SEM-2","SEM-3","SEM-4"},""))</f>
        <v>SEM-2</v>
      </c>
      <c r="G684" s="3">
        <v>4</v>
      </c>
      <c r="H684" s="3">
        <v>59</v>
      </c>
      <c r="I684" s="3">
        <v>39</v>
      </c>
      <c r="J684" s="3">
        <f t="shared" si="30"/>
        <v>102</v>
      </c>
      <c r="K684" s="3" t="str">
        <f t="shared" si="31"/>
        <v>F</v>
      </c>
      <c r="L684" s="3" t="str">
        <f t="shared" si="32"/>
        <v>FAIL</v>
      </c>
    </row>
    <row r="685" spans="1:12" ht="14.25" customHeight="1">
      <c r="A685" s="3">
        <v>684</v>
      </c>
      <c r="B685" s="3" t="s">
        <v>3157</v>
      </c>
      <c r="C685" s="3" t="s">
        <v>255</v>
      </c>
      <c r="D685" s="3">
        <v>9876543456</v>
      </c>
      <c r="E685" s="3" t="s">
        <v>4418</v>
      </c>
      <c r="F685" s="3" t="str" cm="1">
        <f t="array" ref="F685">IF(E685="","",_xlfn.XLOOKUP(E685,{"FIRST","SECOND","THIRD","FOURTH"},{"SEM-1","SEM-2","SEM-3","SEM-4"},""))</f>
        <v>SEM-1</v>
      </c>
      <c r="G685" s="3">
        <v>86</v>
      </c>
      <c r="H685" s="3">
        <v>96</v>
      </c>
      <c r="I685" s="3">
        <v>20</v>
      </c>
      <c r="J685" s="3">
        <f t="shared" si="30"/>
        <v>202</v>
      </c>
      <c r="K685" s="3" t="str">
        <f t="shared" si="31"/>
        <v>P</v>
      </c>
      <c r="L685" s="3" t="str">
        <f t="shared" si="32"/>
        <v>A</v>
      </c>
    </row>
    <row r="686" spans="1:12" ht="14.25" customHeight="1">
      <c r="A686" s="3">
        <v>685</v>
      </c>
      <c r="B686" s="3" t="s">
        <v>3379</v>
      </c>
      <c r="C686" s="3" t="s">
        <v>475</v>
      </c>
      <c r="D686" s="3">
        <v>9876543678</v>
      </c>
      <c r="E686" s="3" t="s">
        <v>4418</v>
      </c>
      <c r="F686" s="3" t="str" cm="1">
        <f t="array" ref="F686">IF(E686="","",_xlfn.XLOOKUP(E686,{"FIRST","SECOND","THIRD","FOURTH"},{"SEM-1","SEM-2","SEM-3","SEM-4"},""))</f>
        <v>SEM-1</v>
      </c>
      <c r="G686" s="3">
        <v>98</v>
      </c>
      <c r="H686" s="3">
        <v>46</v>
      </c>
      <c r="I686" s="3">
        <v>10</v>
      </c>
      <c r="J686" s="3">
        <f t="shared" si="30"/>
        <v>154</v>
      </c>
      <c r="K686" s="3" t="str">
        <f t="shared" si="31"/>
        <v>P</v>
      </c>
      <c r="L686" s="3" t="str">
        <f t="shared" si="32"/>
        <v>B</v>
      </c>
    </row>
    <row r="687" spans="1:12" ht="14.25" customHeight="1">
      <c r="A687" s="3">
        <v>686</v>
      </c>
      <c r="B687" s="3" t="s">
        <v>2930</v>
      </c>
      <c r="C687" s="3" t="s">
        <v>28</v>
      </c>
      <c r="D687" s="3">
        <v>9876543229</v>
      </c>
      <c r="E687" s="3" t="s">
        <v>4420</v>
      </c>
      <c r="F687" s="3" t="str" cm="1">
        <f t="array" ref="F687">IF(E687="","",_xlfn.XLOOKUP(E687,{"FIRST","SECOND","THIRD","FOURTH"},{"SEM-1","SEM-2","SEM-3","SEM-4"},""))</f>
        <v>SEM-3</v>
      </c>
      <c r="G687" s="3">
        <v>25</v>
      </c>
      <c r="H687" s="3">
        <v>68</v>
      </c>
      <c r="I687" s="3">
        <v>73</v>
      </c>
      <c r="J687" s="3">
        <f t="shared" si="30"/>
        <v>166</v>
      </c>
      <c r="K687" s="3" t="str">
        <f t="shared" si="31"/>
        <v>P</v>
      </c>
      <c r="L687" s="3" t="str">
        <f t="shared" si="32"/>
        <v>B</v>
      </c>
    </row>
    <row r="688" spans="1:12" ht="14.25" customHeight="1">
      <c r="A688" s="3">
        <v>687</v>
      </c>
      <c r="B688" s="3" t="s">
        <v>4359</v>
      </c>
      <c r="C688" s="3" t="s">
        <v>1438</v>
      </c>
      <c r="D688" s="3">
        <v>9876544658</v>
      </c>
      <c r="E688" s="3" t="s">
        <v>4420</v>
      </c>
      <c r="F688" s="3" t="str" cm="1">
        <f t="array" ref="F688">IF(E688="","",_xlfn.XLOOKUP(E688,{"FIRST","SECOND","THIRD","FOURTH"},{"SEM-1","SEM-2","SEM-3","SEM-4"},""))</f>
        <v>SEM-3</v>
      </c>
      <c r="G688" s="3">
        <v>20</v>
      </c>
      <c r="H688" s="3">
        <v>0</v>
      </c>
      <c r="I688" s="3">
        <v>82</v>
      </c>
      <c r="J688" s="3">
        <f t="shared" si="30"/>
        <v>102</v>
      </c>
      <c r="K688" s="3" t="str">
        <f t="shared" si="31"/>
        <v>P</v>
      </c>
      <c r="L688" s="3" t="str">
        <f t="shared" si="32"/>
        <v>FAIL</v>
      </c>
    </row>
    <row r="689" spans="1:12" ht="14.25" customHeight="1">
      <c r="A689" s="3">
        <v>688</v>
      </c>
      <c r="B689" s="3" t="s">
        <v>2933</v>
      </c>
      <c r="C689" s="3" t="s">
        <v>31</v>
      </c>
      <c r="D689" s="3">
        <v>9876543232</v>
      </c>
      <c r="E689" s="3" t="s">
        <v>4418</v>
      </c>
      <c r="F689" s="3" t="str" cm="1">
        <f t="array" ref="F689">IF(E689="","",_xlfn.XLOOKUP(E689,{"FIRST","SECOND","THIRD","FOURTH"},{"SEM-1","SEM-2","SEM-3","SEM-4"},""))</f>
        <v>SEM-1</v>
      </c>
      <c r="G689" s="3">
        <v>77</v>
      </c>
      <c r="H689" s="3">
        <v>56</v>
      </c>
      <c r="I689" s="3">
        <v>90</v>
      </c>
      <c r="J689" s="3">
        <f t="shared" si="30"/>
        <v>223</v>
      </c>
      <c r="K689" s="3" t="str">
        <f t="shared" si="31"/>
        <v>P</v>
      </c>
      <c r="L689" s="3" t="str">
        <f t="shared" si="32"/>
        <v>A</v>
      </c>
    </row>
    <row r="690" spans="1:12" ht="14.25" customHeight="1">
      <c r="A690" s="3">
        <v>689</v>
      </c>
      <c r="B690" s="3" t="s">
        <v>3749</v>
      </c>
      <c r="C690" s="3" t="s">
        <v>842</v>
      </c>
      <c r="D690" s="3">
        <v>9876544048</v>
      </c>
      <c r="E690" s="3" t="s">
        <v>4419</v>
      </c>
      <c r="F690" s="3" t="str" cm="1">
        <f t="array" ref="F690">IF(E690="","",_xlfn.XLOOKUP(E690,{"FIRST","SECOND","THIRD","FOURTH"},{"SEM-1","SEM-2","SEM-3","SEM-4"},""))</f>
        <v>SEM-2</v>
      </c>
      <c r="G690" s="3">
        <v>18</v>
      </c>
      <c r="H690" s="3">
        <v>11</v>
      </c>
      <c r="I690" s="3">
        <v>46</v>
      </c>
      <c r="J690" s="3">
        <f t="shared" si="30"/>
        <v>75</v>
      </c>
      <c r="K690" s="3" t="str">
        <f t="shared" si="31"/>
        <v>F</v>
      </c>
      <c r="L690" s="3" t="str">
        <f t="shared" si="32"/>
        <v>FAIL</v>
      </c>
    </row>
    <row r="691" spans="1:12" ht="14.25" customHeight="1">
      <c r="A691" s="3">
        <v>690</v>
      </c>
      <c r="B691" s="3" t="s">
        <v>3227</v>
      </c>
      <c r="C691" s="3" t="s">
        <v>324</v>
      </c>
      <c r="D691" s="3">
        <v>9876543526</v>
      </c>
      <c r="E691" s="3" t="s">
        <v>4420</v>
      </c>
      <c r="F691" s="3" t="str" cm="1">
        <f t="array" ref="F691">IF(E691="","",_xlfn.XLOOKUP(E691,{"FIRST","SECOND","THIRD","FOURTH"},{"SEM-1","SEM-2","SEM-3","SEM-4"},""))</f>
        <v>SEM-3</v>
      </c>
      <c r="G691" s="3">
        <v>57</v>
      </c>
      <c r="H691" s="3">
        <v>90</v>
      </c>
      <c r="I691" s="3">
        <v>88</v>
      </c>
      <c r="J691" s="3">
        <f t="shared" si="30"/>
        <v>235</v>
      </c>
      <c r="K691" s="3" t="str">
        <f t="shared" si="31"/>
        <v>P</v>
      </c>
      <c r="L691" s="3" t="str">
        <f t="shared" si="32"/>
        <v>A</v>
      </c>
    </row>
    <row r="692" spans="1:12" ht="14.25" customHeight="1">
      <c r="A692" s="3">
        <v>691</v>
      </c>
      <c r="B692" s="3" t="s">
        <v>4239</v>
      </c>
      <c r="C692" s="3" t="s">
        <v>1322</v>
      </c>
      <c r="D692" s="3">
        <v>9876544538</v>
      </c>
      <c r="E692" s="3" t="s">
        <v>4418</v>
      </c>
      <c r="F692" s="3" t="str" cm="1">
        <f t="array" ref="F692">IF(E692="","",_xlfn.XLOOKUP(E692,{"FIRST","SECOND","THIRD","FOURTH"},{"SEM-1","SEM-2","SEM-3","SEM-4"},""))</f>
        <v>SEM-1</v>
      </c>
      <c r="G692" s="3">
        <v>85</v>
      </c>
      <c r="H692" s="3">
        <v>55</v>
      </c>
      <c r="I692" s="3">
        <v>94</v>
      </c>
      <c r="J692" s="3">
        <f t="shared" si="30"/>
        <v>234</v>
      </c>
      <c r="K692" s="3" t="str">
        <f t="shared" si="31"/>
        <v>P</v>
      </c>
      <c r="L692" s="3" t="str">
        <f t="shared" si="32"/>
        <v>A</v>
      </c>
    </row>
    <row r="693" spans="1:12" ht="14.25" customHeight="1">
      <c r="A693" s="3">
        <v>692</v>
      </c>
      <c r="B693" s="3" t="s">
        <v>3422</v>
      </c>
      <c r="C693" s="3" t="s">
        <v>518</v>
      </c>
      <c r="D693" s="3">
        <v>9876543721</v>
      </c>
      <c r="E693" s="3" t="s">
        <v>4420</v>
      </c>
      <c r="F693" s="3" t="str" cm="1">
        <f t="array" ref="F693">IF(E693="","",_xlfn.XLOOKUP(E693,{"FIRST","SECOND","THIRD","FOURTH"},{"SEM-1","SEM-2","SEM-3","SEM-4"},""))</f>
        <v>SEM-3</v>
      </c>
      <c r="G693" s="3">
        <v>55</v>
      </c>
      <c r="H693" s="3">
        <v>51</v>
      </c>
      <c r="I693" s="3">
        <v>13</v>
      </c>
      <c r="J693" s="3">
        <f t="shared" si="30"/>
        <v>119</v>
      </c>
      <c r="K693" s="3" t="str">
        <f t="shared" si="31"/>
        <v>F</v>
      </c>
      <c r="L693" s="3" t="str">
        <f t="shared" si="32"/>
        <v>FAIL</v>
      </c>
    </row>
    <row r="694" spans="1:12" ht="14.25" customHeight="1">
      <c r="A694" s="3">
        <v>693</v>
      </c>
      <c r="B694" s="3" t="s">
        <v>4079</v>
      </c>
      <c r="C694" s="3" t="s">
        <v>1165</v>
      </c>
      <c r="D694" s="3">
        <v>9876544378</v>
      </c>
      <c r="E694" s="3" t="s">
        <v>4420</v>
      </c>
      <c r="F694" s="3" t="str" cm="1">
        <f t="array" ref="F694">IF(E694="","",_xlfn.XLOOKUP(E694,{"FIRST","SECOND","THIRD","FOURTH"},{"SEM-1","SEM-2","SEM-3","SEM-4"},""))</f>
        <v>SEM-3</v>
      </c>
      <c r="G694" s="3">
        <v>97</v>
      </c>
      <c r="H694" s="3">
        <v>94</v>
      </c>
      <c r="I694" s="3">
        <v>61</v>
      </c>
      <c r="J694" s="3">
        <f t="shared" si="30"/>
        <v>252</v>
      </c>
      <c r="K694" s="3" t="str">
        <f t="shared" si="31"/>
        <v>P</v>
      </c>
      <c r="L694" s="3" t="str">
        <f t="shared" si="32"/>
        <v>A</v>
      </c>
    </row>
    <row r="695" spans="1:12" ht="14.25" customHeight="1">
      <c r="A695" s="3">
        <v>694</v>
      </c>
      <c r="B695" s="3" t="s">
        <v>3665</v>
      </c>
      <c r="C695" s="3" t="s">
        <v>758</v>
      </c>
      <c r="D695" s="3">
        <v>9876543964</v>
      </c>
      <c r="E695" s="3" t="s">
        <v>4419</v>
      </c>
      <c r="F695" s="3" t="str" cm="1">
        <f t="array" ref="F695">IF(E695="","",_xlfn.XLOOKUP(E695,{"FIRST","SECOND","THIRD","FOURTH"},{"SEM-1","SEM-2","SEM-3","SEM-4"},""))</f>
        <v>SEM-2</v>
      </c>
      <c r="G695" s="3">
        <v>35</v>
      </c>
      <c r="H695" s="3">
        <v>35</v>
      </c>
      <c r="I695" s="3">
        <v>91</v>
      </c>
      <c r="J695" s="3">
        <f t="shared" si="30"/>
        <v>161</v>
      </c>
      <c r="K695" s="3" t="str">
        <f t="shared" si="31"/>
        <v>P</v>
      </c>
      <c r="L695" s="3" t="str">
        <f t="shared" si="32"/>
        <v>B</v>
      </c>
    </row>
    <row r="696" spans="1:12" ht="14.25" customHeight="1">
      <c r="A696" s="3">
        <v>695</v>
      </c>
      <c r="B696" s="3" t="s">
        <v>2955</v>
      </c>
      <c r="C696" s="3" t="s">
        <v>53</v>
      </c>
      <c r="D696" s="3">
        <v>9876543254</v>
      </c>
      <c r="E696" s="3" t="s">
        <v>4420</v>
      </c>
      <c r="F696" s="3" t="str" cm="1">
        <f t="array" ref="F696">IF(E696="","",_xlfn.XLOOKUP(E696,{"FIRST","SECOND","THIRD","FOURTH"},{"SEM-1","SEM-2","SEM-3","SEM-4"},""))</f>
        <v>SEM-3</v>
      </c>
      <c r="G696" s="3">
        <v>84</v>
      </c>
      <c r="H696" s="3">
        <v>90</v>
      </c>
      <c r="I696" s="3">
        <v>56</v>
      </c>
      <c r="J696" s="3">
        <f t="shared" si="30"/>
        <v>230</v>
      </c>
      <c r="K696" s="3" t="str">
        <f t="shared" si="31"/>
        <v>P</v>
      </c>
      <c r="L696" s="3" t="str">
        <f t="shared" si="32"/>
        <v>A</v>
      </c>
    </row>
    <row r="697" spans="1:12" ht="14.25" customHeight="1">
      <c r="A697" s="3">
        <v>696</v>
      </c>
      <c r="B697" s="3" t="s">
        <v>3030</v>
      </c>
      <c r="C697" s="3" t="s">
        <v>128</v>
      </c>
      <c r="D697" s="3">
        <v>9876543329</v>
      </c>
      <c r="E697" s="3" t="s">
        <v>4420</v>
      </c>
      <c r="F697" s="3" t="str" cm="1">
        <f t="array" ref="F697">IF(E697="","",_xlfn.XLOOKUP(E697,{"FIRST","SECOND","THIRD","FOURTH"},{"SEM-1","SEM-2","SEM-3","SEM-4"},""))</f>
        <v>SEM-3</v>
      </c>
      <c r="G697" s="3">
        <v>5</v>
      </c>
      <c r="H697" s="3">
        <v>70</v>
      </c>
      <c r="I697" s="3">
        <v>96</v>
      </c>
      <c r="J697" s="3">
        <f t="shared" si="30"/>
        <v>171</v>
      </c>
      <c r="K697" s="3" t="str">
        <f t="shared" si="31"/>
        <v>P</v>
      </c>
      <c r="L697" s="3" t="str">
        <f t="shared" si="32"/>
        <v>B</v>
      </c>
    </row>
    <row r="698" spans="1:12" ht="14.25" customHeight="1">
      <c r="A698" s="3">
        <v>697</v>
      </c>
      <c r="B698" s="3" t="s">
        <v>3387</v>
      </c>
      <c r="C698" s="3" t="s">
        <v>483</v>
      </c>
      <c r="D698" s="3">
        <v>9876543686</v>
      </c>
      <c r="E698" s="3" t="s">
        <v>4418</v>
      </c>
      <c r="F698" s="3" t="str" cm="1">
        <f t="array" ref="F698">IF(E698="","",_xlfn.XLOOKUP(E698,{"FIRST","SECOND","THIRD","FOURTH"},{"SEM-1","SEM-2","SEM-3","SEM-4"},""))</f>
        <v>SEM-1</v>
      </c>
      <c r="G698" s="3">
        <v>23</v>
      </c>
      <c r="H698" s="3">
        <v>73</v>
      </c>
      <c r="I698" s="3">
        <v>56</v>
      </c>
      <c r="J698" s="3">
        <f t="shared" si="30"/>
        <v>152</v>
      </c>
      <c r="K698" s="3" t="str">
        <f t="shared" si="31"/>
        <v>P</v>
      </c>
      <c r="L698" s="3" t="str">
        <f t="shared" si="32"/>
        <v>B</v>
      </c>
    </row>
    <row r="699" spans="1:12" ht="14.25" customHeight="1">
      <c r="A699" s="3">
        <v>698</v>
      </c>
      <c r="B699" s="3" t="s">
        <v>4303</v>
      </c>
      <c r="C699" s="3" t="s">
        <v>1384</v>
      </c>
      <c r="D699" s="3">
        <v>9876544602</v>
      </c>
      <c r="E699" s="3" t="s">
        <v>4418</v>
      </c>
      <c r="F699" s="3" t="str" cm="1">
        <f t="array" ref="F699">IF(E699="","",_xlfn.XLOOKUP(E699,{"FIRST","SECOND","THIRD","FOURTH"},{"SEM-1","SEM-2","SEM-3","SEM-4"},""))</f>
        <v>SEM-1</v>
      </c>
      <c r="G699" s="3">
        <v>14</v>
      </c>
      <c r="H699" s="3">
        <v>3</v>
      </c>
      <c r="I699" s="3">
        <v>37</v>
      </c>
      <c r="J699" s="3">
        <f t="shared" si="30"/>
        <v>54</v>
      </c>
      <c r="K699" s="3" t="str">
        <f t="shared" si="31"/>
        <v>F</v>
      </c>
      <c r="L699" s="3" t="str">
        <f t="shared" si="32"/>
        <v>FAIL</v>
      </c>
    </row>
    <row r="700" spans="1:12" ht="14.25" customHeight="1">
      <c r="A700" s="3">
        <v>699</v>
      </c>
      <c r="B700" s="3" t="s">
        <v>3813</v>
      </c>
      <c r="C700" s="3" t="s">
        <v>905</v>
      </c>
      <c r="D700" s="3">
        <v>9876544112</v>
      </c>
      <c r="E700" s="3" t="s">
        <v>4418</v>
      </c>
      <c r="F700" s="3" t="str" cm="1">
        <f t="array" ref="F700">IF(E700="","",_xlfn.XLOOKUP(E700,{"FIRST","SECOND","THIRD","FOURTH"},{"SEM-1","SEM-2","SEM-3","SEM-4"},""))</f>
        <v>SEM-1</v>
      </c>
      <c r="G700" s="3">
        <v>39</v>
      </c>
      <c r="H700" s="3">
        <v>10</v>
      </c>
      <c r="I700" s="3">
        <v>64</v>
      </c>
      <c r="J700" s="3">
        <f t="shared" si="30"/>
        <v>113</v>
      </c>
      <c r="K700" s="3" t="str">
        <f t="shared" si="31"/>
        <v>F</v>
      </c>
      <c r="L700" s="3" t="str">
        <f t="shared" si="32"/>
        <v>FAIL</v>
      </c>
    </row>
    <row r="701" spans="1:12" ht="14.25" customHeight="1">
      <c r="A701" s="3">
        <v>700</v>
      </c>
      <c r="B701" s="3" t="s">
        <v>4095</v>
      </c>
      <c r="C701" s="3" t="s">
        <v>1180</v>
      </c>
      <c r="D701" s="3">
        <v>9876544394</v>
      </c>
      <c r="E701" s="3" t="s">
        <v>4419</v>
      </c>
      <c r="F701" s="3" t="str" cm="1">
        <f t="array" ref="F701">IF(E701="","",_xlfn.XLOOKUP(E701,{"FIRST","SECOND","THIRD","FOURTH"},{"SEM-1","SEM-2","SEM-3","SEM-4"},""))</f>
        <v>SEM-2</v>
      </c>
      <c r="G701" s="3">
        <v>67</v>
      </c>
      <c r="H701" s="3">
        <v>25</v>
      </c>
      <c r="I701" s="3">
        <v>29</v>
      </c>
      <c r="J701" s="3">
        <f t="shared" si="30"/>
        <v>121</v>
      </c>
      <c r="K701" s="3" t="str">
        <f t="shared" si="31"/>
        <v>P</v>
      </c>
      <c r="L701" s="3" t="str">
        <f t="shared" si="32"/>
        <v>C</v>
      </c>
    </row>
    <row r="702" spans="1:12" ht="14.25" customHeight="1">
      <c r="A702" s="3">
        <v>701</v>
      </c>
      <c r="B702" s="3" t="s">
        <v>3819</v>
      </c>
      <c r="C702" s="3" t="s">
        <v>911</v>
      </c>
      <c r="D702" s="3">
        <v>9876544118</v>
      </c>
      <c r="E702" s="3" t="s">
        <v>4418</v>
      </c>
      <c r="F702" s="3" t="str" cm="1">
        <f t="array" ref="F702">IF(E702="","",_xlfn.XLOOKUP(E702,{"FIRST","SECOND","THIRD","FOURTH"},{"SEM-1","SEM-2","SEM-3","SEM-4"},""))</f>
        <v>SEM-1</v>
      </c>
      <c r="G702" s="3">
        <v>44</v>
      </c>
      <c r="H702" s="3">
        <v>14</v>
      </c>
      <c r="I702" s="3">
        <v>64</v>
      </c>
      <c r="J702" s="3">
        <f t="shared" si="30"/>
        <v>122</v>
      </c>
      <c r="K702" s="3" t="str">
        <f t="shared" si="31"/>
        <v>P</v>
      </c>
      <c r="L702" s="3" t="str">
        <f t="shared" si="32"/>
        <v>C</v>
      </c>
    </row>
    <row r="703" spans="1:12" ht="14.25" customHeight="1">
      <c r="A703" s="3">
        <v>702</v>
      </c>
      <c r="B703" s="3" t="s">
        <v>3327</v>
      </c>
      <c r="C703" s="3" t="s">
        <v>423</v>
      </c>
      <c r="D703" s="3">
        <v>9876543626</v>
      </c>
      <c r="E703" s="3" t="s">
        <v>4420</v>
      </c>
      <c r="F703" s="3" t="str" cm="1">
        <f t="array" ref="F703">IF(E703="","",_xlfn.XLOOKUP(E703,{"FIRST","SECOND","THIRD","FOURTH"},{"SEM-1","SEM-2","SEM-3","SEM-4"},""))</f>
        <v>SEM-3</v>
      </c>
      <c r="G703" s="3">
        <v>12</v>
      </c>
      <c r="H703" s="3">
        <v>100</v>
      </c>
      <c r="I703" s="3">
        <v>38</v>
      </c>
      <c r="J703" s="3">
        <f t="shared" si="30"/>
        <v>150</v>
      </c>
      <c r="K703" s="3" t="str">
        <f t="shared" si="31"/>
        <v>P</v>
      </c>
      <c r="L703" s="3" t="str">
        <f t="shared" si="32"/>
        <v>B</v>
      </c>
    </row>
    <row r="704" spans="1:12" ht="14.25" customHeight="1">
      <c r="A704" s="3">
        <v>703</v>
      </c>
      <c r="B704" s="3" t="s">
        <v>3271</v>
      </c>
      <c r="C704" s="3" t="s">
        <v>368</v>
      </c>
      <c r="D704" s="3">
        <v>9876543570</v>
      </c>
      <c r="E704" s="3" t="s">
        <v>4419</v>
      </c>
      <c r="F704" s="3" t="str" cm="1">
        <f t="array" ref="F704">IF(E704="","",_xlfn.XLOOKUP(E704,{"FIRST","SECOND","THIRD","FOURTH"},{"SEM-1","SEM-2","SEM-3","SEM-4"},""))</f>
        <v>SEM-2</v>
      </c>
      <c r="G704" s="3">
        <v>37</v>
      </c>
      <c r="H704" s="3">
        <v>73</v>
      </c>
      <c r="I704" s="3">
        <v>65</v>
      </c>
      <c r="J704" s="3">
        <f t="shared" si="30"/>
        <v>175</v>
      </c>
      <c r="K704" s="3" t="str">
        <f t="shared" si="31"/>
        <v>P</v>
      </c>
      <c r="L704" s="3" t="str">
        <f t="shared" si="32"/>
        <v>B</v>
      </c>
    </row>
    <row r="705" spans="1:12" ht="14.25" customHeight="1">
      <c r="A705" s="3">
        <v>704</v>
      </c>
      <c r="B705" s="3" t="s">
        <v>3034</v>
      </c>
      <c r="C705" s="3" t="s">
        <v>132</v>
      </c>
      <c r="D705" s="3">
        <v>9876543333</v>
      </c>
      <c r="E705" s="3" t="s">
        <v>4418</v>
      </c>
      <c r="F705" s="3" t="str" cm="1">
        <f t="array" ref="F705">IF(E705="","",_xlfn.XLOOKUP(E705,{"FIRST","SECOND","THIRD","FOURTH"},{"SEM-1","SEM-2","SEM-3","SEM-4"},""))</f>
        <v>SEM-1</v>
      </c>
      <c r="G705" s="3">
        <v>31</v>
      </c>
      <c r="H705" s="3">
        <v>92</v>
      </c>
      <c r="I705" s="3">
        <v>31</v>
      </c>
      <c r="J705" s="3">
        <f t="shared" si="30"/>
        <v>154</v>
      </c>
      <c r="K705" s="3" t="str">
        <f t="shared" si="31"/>
        <v>P</v>
      </c>
      <c r="L705" s="3" t="str">
        <f t="shared" si="32"/>
        <v>B</v>
      </c>
    </row>
    <row r="706" spans="1:12" ht="14.25" customHeight="1">
      <c r="A706" s="3">
        <v>705</v>
      </c>
      <c r="B706" s="3" t="s">
        <v>3215</v>
      </c>
      <c r="C706" s="3" t="s">
        <v>312</v>
      </c>
      <c r="D706" s="3">
        <v>9876543514</v>
      </c>
      <c r="E706" s="3" t="s">
        <v>4420</v>
      </c>
      <c r="F706" s="3" t="str" cm="1">
        <f t="array" ref="F706">IF(E706="","",_xlfn.XLOOKUP(E706,{"FIRST","SECOND","THIRD","FOURTH"},{"SEM-1","SEM-2","SEM-3","SEM-4"},""))</f>
        <v>SEM-3</v>
      </c>
      <c r="G706" s="3">
        <v>42</v>
      </c>
      <c r="H706" s="3">
        <v>50</v>
      </c>
      <c r="I706" s="3">
        <v>43</v>
      </c>
      <c r="J706" s="3">
        <f t="shared" ref="J706:J769" si="33">SUM(G706:I706)</f>
        <v>135</v>
      </c>
      <c r="K706" s="3" t="str">
        <f t="shared" ref="K706:K769" si="34">IF(OR(G706&gt;=70,H706&gt;=70,I706&gt;=70,J706&gt;=120),"P","F")</f>
        <v>P</v>
      </c>
      <c r="L706" s="3" t="str">
        <f t="shared" ref="L706:L769" si="35">IF(J706&gt;=190,"A",IF(J706&gt;=150,"B",IF(J706&gt;=120,"C","FAIL")))</f>
        <v>C</v>
      </c>
    </row>
    <row r="707" spans="1:12" ht="14.25" customHeight="1">
      <c r="A707" s="3">
        <v>706</v>
      </c>
      <c r="B707" s="3" t="s">
        <v>3393</v>
      </c>
      <c r="C707" s="3" t="s">
        <v>489</v>
      </c>
      <c r="D707" s="3">
        <v>9876543692</v>
      </c>
      <c r="E707" s="3" t="s">
        <v>4419</v>
      </c>
      <c r="F707" s="3" t="str" cm="1">
        <f t="array" ref="F707">IF(E707="","",_xlfn.XLOOKUP(E707,{"FIRST","SECOND","THIRD","FOURTH"},{"SEM-1","SEM-2","SEM-3","SEM-4"},""))</f>
        <v>SEM-2</v>
      </c>
      <c r="G707" s="3">
        <v>72</v>
      </c>
      <c r="H707" s="3">
        <v>86</v>
      </c>
      <c r="I707" s="3">
        <v>75</v>
      </c>
      <c r="J707" s="3">
        <f t="shared" si="33"/>
        <v>233</v>
      </c>
      <c r="K707" s="3" t="str">
        <f t="shared" si="34"/>
        <v>P</v>
      </c>
      <c r="L707" s="3" t="str">
        <f t="shared" si="35"/>
        <v>A</v>
      </c>
    </row>
    <row r="708" spans="1:12" ht="14.25" customHeight="1">
      <c r="A708" s="3">
        <v>707</v>
      </c>
      <c r="B708" s="3" t="s">
        <v>2944</v>
      </c>
      <c r="C708" s="3" t="s">
        <v>42</v>
      </c>
      <c r="D708" s="3">
        <v>9876543243</v>
      </c>
      <c r="E708" s="3" t="s">
        <v>4418</v>
      </c>
      <c r="F708" s="3" t="str" cm="1">
        <f t="array" ref="F708">IF(E708="","",_xlfn.XLOOKUP(E708,{"FIRST","SECOND","THIRD","FOURTH"},{"SEM-1","SEM-2","SEM-3","SEM-4"},""))</f>
        <v>SEM-1</v>
      </c>
      <c r="G708" s="3">
        <v>88</v>
      </c>
      <c r="H708" s="3">
        <v>86</v>
      </c>
      <c r="I708" s="3">
        <v>97</v>
      </c>
      <c r="J708" s="3">
        <f t="shared" si="33"/>
        <v>271</v>
      </c>
      <c r="K708" s="3" t="str">
        <f t="shared" si="34"/>
        <v>P</v>
      </c>
      <c r="L708" s="3" t="str">
        <f t="shared" si="35"/>
        <v>A</v>
      </c>
    </row>
    <row r="709" spans="1:12" ht="14.25" customHeight="1">
      <c r="A709" s="3">
        <v>708</v>
      </c>
      <c r="B709" s="3" t="s">
        <v>3527</v>
      </c>
      <c r="C709" s="3" t="s">
        <v>622</v>
      </c>
      <c r="D709" s="3">
        <v>9876543826</v>
      </c>
      <c r="E709" s="3" t="s">
        <v>4419</v>
      </c>
      <c r="F709" s="3" t="str" cm="1">
        <f t="array" ref="F709">IF(E709="","",_xlfn.XLOOKUP(E709,{"FIRST","SECOND","THIRD","FOURTH"},{"SEM-1","SEM-2","SEM-3","SEM-4"},""))</f>
        <v>SEM-2</v>
      </c>
      <c r="G709" s="3">
        <v>61</v>
      </c>
      <c r="H709" s="3">
        <v>55</v>
      </c>
      <c r="I709" s="3">
        <v>73</v>
      </c>
      <c r="J709" s="3">
        <f t="shared" si="33"/>
        <v>189</v>
      </c>
      <c r="K709" s="3" t="str">
        <f t="shared" si="34"/>
        <v>P</v>
      </c>
      <c r="L709" s="3" t="str">
        <f t="shared" si="35"/>
        <v>B</v>
      </c>
    </row>
    <row r="710" spans="1:12" ht="14.25" customHeight="1">
      <c r="A710" s="3">
        <v>709</v>
      </c>
      <c r="B710" s="3" t="s">
        <v>4096</v>
      </c>
      <c r="C710" s="3" t="s">
        <v>1181</v>
      </c>
      <c r="D710" s="3">
        <v>9876544395</v>
      </c>
      <c r="E710" s="3" t="s">
        <v>4420</v>
      </c>
      <c r="F710" s="3" t="str" cm="1">
        <f t="array" ref="F710">IF(E710="","",_xlfn.XLOOKUP(E710,{"FIRST","SECOND","THIRD","FOURTH"},{"SEM-1","SEM-2","SEM-3","SEM-4"},""))</f>
        <v>SEM-3</v>
      </c>
      <c r="G710" s="3">
        <v>9</v>
      </c>
      <c r="H710" s="3">
        <v>76</v>
      </c>
      <c r="I710" s="3">
        <v>57</v>
      </c>
      <c r="J710" s="3">
        <f t="shared" si="33"/>
        <v>142</v>
      </c>
      <c r="K710" s="3" t="str">
        <f t="shared" si="34"/>
        <v>P</v>
      </c>
      <c r="L710" s="3" t="str">
        <f t="shared" si="35"/>
        <v>C</v>
      </c>
    </row>
    <row r="711" spans="1:12" ht="14.25" customHeight="1">
      <c r="A711" s="3">
        <v>710</v>
      </c>
      <c r="B711" s="3" t="s">
        <v>3311</v>
      </c>
      <c r="C711" s="3" t="s">
        <v>407</v>
      </c>
      <c r="D711" s="3">
        <v>9876543610</v>
      </c>
      <c r="E711" s="3" t="s">
        <v>4419</v>
      </c>
      <c r="F711" s="3" t="str" cm="1">
        <f t="array" ref="F711">IF(E711="","",_xlfn.XLOOKUP(E711,{"FIRST","SECOND","THIRD","FOURTH"},{"SEM-1","SEM-2","SEM-3","SEM-4"},""))</f>
        <v>SEM-2</v>
      </c>
      <c r="G711" s="3">
        <v>41</v>
      </c>
      <c r="H711" s="3">
        <v>82</v>
      </c>
      <c r="I711" s="3">
        <v>58</v>
      </c>
      <c r="J711" s="3">
        <f t="shared" si="33"/>
        <v>181</v>
      </c>
      <c r="K711" s="3" t="str">
        <f t="shared" si="34"/>
        <v>P</v>
      </c>
      <c r="L711" s="3" t="str">
        <f t="shared" si="35"/>
        <v>B</v>
      </c>
    </row>
    <row r="712" spans="1:12" ht="14.25" customHeight="1">
      <c r="A712" s="3">
        <v>711</v>
      </c>
      <c r="B712" s="3" t="s">
        <v>4137</v>
      </c>
      <c r="C712" s="3" t="s">
        <v>1222</v>
      </c>
      <c r="D712" s="3">
        <v>9876544436</v>
      </c>
      <c r="E712" s="3" t="s">
        <v>4</v>
      </c>
      <c r="F712" s="3" t="str" cm="1">
        <f t="array" ref="F712">IF(E712="","",_xlfn.XLOOKUP(E712,{"FIRST","SECOND","THIRD","FOURTH"},{"SEM-1","SEM-2","SEM-3","SEM-4"},""))</f>
        <v/>
      </c>
      <c r="G712" s="3">
        <v>34</v>
      </c>
      <c r="H712" s="3">
        <v>87</v>
      </c>
      <c r="I712" s="3">
        <v>0</v>
      </c>
      <c r="J712" s="3">
        <f t="shared" si="33"/>
        <v>121</v>
      </c>
      <c r="K712" s="3" t="str">
        <f t="shared" si="34"/>
        <v>P</v>
      </c>
      <c r="L712" s="3" t="str">
        <f t="shared" si="35"/>
        <v>C</v>
      </c>
    </row>
    <row r="713" spans="1:12" ht="14.25" customHeight="1">
      <c r="A713" s="3">
        <v>712</v>
      </c>
      <c r="B713" s="3" t="s">
        <v>4074</v>
      </c>
      <c r="C713" s="3" t="s">
        <v>1160</v>
      </c>
      <c r="D713" s="3">
        <v>9876544373</v>
      </c>
      <c r="E713" s="3" t="s">
        <v>4419</v>
      </c>
      <c r="F713" s="3" t="str" cm="1">
        <f t="array" ref="F713">IF(E713="","",_xlfn.XLOOKUP(E713,{"FIRST","SECOND","THIRD","FOURTH"},{"SEM-1","SEM-2","SEM-3","SEM-4"},""))</f>
        <v>SEM-2</v>
      </c>
      <c r="G713" s="3">
        <v>56</v>
      </c>
      <c r="H713" s="3">
        <v>54</v>
      </c>
      <c r="I713" s="3">
        <v>80</v>
      </c>
      <c r="J713" s="3">
        <f t="shared" si="33"/>
        <v>190</v>
      </c>
      <c r="K713" s="3" t="str">
        <f t="shared" si="34"/>
        <v>P</v>
      </c>
      <c r="L713" s="3" t="str">
        <f t="shared" si="35"/>
        <v>A</v>
      </c>
    </row>
    <row r="714" spans="1:12" ht="14.25" customHeight="1">
      <c r="A714" s="3">
        <v>713</v>
      </c>
      <c r="B714" s="3" t="s">
        <v>4046</v>
      </c>
      <c r="C714" s="3" t="s">
        <v>1134</v>
      </c>
      <c r="D714" s="3">
        <v>9876544345</v>
      </c>
      <c r="E714" s="3" t="s">
        <v>4420</v>
      </c>
      <c r="F714" s="3" t="str" cm="1">
        <f t="array" ref="F714">IF(E714="","",_xlfn.XLOOKUP(E714,{"FIRST","SECOND","THIRD","FOURTH"},{"SEM-1","SEM-2","SEM-3","SEM-4"},""))</f>
        <v>SEM-3</v>
      </c>
      <c r="G714" s="3">
        <v>96</v>
      </c>
      <c r="H714" s="3">
        <v>77</v>
      </c>
      <c r="I714" s="3">
        <v>2</v>
      </c>
      <c r="J714" s="3">
        <f t="shared" si="33"/>
        <v>175</v>
      </c>
      <c r="K714" s="3" t="str">
        <f t="shared" si="34"/>
        <v>P</v>
      </c>
      <c r="L714" s="3" t="str">
        <f t="shared" si="35"/>
        <v>B</v>
      </c>
    </row>
    <row r="715" spans="1:12" ht="14.25" customHeight="1">
      <c r="A715" s="3">
        <v>714</v>
      </c>
      <c r="B715" s="3" t="s">
        <v>3153</v>
      </c>
      <c r="C715" s="3" t="s">
        <v>251</v>
      </c>
      <c r="D715" s="3">
        <v>9876543452</v>
      </c>
      <c r="E715" s="3" t="s">
        <v>4418</v>
      </c>
      <c r="F715" s="3" t="str" cm="1">
        <f t="array" ref="F715">IF(E715="","",_xlfn.XLOOKUP(E715,{"FIRST","SECOND","THIRD","FOURTH"},{"SEM-1","SEM-2","SEM-3","SEM-4"},""))</f>
        <v>SEM-1</v>
      </c>
      <c r="G715" s="3">
        <v>3</v>
      </c>
      <c r="H715" s="3">
        <v>24</v>
      </c>
      <c r="I715" s="3">
        <v>34</v>
      </c>
      <c r="J715" s="3">
        <f t="shared" si="33"/>
        <v>61</v>
      </c>
      <c r="K715" s="3" t="str">
        <f t="shared" si="34"/>
        <v>F</v>
      </c>
      <c r="L715" s="3" t="str">
        <f t="shared" si="35"/>
        <v>FAIL</v>
      </c>
    </row>
    <row r="716" spans="1:12" ht="14.25" customHeight="1">
      <c r="A716" s="3">
        <v>715</v>
      </c>
      <c r="B716" s="3" t="s">
        <v>4362</v>
      </c>
      <c r="C716" s="3" t="s">
        <v>1441</v>
      </c>
      <c r="D716" s="3">
        <v>9876544661</v>
      </c>
      <c r="E716" s="3" t="s">
        <v>4419</v>
      </c>
      <c r="F716" s="3" t="str" cm="1">
        <f t="array" ref="F716">IF(E716="","",_xlfn.XLOOKUP(E716,{"FIRST","SECOND","THIRD","FOURTH"},{"SEM-1","SEM-2","SEM-3","SEM-4"},""))</f>
        <v>SEM-2</v>
      </c>
      <c r="G716" s="3">
        <v>44</v>
      </c>
      <c r="H716" s="3">
        <v>91</v>
      </c>
      <c r="I716" s="3">
        <v>100</v>
      </c>
      <c r="J716" s="3">
        <f t="shared" si="33"/>
        <v>235</v>
      </c>
      <c r="K716" s="3" t="str">
        <f t="shared" si="34"/>
        <v>P</v>
      </c>
      <c r="L716" s="3" t="str">
        <f t="shared" si="35"/>
        <v>A</v>
      </c>
    </row>
    <row r="717" spans="1:12" ht="14.25" customHeight="1">
      <c r="A717" s="3">
        <v>716</v>
      </c>
      <c r="B717" s="3" t="s">
        <v>3178</v>
      </c>
      <c r="C717" s="3" t="s">
        <v>276</v>
      </c>
      <c r="D717" s="3">
        <v>9876543477</v>
      </c>
      <c r="E717" s="3" t="s">
        <v>4418</v>
      </c>
      <c r="F717" s="3" t="str" cm="1">
        <f t="array" ref="F717">IF(E717="","",_xlfn.XLOOKUP(E717,{"FIRST","SECOND","THIRD","FOURTH"},{"SEM-1","SEM-2","SEM-3","SEM-4"},""))</f>
        <v>SEM-1</v>
      </c>
      <c r="G717" s="3">
        <v>27</v>
      </c>
      <c r="H717" s="3">
        <v>49</v>
      </c>
      <c r="I717" s="3">
        <v>35</v>
      </c>
      <c r="J717" s="3">
        <f t="shared" si="33"/>
        <v>111</v>
      </c>
      <c r="K717" s="3" t="str">
        <f t="shared" si="34"/>
        <v>F</v>
      </c>
      <c r="L717" s="3" t="str">
        <f t="shared" si="35"/>
        <v>FAIL</v>
      </c>
    </row>
    <row r="718" spans="1:12" ht="14.25" customHeight="1">
      <c r="A718" s="3">
        <v>717</v>
      </c>
      <c r="B718" s="3" t="s">
        <v>4094</v>
      </c>
      <c r="C718" s="3" t="s">
        <v>1179</v>
      </c>
      <c r="D718" s="3">
        <v>9876544393</v>
      </c>
      <c r="E718" s="3" t="s">
        <v>4418</v>
      </c>
      <c r="F718" s="3" t="str" cm="1">
        <f t="array" ref="F718">IF(E718="","",_xlfn.XLOOKUP(E718,{"FIRST","SECOND","THIRD","FOURTH"},{"SEM-1","SEM-2","SEM-3","SEM-4"},""))</f>
        <v>SEM-1</v>
      </c>
      <c r="G718" s="3">
        <v>55</v>
      </c>
      <c r="H718" s="3">
        <v>55</v>
      </c>
      <c r="I718" s="3">
        <v>40</v>
      </c>
      <c r="J718" s="3">
        <f t="shared" si="33"/>
        <v>150</v>
      </c>
      <c r="K718" s="3" t="str">
        <f t="shared" si="34"/>
        <v>P</v>
      </c>
      <c r="L718" s="3" t="str">
        <f t="shared" si="35"/>
        <v>B</v>
      </c>
    </row>
    <row r="719" spans="1:12" ht="14.25" customHeight="1">
      <c r="A719" s="3">
        <v>718</v>
      </c>
      <c r="B719" s="3" t="s">
        <v>3308</v>
      </c>
      <c r="C719" s="3" t="s">
        <v>404</v>
      </c>
      <c r="D719" s="3">
        <v>9876543607</v>
      </c>
      <c r="E719" s="3" t="s">
        <v>4418</v>
      </c>
      <c r="F719" s="3" t="str" cm="1">
        <f t="array" ref="F719">IF(E719="","",_xlfn.XLOOKUP(E719,{"FIRST","SECOND","THIRD","FOURTH"},{"SEM-1","SEM-2","SEM-3","SEM-4"},""))</f>
        <v>SEM-1</v>
      </c>
      <c r="G719" s="3">
        <v>73</v>
      </c>
      <c r="H719" s="3">
        <v>53</v>
      </c>
      <c r="I719" s="3">
        <v>18</v>
      </c>
      <c r="J719" s="3">
        <f t="shared" si="33"/>
        <v>144</v>
      </c>
      <c r="K719" s="3" t="str">
        <f t="shared" si="34"/>
        <v>P</v>
      </c>
      <c r="L719" s="3" t="str">
        <f t="shared" si="35"/>
        <v>C</v>
      </c>
    </row>
    <row r="720" spans="1:12" ht="14.25" customHeight="1">
      <c r="A720" s="3">
        <v>719</v>
      </c>
      <c r="B720" s="3" t="s">
        <v>3175</v>
      </c>
      <c r="C720" s="3" t="s">
        <v>273</v>
      </c>
      <c r="D720" s="3">
        <v>9876543474</v>
      </c>
      <c r="E720" s="3" t="s">
        <v>4419</v>
      </c>
      <c r="F720" s="3" t="str" cm="1">
        <f t="array" ref="F720">IF(E720="","",_xlfn.XLOOKUP(E720,{"FIRST","SECOND","THIRD","FOURTH"},{"SEM-1","SEM-2","SEM-3","SEM-4"},""))</f>
        <v>SEM-2</v>
      </c>
      <c r="G720" s="3">
        <v>20</v>
      </c>
      <c r="H720" s="3">
        <v>2</v>
      </c>
      <c r="I720" s="3">
        <v>34</v>
      </c>
      <c r="J720" s="3">
        <f t="shared" si="33"/>
        <v>56</v>
      </c>
      <c r="K720" s="3" t="str">
        <f t="shared" si="34"/>
        <v>F</v>
      </c>
      <c r="L720" s="3" t="str">
        <f t="shared" si="35"/>
        <v>FAIL</v>
      </c>
    </row>
    <row r="721" spans="1:12" ht="14.25" customHeight="1">
      <c r="A721" s="3">
        <v>720</v>
      </c>
      <c r="B721" s="3" t="s">
        <v>3796</v>
      </c>
      <c r="C721" s="3" t="s">
        <v>888</v>
      </c>
      <c r="D721" s="3">
        <v>9876544095</v>
      </c>
      <c r="E721" s="3" t="s">
        <v>4418</v>
      </c>
      <c r="F721" s="3" t="str" cm="1">
        <f t="array" ref="F721">IF(E721="","",_xlfn.XLOOKUP(E721,{"FIRST","SECOND","THIRD","FOURTH"},{"SEM-1","SEM-2","SEM-3","SEM-4"},""))</f>
        <v>SEM-1</v>
      </c>
      <c r="G721" s="3">
        <v>46</v>
      </c>
      <c r="H721" s="3">
        <v>83</v>
      </c>
      <c r="I721" s="3">
        <v>58</v>
      </c>
      <c r="J721" s="3">
        <f t="shared" si="33"/>
        <v>187</v>
      </c>
      <c r="K721" s="3" t="str">
        <f t="shared" si="34"/>
        <v>P</v>
      </c>
      <c r="L721" s="3" t="str">
        <f t="shared" si="35"/>
        <v>B</v>
      </c>
    </row>
    <row r="722" spans="1:12" ht="14.25" customHeight="1">
      <c r="A722" s="3">
        <v>721</v>
      </c>
      <c r="B722" s="3" t="s">
        <v>3925</v>
      </c>
      <c r="C722" s="3" t="s">
        <v>1015</v>
      </c>
      <c r="D722" s="3">
        <v>9876544224</v>
      </c>
      <c r="E722" s="3" t="s">
        <v>4419</v>
      </c>
      <c r="F722" s="3" t="str" cm="1">
        <f t="array" ref="F722">IF(E722="","",_xlfn.XLOOKUP(E722,{"FIRST","SECOND","THIRD","FOURTH"},{"SEM-1","SEM-2","SEM-3","SEM-4"},""))</f>
        <v>SEM-2</v>
      </c>
      <c r="G722" s="3">
        <v>11</v>
      </c>
      <c r="H722" s="3">
        <v>1</v>
      </c>
      <c r="I722" s="3">
        <v>46</v>
      </c>
      <c r="J722" s="3">
        <f t="shared" si="33"/>
        <v>58</v>
      </c>
      <c r="K722" s="3" t="str">
        <f t="shared" si="34"/>
        <v>F</v>
      </c>
      <c r="L722" s="3" t="str">
        <f t="shared" si="35"/>
        <v>FAIL</v>
      </c>
    </row>
    <row r="723" spans="1:12" ht="14.25" customHeight="1">
      <c r="A723" s="3">
        <v>722</v>
      </c>
      <c r="B723" s="3" t="s">
        <v>3504</v>
      </c>
      <c r="C723" s="3" t="s">
        <v>599</v>
      </c>
      <c r="D723" s="3">
        <v>9876543803</v>
      </c>
      <c r="E723" s="3" t="s">
        <v>4419</v>
      </c>
      <c r="F723" s="3" t="str" cm="1">
        <f t="array" ref="F723">IF(E723="","",_xlfn.XLOOKUP(E723,{"FIRST","SECOND","THIRD","FOURTH"},{"SEM-1","SEM-2","SEM-3","SEM-4"},""))</f>
        <v>SEM-2</v>
      </c>
      <c r="G723" s="3">
        <v>10</v>
      </c>
      <c r="H723" s="3">
        <v>13</v>
      </c>
      <c r="I723" s="3">
        <v>33</v>
      </c>
      <c r="J723" s="3">
        <f t="shared" si="33"/>
        <v>56</v>
      </c>
      <c r="K723" s="3" t="str">
        <f t="shared" si="34"/>
        <v>F</v>
      </c>
      <c r="L723" s="3" t="str">
        <f t="shared" si="35"/>
        <v>FAIL</v>
      </c>
    </row>
    <row r="724" spans="1:12" ht="14.25" customHeight="1">
      <c r="A724" s="3">
        <v>723</v>
      </c>
      <c r="B724" s="3" t="s">
        <v>3811</v>
      </c>
      <c r="C724" s="3" t="s">
        <v>903</v>
      </c>
      <c r="D724" s="3">
        <v>9876544110</v>
      </c>
      <c r="E724" s="3" t="s">
        <v>4419</v>
      </c>
      <c r="F724" s="3" t="str" cm="1">
        <f t="array" ref="F724">IF(E724="","",_xlfn.XLOOKUP(E724,{"FIRST","SECOND","THIRD","FOURTH"},{"SEM-1","SEM-2","SEM-3","SEM-4"},""))</f>
        <v>SEM-2</v>
      </c>
      <c r="G724" s="3">
        <v>38</v>
      </c>
      <c r="H724" s="3">
        <v>80</v>
      </c>
      <c r="I724" s="3">
        <v>33</v>
      </c>
      <c r="J724" s="3">
        <f t="shared" si="33"/>
        <v>151</v>
      </c>
      <c r="K724" s="3" t="str">
        <f t="shared" si="34"/>
        <v>P</v>
      </c>
      <c r="L724" s="3" t="str">
        <f t="shared" si="35"/>
        <v>B</v>
      </c>
    </row>
    <row r="725" spans="1:12" ht="14.25" customHeight="1">
      <c r="A725" s="3">
        <v>724</v>
      </c>
      <c r="B725" s="3" t="s">
        <v>3439</v>
      </c>
      <c r="C725" s="3" t="s">
        <v>535</v>
      </c>
      <c r="D725" s="3">
        <v>9876543738</v>
      </c>
      <c r="E725" s="3" t="s">
        <v>4420</v>
      </c>
      <c r="F725" s="3" t="str" cm="1">
        <f t="array" ref="F725">IF(E725="","",_xlfn.XLOOKUP(E725,{"FIRST","SECOND","THIRD","FOURTH"},{"SEM-1","SEM-2","SEM-3","SEM-4"},""))</f>
        <v>SEM-3</v>
      </c>
      <c r="G725" s="3">
        <v>64</v>
      </c>
      <c r="H725" s="3">
        <v>51</v>
      </c>
      <c r="I725" s="3">
        <v>66</v>
      </c>
      <c r="J725" s="3">
        <f t="shared" si="33"/>
        <v>181</v>
      </c>
      <c r="K725" s="3" t="str">
        <f t="shared" si="34"/>
        <v>P</v>
      </c>
      <c r="L725" s="3" t="str">
        <f t="shared" si="35"/>
        <v>B</v>
      </c>
    </row>
    <row r="726" spans="1:12" ht="14.25" customHeight="1">
      <c r="A726" s="3">
        <v>725</v>
      </c>
      <c r="B726" s="3" t="s">
        <v>3484</v>
      </c>
      <c r="C726" s="3" t="s">
        <v>580</v>
      </c>
      <c r="D726" s="3">
        <v>9876543783</v>
      </c>
      <c r="E726" s="3" t="s">
        <v>4420</v>
      </c>
      <c r="F726" s="3" t="str" cm="1">
        <f t="array" ref="F726">IF(E726="","",_xlfn.XLOOKUP(E726,{"FIRST","SECOND","THIRD","FOURTH"},{"SEM-1","SEM-2","SEM-3","SEM-4"},""))</f>
        <v>SEM-3</v>
      </c>
      <c r="G726" s="3">
        <v>20</v>
      </c>
      <c r="H726" s="3">
        <v>65</v>
      </c>
      <c r="I726" s="3">
        <v>68</v>
      </c>
      <c r="J726" s="3">
        <f t="shared" si="33"/>
        <v>153</v>
      </c>
      <c r="K726" s="3" t="str">
        <f t="shared" si="34"/>
        <v>P</v>
      </c>
      <c r="L726" s="3" t="str">
        <f t="shared" si="35"/>
        <v>B</v>
      </c>
    </row>
    <row r="727" spans="1:12" ht="14.25" customHeight="1">
      <c r="A727" s="3">
        <v>726</v>
      </c>
      <c r="B727" s="3" t="s">
        <v>3927</v>
      </c>
      <c r="C727" s="3" t="s">
        <v>1017</v>
      </c>
      <c r="D727" s="3">
        <v>9876544226</v>
      </c>
      <c r="E727" s="3" t="s">
        <v>4420</v>
      </c>
      <c r="F727" s="3" t="str" cm="1">
        <f t="array" ref="F727">IF(E727="","",_xlfn.XLOOKUP(E727,{"FIRST","SECOND","THIRD","FOURTH"},{"SEM-1","SEM-2","SEM-3","SEM-4"},""))</f>
        <v>SEM-3</v>
      </c>
      <c r="G727" s="3">
        <v>31</v>
      </c>
      <c r="H727" s="3">
        <v>9</v>
      </c>
      <c r="I727" s="3">
        <v>40</v>
      </c>
      <c r="J727" s="3">
        <f t="shared" si="33"/>
        <v>80</v>
      </c>
      <c r="K727" s="3" t="str">
        <f t="shared" si="34"/>
        <v>F</v>
      </c>
      <c r="L727" s="3" t="str">
        <f t="shared" si="35"/>
        <v>FAIL</v>
      </c>
    </row>
    <row r="728" spans="1:12" ht="14.25" customHeight="1">
      <c r="A728" s="3">
        <v>727</v>
      </c>
      <c r="B728" s="3" t="s">
        <v>4208</v>
      </c>
      <c r="C728" s="3" t="s">
        <v>1292</v>
      </c>
      <c r="D728" s="3">
        <v>9876544507</v>
      </c>
      <c r="E728" s="3" t="s">
        <v>4419</v>
      </c>
      <c r="F728" s="3" t="str" cm="1">
        <f t="array" ref="F728">IF(E728="","",_xlfn.XLOOKUP(E728,{"FIRST","SECOND","THIRD","FOURTH"},{"SEM-1","SEM-2","SEM-3","SEM-4"},""))</f>
        <v>SEM-2</v>
      </c>
      <c r="G728" s="3">
        <v>14</v>
      </c>
      <c r="H728" s="3">
        <v>90</v>
      </c>
      <c r="I728" s="3">
        <v>37</v>
      </c>
      <c r="J728" s="3">
        <f t="shared" si="33"/>
        <v>141</v>
      </c>
      <c r="K728" s="3" t="str">
        <f t="shared" si="34"/>
        <v>P</v>
      </c>
      <c r="L728" s="3" t="str">
        <f t="shared" si="35"/>
        <v>C</v>
      </c>
    </row>
    <row r="729" spans="1:12" ht="14.25" customHeight="1">
      <c r="A729" s="3">
        <v>728</v>
      </c>
      <c r="B729" s="3" t="s">
        <v>3654</v>
      </c>
      <c r="C729" s="3" t="s">
        <v>748</v>
      </c>
      <c r="D729" s="3">
        <v>9876543953</v>
      </c>
      <c r="E729" s="3" t="s">
        <v>4420</v>
      </c>
      <c r="F729" s="3" t="str" cm="1">
        <f t="array" ref="F729">IF(E729="","",_xlfn.XLOOKUP(E729,{"FIRST","SECOND","THIRD","FOURTH"},{"SEM-1","SEM-2","SEM-3","SEM-4"},""))</f>
        <v>SEM-3</v>
      </c>
      <c r="G729" s="3">
        <v>32</v>
      </c>
      <c r="H729" s="3">
        <v>16</v>
      </c>
      <c r="I729" s="3">
        <v>44</v>
      </c>
      <c r="J729" s="3">
        <f t="shared" si="33"/>
        <v>92</v>
      </c>
      <c r="K729" s="3" t="str">
        <f t="shared" si="34"/>
        <v>F</v>
      </c>
      <c r="L729" s="3" t="str">
        <f t="shared" si="35"/>
        <v>FAIL</v>
      </c>
    </row>
    <row r="730" spans="1:12" ht="14.25" customHeight="1">
      <c r="A730" s="3">
        <v>729</v>
      </c>
      <c r="B730" s="3" t="s">
        <v>3770</v>
      </c>
      <c r="C730" s="3" t="s">
        <v>863</v>
      </c>
      <c r="D730" s="3">
        <v>9876544069</v>
      </c>
      <c r="E730" s="3" t="s">
        <v>4420</v>
      </c>
      <c r="F730" s="3" t="str" cm="1">
        <f t="array" ref="F730">IF(E730="","",_xlfn.XLOOKUP(E730,{"FIRST","SECOND","THIRD","FOURTH"},{"SEM-1","SEM-2","SEM-3","SEM-4"},""))</f>
        <v>SEM-3</v>
      </c>
      <c r="G730" s="3">
        <v>71</v>
      </c>
      <c r="H730" s="3">
        <v>61</v>
      </c>
      <c r="I730" s="3">
        <v>46</v>
      </c>
      <c r="J730" s="3">
        <f t="shared" si="33"/>
        <v>178</v>
      </c>
      <c r="K730" s="3" t="str">
        <f t="shared" si="34"/>
        <v>P</v>
      </c>
      <c r="L730" s="3" t="str">
        <f t="shared" si="35"/>
        <v>B</v>
      </c>
    </row>
    <row r="731" spans="1:12" ht="14.25" customHeight="1">
      <c r="A731" s="3">
        <v>730</v>
      </c>
      <c r="B731" s="3" t="s">
        <v>3448</v>
      </c>
      <c r="C731" s="3" t="s">
        <v>544</v>
      </c>
      <c r="D731" s="3">
        <v>9876543747</v>
      </c>
      <c r="E731" s="3" t="s">
        <v>4419</v>
      </c>
      <c r="F731" s="3" t="str" cm="1">
        <f t="array" ref="F731">IF(E731="","",_xlfn.XLOOKUP(E731,{"FIRST","SECOND","THIRD","FOURTH"},{"SEM-1","SEM-2","SEM-3","SEM-4"},""))</f>
        <v>SEM-2</v>
      </c>
      <c r="G731" s="3">
        <v>44</v>
      </c>
      <c r="H731" s="3">
        <v>5</v>
      </c>
      <c r="I731" s="3">
        <v>31</v>
      </c>
      <c r="J731" s="3">
        <f t="shared" si="33"/>
        <v>80</v>
      </c>
      <c r="K731" s="3" t="str">
        <f t="shared" si="34"/>
        <v>F</v>
      </c>
      <c r="L731" s="3" t="str">
        <f t="shared" si="35"/>
        <v>FAIL</v>
      </c>
    </row>
    <row r="732" spans="1:12" ht="14.25" customHeight="1">
      <c r="A732" s="3">
        <v>731</v>
      </c>
      <c r="B732" s="3" t="s">
        <v>3757</v>
      </c>
      <c r="C732" s="3" t="s">
        <v>850</v>
      </c>
      <c r="D732" s="3">
        <v>9876544056</v>
      </c>
      <c r="E732" s="3" t="s">
        <v>4420</v>
      </c>
      <c r="F732" s="3" t="str" cm="1">
        <f t="array" ref="F732">IF(E732="","",_xlfn.XLOOKUP(E732,{"FIRST","SECOND","THIRD","FOURTH"},{"SEM-1","SEM-2","SEM-3","SEM-4"},""))</f>
        <v>SEM-3</v>
      </c>
      <c r="G732" s="3">
        <v>20</v>
      </c>
      <c r="H732" s="3">
        <v>72</v>
      </c>
      <c r="I732" s="3">
        <v>57</v>
      </c>
      <c r="J732" s="3">
        <f t="shared" si="33"/>
        <v>149</v>
      </c>
      <c r="K732" s="3" t="str">
        <f t="shared" si="34"/>
        <v>P</v>
      </c>
      <c r="L732" s="3" t="str">
        <f t="shared" si="35"/>
        <v>C</v>
      </c>
    </row>
    <row r="733" spans="1:12" ht="14.25" customHeight="1">
      <c r="A733" s="3">
        <v>732</v>
      </c>
      <c r="B733" s="3" t="s">
        <v>3150</v>
      </c>
      <c r="C733" s="3" t="s">
        <v>248</v>
      </c>
      <c r="D733" s="3">
        <v>9876543449</v>
      </c>
      <c r="E733" s="3" t="s">
        <v>4419</v>
      </c>
      <c r="F733" s="3" t="str" cm="1">
        <f t="array" ref="F733">IF(E733="","",_xlfn.XLOOKUP(E733,{"FIRST","SECOND","THIRD","FOURTH"},{"SEM-1","SEM-2","SEM-3","SEM-4"},""))</f>
        <v>SEM-2</v>
      </c>
      <c r="G733" s="3">
        <v>86</v>
      </c>
      <c r="H733" s="3">
        <v>13</v>
      </c>
      <c r="I733" s="3">
        <v>41</v>
      </c>
      <c r="J733" s="3">
        <f t="shared" si="33"/>
        <v>140</v>
      </c>
      <c r="K733" s="3" t="str">
        <f t="shared" si="34"/>
        <v>P</v>
      </c>
      <c r="L733" s="3" t="str">
        <f t="shared" si="35"/>
        <v>C</v>
      </c>
    </row>
    <row r="734" spans="1:12" ht="14.25" customHeight="1">
      <c r="A734" s="3">
        <v>733</v>
      </c>
      <c r="B734" s="3" t="s">
        <v>3382</v>
      </c>
      <c r="C734" s="3" t="s">
        <v>478</v>
      </c>
      <c r="D734" s="3">
        <v>9876543681</v>
      </c>
      <c r="E734" s="3" t="s">
        <v>4420</v>
      </c>
      <c r="F734" s="3" t="str" cm="1">
        <f t="array" ref="F734">IF(E734="","",_xlfn.XLOOKUP(E734,{"FIRST","SECOND","THIRD","FOURTH"},{"SEM-1","SEM-2","SEM-3","SEM-4"},""))</f>
        <v>SEM-3</v>
      </c>
      <c r="G734" s="3">
        <v>5</v>
      </c>
      <c r="H734" s="3">
        <v>18</v>
      </c>
      <c r="I734" s="3">
        <v>19</v>
      </c>
      <c r="J734" s="3">
        <f t="shared" si="33"/>
        <v>42</v>
      </c>
      <c r="K734" s="3" t="str">
        <f t="shared" si="34"/>
        <v>F</v>
      </c>
      <c r="L734" s="3" t="str">
        <f t="shared" si="35"/>
        <v>FAIL</v>
      </c>
    </row>
    <row r="735" spans="1:12" ht="14.25" customHeight="1">
      <c r="A735" s="3">
        <v>734</v>
      </c>
      <c r="B735" s="3" t="s">
        <v>4033</v>
      </c>
      <c r="C735" s="3" t="s">
        <v>1122</v>
      </c>
      <c r="D735" s="3">
        <v>9876544332</v>
      </c>
      <c r="E735" s="3" t="s">
        <v>4420</v>
      </c>
      <c r="F735" s="3" t="str" cm="1">
        <f t="array" ref="F735">IF(E735="","",_xlfn.XLOOKUP(E735,{"FIRST","SECOND","THIRD","FOURTH"},{"SEM-1","SEM-2","SEM-3","SEM-4"},""))</f>
        <v>SEM-3</v>
      </c>
      <c r="G735" s="3">
        <v>35</v>
      </c>
      <c r="H735" s="3">
        <v>76</v>
      </c>
      <c r="I735" s="3">
        <v>83</v>
      </c>
      <c r="J735" s="3">
        <f t="shared" si="33"/>
        <v>194</v>
      </c>
      <c r="K735" s="3" t="str">
        <f t="shared" si="34"/>
        <v>P</v>
      </c>
      <c r="L735" s="3" t="str">
        <f t="shared" si="35"/>
        <v>A</v>
      </c>
    </row>
    <row r="736" spans="1:12" ht="14.25" customHeight="1">
      <c r="A736" s="3">
        <v>735</v>
      </c>
      <c r="B736" s="3" t="s">
        <v>3715</v>
      </c>
      <c r="C736" s="3" t="s">
        <v>808</v>
      </c>
      <c r="D736" s="3">
        <v>9876544014</v>
      </c>
      <c r="E736" s="3" t="s">
        <v>4418</v>
      </c>
      <c r="F736" s="3" t="str" cm="1">
        <f t="array" ref="F736">IF(E736="","",_xlfn.XLOOKUP(E736,{"FIRST","SECOND","THIRD","FOURTH"},{"SEM-1","SEM-2","SEM-3","SEM-4"},""))</f>
        <v>SEM-1</v>
      </c>
      <c r="G736" s="3">
        <v>51</v>
      </c>
      <c r="H736" s="3">
        <v>49</v>
      </c>
      <c r="I736" s="3">
        <v>84</v>
      </c>
      <c r="J736" s="3">
        <f t="shared" si="33"/>
        <v>184</v>
      </c>
      <c r="K736" s="3" t="str">
        <f t="shared" si="34"/>
        <v>P</v>
      </c>
      <c r="L736" s="3" t="str">
        <f t="shared" si="35"/>
        <v>B</v>
      </c>
    </row>
    <row r="737" spans="1:12" ht="14.25" customHeight="1">
      <c r="A737" s="3">
        <v>736</v>
      </c>
      <c r="B737" s="3" t="s">
        <v>3487</v>
      </c>
      <c r="C737" s="3" t="s">
        <v>583</v>
      </c>
      <c r="D737" s="3">
        <v>9876543786</v>
      </c>
      <c r="E737" s="3" t="s">
        <v>4419</v>
      </c>
      <c r="F737" s="3" t="str" cm="1">
        <f t="array" ref="F737">IF(E737="","",_xlfn.XLOOKUP(E737,{"FIRST","SECOND","THIRD","FOURTH"},{"SEM-1","SEM-2","SEM-3","SEM-4"},""))</f>
        <v>SEM-2</v>
      </c>
      <c r="G737" s="3">
        <v>85</v>
      </c>
      <c r="H737" s="3">
        <v>52</v>
      </c>
      <c r="I737" s="3">
        <v>74</v>
      </c>
      <c r="J737" s="3">
        <f t="shared" si="33"/>
        <v>211</v>
      </c>
      <c r="K737" s="3" t="str">
        <f t="shared" si="34"/>
        <v>P</v>
      </c>
      <c r="L737" s="3" t="str">
        <f t="shared" si="35"/>
        <v>A</v>
      </c>
    </row>
    <row r="738" spans="1:12" ht="14.25" customHeight="1">
      <c r="A738" s="3">
        <v>737</v>
      </c>
      <c r="B738" s="3" t="s">
        <v>4081</v>
      </c>
      <c r="C738" s="3" t="s">
        <v>1167</v>
      </c>
      <c r="D738" s="3">
        <v>9876544380</v>
      </c>
      <c r="E738" s="3" t="s">
        <v>4418</v>
      </c>
      <c r="F738" s="3" t="str" cm="1">
        <f t="array" ref="F738">IF(E738="","",_xlfn.XLOOKUP(E738,{"FIRST","SECOND","THIRD","FOURTH"},{"SEM-1","SEM-2","SEM-3","SEM-4"},""))</f>
        <v>SEM-1</v>
      </c>
      <c r="G738" s="3">
        <v>84</v>
      </c>
      <c r="H738" s="3">
        <v>35</v>
      </c>
      <c r="I738" s="3">
        <v>31</v>
      </c>
      <c r="J738" s="3">
        <f t="shared" si="33"/>
        <v>150</v>
      </c>
      <c r="K738" s="3" t="str">
        <f t="shared" si="34"/>
        <v>P</v>
      </c>
      <c r="L738" s="3" t="str">
        <f t="shared" si="35"/>
        <v>B</v>
      </c>
    </row>
    <row r="739" spans="1:12" ht="14.25" customHeight="1">
      <c r="A739" s="3">
        <v>738</v>
      </c>
      <c r="B739" s="3" t="s">
        <v>3616</v>
      </c>
      <c r="C739" s="3" t="s">
        <v>710</v>
      </c>
      <c r="D739" s="3">
        <v>9876543915</v>
      </c>
      <c r="E739" s="3" t="s">
        <v>4420</v>
      </c>
      <c r="F739" s="3" t="str" cm="1">
        <f t="array" ref="F739">IF(E739="","",_xlfn.XLOOKUP(E739,{"FIRST","SECOND","THIRD","FOURTH"},{"SEM-1","SEM-2","SEM-3","SEM-4"},""))</f>
        <v>SEM-3</v>
      </c>
      <c r="G739" s="3">
        <v>72</v>
      </c>
      <c r="H739" s="3">
        <v>98</v>
      </c>
      <c r="I739" s="3">
        <v>2</v>
      </c>
      <c r="J739" s="3">
        <f t="shared" si="33"/>
        <v>172</v>
      </c>
      <c r="K739" s="3" t="str">
        <f t="shared" si="34"/>
        <v>P</v>
      </c>
      <c r="L739" s="3" t="str">
        <f t="shared" si="35"/>
        <v>B</v>
      </c>
    </row>
    <row r="740" spans="1:12" ht="14.25" customHeight="1">
      <c r="A740" s="3">
        <v>739</v>
      </c>
      <c r="B740" s="3" t="s">
        <v>4410</v>
      </c>
      <c r="C740" s="3" t="s">
        <v>1489</v>
      </c>
      <c r="D740" s="3">
        <v>9876544709</v>
      </c>
      <c r="E740" s="3" t="s">
        <v>4420</v>
      </c>
      <c r="F740" s="3" t="str" cm="1">
        <f t="array" ref="F740">IF(E740="","",_xlfn.XLOOKUP(E740,{"FIRST","SECOND","THIRD","FOURTH"},{"SEM-1","SEM-2","SEM-3","SEM-4"},""))</f>
        <v>SEM-3</v>
      </c>
      <c r="G740" s="3">
        <v>40</v>
      </c>
      <c r="H740" s="3">
        <v>43</v>
      </c>
      <c r="I740" s="3">
        <v>70</v>
      </c>
      <c r="J740" s="3">
        <f t="shared" si="33"/>
        <v>153</v>
      </c>
      <c r="K740" s="3" t="str">
        <f t="shared" si="34"/>
        <v>P</v>
      </c>
      <c r="L740" s="3" t="str">
        <f t="shared" si="35"/>
        <v>B</v>
      </c>
    </row>
    <row r="741" spans="1:12" ht="14.25" customHeight="1">
      <c r="A741" s="3">
        <v>740</v>
      </c>
      <c r="B741" s="3" t="s">
        <v>3556</v>
      </c>
      <c r="C741" s="3" t="s">
        <v>650</v>
      </c>
      <c r="D741" s="3">
        <v>9876543855</v>
      </c>
      <c r="E741" s="3" t="s">
        <v>4420</v>
      </c>
      <c r="F741" s="3" t="str" cm="1">
        <f t="array" ref="F741">IF(E741="","",_xlfn.XLOOKUP(E741,{"FIRST","SECOND","THIRD","FOURTH"},{"SEM-1","SEM-2","SEM-3","SEM-4"},""))</f>
        <v>SEM-3</v>
      </c>
      <c r="G741" s="3">
        <v>80</v>
      </c>
      <c r="H741" s="3">
        <v>54</v>
      </c>
      <c r="I741" s="3">
        <v>86</v>
      </c>
      <c r="J741" s="3">
        <f t="shared" si="33"/>
        <v>220</v>
      </c>
      <c r="K741" s="3" t="str">
        <f t="shared" si="34"/>
        <v>P</v>
      </c>
      <c r="L741" s="3" t="str">
        <f t="shared" si="35"/>
        <v>A</v>
      </c>
    </row>
    <row r="742" spans="1:12" ht="14.25" customHeight="1">
      <c r="A742" s="3">
        <v>741</v>
      </c>
      <c r="B742" s="3" t="s">
        <v>3180</v>
      </c>
      <c r="C742" s="3" t="s">
        <v>278</v>
      </c>
      <c r="D742" s="3">
        <v>9876543479</v>
      </c>
      <c r="E742" s="3" t="s">
        <v>4419</v>
      </c>
      <c r="F742" s="3" t="str" cm="1">
        <f t="array" ref="F742">IF(E742="","",_xlfn.XLOOKUP(E742,{"FIRST","SECOND","THIRD","FOURTH"},{"SEM-1","SEM-2","SEM-3","SEM-4"},""))</f>
        <v>SEM-2</v>
      </c>
      <c r="G742" s="3">
        <v>15</v>
      </c>
      <c r="H742" s="3">
        <v>54</v>
      </c>
      <c r="I742" s="3">
        <v>61</v>
      </c>
      <c r="J742" s="3">
        <f t="shared" si="33"/>
        <v>130</v>
      </c>
      <c r="K742" s="3" t="str">
        <f t="shared" si="34"/>
        <v>P</v>
      </c>
      <c r="L742" s="3" t="str">
        <f t="shared" si="35"/>
        <v>C</v>
      </c>
    </row>
    <row r="743" spans="1:12" ht="14.25" customHeight="1">
      <c r="A743" s="3">
        <v>742</v>
      </c>
      <c r="B743" s="3" t="s">
        <v>3758</v>
      </c>
      <c r="C743" s="3" t="s">
        <v>851</v>
      </c>
      <c r="D743" s="3">
        <v>9876544057</v>
      </c>
      <c r="E743" s="3" t="s">
        <v>4418</v>
      </c>
      <c r="F743" s="3" t="str" cm="1">
        <f t="array" ref="F743">IF(E743="","",_xlfn.XLOOKUP(E743,{"FIRST","SECOND","THIRD","FOURTH"},{"SEM-1","SEM-2","SEM-3","SEM-4"},""))</f>
        <v>SEM-1</v>
      </c>
      <c r="G743" s="3">
        <v>38</v>
      </c>
      <c r="H743" s="3">
        <v>76</v>
      </c>
      <c r="I743" s="3">
        <v>72</v>
      </c>
      <c r="J743" s="3">
        <f t="shared" si="33"/>
        <v>186</v>
      </c>
      <c r="K743" s="3" t="str">
        <f t="shared" si="34"/>
        <v>P</v>
      </c>
      <c r="L743" s="3" t="str">
        <f t="shared" si="35"/>
        <v>B</v>
      </c>
    </row>
    <row r="744" spans="1:12" ht="14.25" customHeight="1">
      <c r="A744" s="3">
        <v>743</v>
      </c>
      <c r="B744" s="3" t="s">
        <v>4084</v>
      </c>
      <c r="C744" s="3" t="s">
        <v>1170</v>
      </c>
      <c r="D744" s="3">
        <v>9876544383</v>
      </c>
      <c r="E744" s="3" t="s">
        <v>4420</v>
      </c>
      <c r="F744" s="3" t="str" cm="1">
        <f t="array" ref="F744">IF(E744="","",_xlfn.XLOOKUP(E744,{"FIRST","SECOND","THIRD","FOURTH"},{"SEM-1","SEM-2","SEM-3","SEM-4"},""))</f>
        <v>SEM-3</v>
      </c>
      <c r="G744" s="3">
        <v>48</v>
      </c>
      <c r="H744" s="3">
        <v>11</v>
      </c>
      <c r="I744" s="3">
        <v>25</v>
      </c>
      <c r="J744" s="3">
        <f t="shared" si="33"/>
        <v>84</v>
      </c>
      <c r="K744" s="3" t="str">
        <f t="shared" si="34"/>
        <v>F</v>
      </c>
      <c r="L744" s="3" t="str">
        <f t="shared" si="35"/>
        <v>FAIL</v>
      </c>
    </row>
    <row r="745" spans="1:12" ht="14.25" customHeight="1">
      <c r="A745" s="3">
        <v>744</v>
      </c>
      <c r="B745" s="3" t="s">
        <v>3324</v>
      </c>
      <c r="C745" s="3" t="s">
        <v>420</v>
      </c>
      <c r="D745" s="3">
        <v>9876543623</v>
      </c>
      <c r="E745" s="3" t="s">
        <v>4418</v>
      </c>
      <c r="F745" s="3" t="str" cm="1">
        <f t="array" ref="F745">IF(E745="","",_xlfn.XLOOKUP(E745,{"FIRST","SECOND","THIRD","FOURTH"},{"SEM-1","SEM-2","SEM-3","SEM-4"},""))</f>
        <v>SEM-1</v>
      </c>
      <c r="G745" s="3">
        <v>29</v>
      </c>
      <c r="H745" s="3">
        <v>4</v>
      </c>
      <c r="I745" s="3">
        <v>7</v>
      </c>
      <c r="J745" s="3">
        <f t="shared" si="33"/>
        <v>40</v>
      </c>
      <c r="K745" s="3" t="str">
        <f t="shared" si="34"/>
        <v>F</v>
      </c>
      <c r="L745" s="3" t="str">
        <f t="shared" si="35"/>
        <v>FAIL</v>
      </c>
    </row>
    <row r="746" spans="1:12" ht="14.25" customHeight="1">
      <c r="A746" s="3">
        <v>745</v>
      </c>
      <c r="B746" s="3" t="s">
        <v>3971</v>
      </c>
      <c r="C746" s="3" t="s">
        <v>1061</v>
      </c>
      <c r="D746" s="3">
        <v>9876544270</v>
      </c>
      <c r="E746" s="3" t="s">
        <v>4418</v>
      </c>
      <c r="F746" s="3" t="str" cm="1">
        <f t="array" ref="F746">IF(E746="","",_xlfn.XLOOKUP(E746,{"FIRST","SECOND","THIRD","FOURTH"},{"SEM-1","SEM-2","SEM-3","SEM-4"},""))</f>
        <v>SEM-1</v>
      </c>
      <c r="G746" s="3">
        <v>24</v>
      </c>
      <c r="H746" s="3">
        <v>56</v>
      </c>
      <c r="I746" s="3">
        <v>84</v>
      </c>
      <c r="J746" s="3">
        <f t="shared" si="33"/>
        <v>164</v>
      </c>
      <c r="K746" s="3" t="str">
        <f t="shared" si="34"/>
        <v>P</v>
      </c>
      <c r="L746" s="3" t="str">
        <f t="shared" si="35"/>
        <v>B</v>
      </c>
    </row>
    <row r="747" spans="1:12" ht="14.25" customHeight="1">
      <c r="A747" s="3">
        <v>746</v>
      </c>
      <c r="B747" s="3" t="s">
        <v>4316</v>
      </c>
      <c r="C747" s="3" t="s">
        <v>1396</v>
      </c>
      <c r="D747" s="3">
        <v>9876544615</v>
      </c>
      <c r="E747" s="3" t="s">
        <v>4418</v>
      </c>
      <c r="F747" s="3" t="str" cm="1">
        <f t="array" ref="F747">IF(E747="","",_xlfn.XLOOKUP(E747,{"FIRST","SECOND","THIRD","FOURTH"},{"SEM-1","SEM-2","SEM-3","SEM-4"},""))</f>
        <v>SEM-1</v>
      </c>
      <c r="G747" s="3">
        <v>10</v>
      </c>
      <c r="H747" s="3">
        <v>65</v>
      </c>
      <c r="I747" s="3">
        <v>50</v>
      </c>
      <c r="J747" s="3">
        <f t="shared" si="33"/>
        <v>125</v>
      </c>
      <c r="K747" s="3" t="str">
        <f t="shared" si="34"/>
        <v>P</v>
      </c>
      <c r="L747" s="3" t="str">
        <f t="shared" si="35"/>
        <v>C</v>
      </c>
    </row>
    <row r="748" spans="1:12" ht="14.25" customHeight="1">
      <c r="A748" s="3">
        <v>747</v>
      </c>
      <c r="B748" s="3" t="s">
        <v>4058</v>
      </c>
      <c r="C748" s="3" t="s">
        <v>1146</v>
      </c>
      <c r="D748" s="3">
        <v>9876544357</v>
      </c>
      <c r="E748" s="3" t="s">
        <v>4418</v>
      </c>
      <c r="F748" s="3" t="str" cm="1">
        <f t="array" ref="F748">IF(E748="","",_xlfn.XLOOKUP(E748,{"FIRST","SECOND","THIRD","FOURTH"},{"SEM-1","SEM-2","SEM-3","SEM-4"},""))</f>
        <v>SEM-1</v>
      </c>
      <c r="G748" s="3">
        <v>40</v>
      </c>
      <c r="H748" s="3">
        <v>34</v>
      </c>
      <c r="I748" s="3">
        <v>72</v>
      </c>
      <c r="J748" s="3">
        <f t="shared" si="33"/>
        <v>146</v>
      </c>
      <c r="K748" s="3" t="str">
        <f t="shared" si="34"/>
        <v>P</v>
      </c>
      <c r="L748" s="3" t="str">
        <f t="shared" si="35"/>
        <v>C</v>
      </c>
    </row>
    <row r="749" spans="1:12" ht="14.25" customHeight="1">
      <c r="A749" s="3">
        <v>748</v>
      </c>
      <c r="B749" s="3" t="s">
        <v>3463</v>
      </c>
      <c r="C749" s="3" t="s">
        <v>559</v>
      </c>
      <c r="D749" s="3">
        <v>9876543762</v>
      </c>
      <c r="E749" s="3" t="s">
        <v>4420</v>
      </c>
      <c r="F749" s="3" t="str" cm="1">
        <f t="array" ref="F749">IF(E749="","",_xlfn.XLOOKUP(E749,{"FIRST","SECOND","THIRD","FOURTH"},{"SEM-1","SEM-2","SEM-3","SEM-4"},""))</f>
        <v>SEM-3</v>
      </c>
      <c r="G749" s="3">
        <v>73</v>
      </c>
      <c r="H749" s="3">
        <v>56</v>
      </c>
      <c r="I749" s="3">
        <v>6</v>
      </c>
      <c r="J749" s="3">
        <f t="shared" si="33"/>
        <v>135</v>
      </c>
      <c r="K749" s="3" t="str">
        <f t="shared" si="34"/>
        <v>P</v>
      </c>
      <c r="L749" s="3" t="str">
        <f t="shared" si="35"/>
        <v>C</v>
      </c>
    </row>
    <row r="750" spans="1:12" ht="14.25" customHeight="1">
      <c r="A750" s="3">
        <v>749</v>
      </c>
      <c r="B750" s="3" t="s">
        <v>3415</v>
      </c>
      <c r="C750" s="3" t="s">
        <v>511</v>
      </c>
      <c r="D750" s="3">
        <v>9876543714</v>
      </c>
      <c r="E750" s="3" t="s">
        <v>4420</v>
      </c>
      <c r="F750" s="3" t="str" cm="1">
        <f t="array" ref="F750">IF(E750="","",_xlfn.XLOOKUP(E750,{"FIRST","SECOND","THIRD","FOURTH"},{"SEM-1","SEM-2","SEM-3","SEM-4"},""))</f>
        <v>SEM-3</v>
      </c>
      <c r="G750" s="3">
        <v>80</v>
      </c>
      <c r="H750" s="3">
        <v>36</v>
      </c>
      <c r="I750" s="3">
        <v>48</v>
      </c>
      <c r="J750" s="3">
        <f t="shared" si="33"/>
        <v>164</v>
      </c>
      <c r="K750" s="3" t="str">
        <f t="shared" si="34"/>
        <v>P</v>
      </c>
      <c r="L750" s="3" t="str">
        <f t="shared" si="35"/>
        <v>B</v>
      </c>
    </row>
    <row r="751" spans="1:12" ht="14.25" customHeight="1">
      <c r="A751" s="3">
        <v>750</v>
      </c>
      <c r="B751" s="3" t="s">
        <v>4021</v>
      </c>
      <c r="C751" s="3" t="s">
        <v>1110</v>
      </c>
      <c r="D751" s="3">
        <v>9876544320</v>
      </c>
      <c r="E751" s="3" t="s">
        <v>4419</v>
      </c>
      <c r="F751" s="3" t="str" cm="1">
        <f t="array" ref="F751">IF(E751="","",_xlfn.XLOOKUP(E751,{"FIRST","SECOND","THIRD","FOURTH"},{"SEM-1","SEM-2","SEM-3","SEM-4"},""))</f>
        <v>SEM-2</v>
      </c>
      <c r="G751" s="3">
        <v>57</v>
      </c>
      <c r="H751" s="3">
        <v>17</v>
      </c>
      <c r="I751" s="3">
        <v>90</v>
      </c>
      <c r="J751" s="3">
        <f t="shared" si="33"/>
        <v>164</v>
      </c>
      <c r="K751" s="3" t="str">
        <f t="shared" si="34"/>
        <v>P</v>
      </c>
      <c r="L751" s="3" t="str">
        <f t="shared" si="35"/>
        <v>B</v>
      </c>
    </row>
    <row r="752" spans="1:12" ht="14.25" customHeight="1">
      <c r="A752" s="3">
        <v>751</v>
      </c>
      <c r="B752" s="3" t="s">
        <v>4200</v>
      </c>
      <c r="C752" s="3" t="s">
        <v>1284</v>
      </c>
      <c r="D752" s="3">
        <v>9876544499</v>
      </c>
      <c r="E752" s="3" t="s">
        <v>4420</v>
      </c>
      <c r="F752" s="3" t="str" cm="1">
        <f t="array" ref="F752">IF(E752="","",_xlfn.XLOOKUP(E752,{"FIRST","SECOND","THIRD","FOURTH"},{"SEM-1","SEM-2","SEM-3","SEM-4"},""))</f>
        <v>SEM-3</v>
      </c>
      <c r="G752" s="3">
        <v>22</v>
      </c>
      <c r="H752" s="3">
        <v>67</v>
      </c>
      <c r="I752" s="3">
        <v>28</v>
      </c>
      <c r="J752" s="3">
        <f t="shared" si="33"/>
        <v>117</v>
      </c>
      <c r="K752" s="3" t="str">
        <f t="shared" si="34"/>
        <v>F</v>
      </c>
      <c r="L752" s="3" t="str">
        <f t="shared" si="35"/>
        <v>FAIL</v>
      </c>
    </row>
    <row r="753" spans="1:12" ht="14.25" customHeight="1">
      <c r="A753" s="3">
        <v>752</v>
      </c>
      <c r="B753" s="3" t="s">
        <v>4205</v>
      </c>
      <c r="C753" s="3" t="s">
        <v>1289</v>
      </c>
      <c r="D753" s="3">
        <v>9876544504</v>
      </c>
      <c r="E753" s="3" t="s">
        <v>4418</v>
      </c>
      <c r="F753" s="3" t="str" cm="1">
        <f t="array" ref="F753">IF(E753="","",_xlfn.XLOOKUP(E753,{"FIRST","SECOND","THIRD","FOURTH"},{"SEM-1","SEM-2","SEM-3","SEM-4"},""))</f>
        <v>SEM-1</v>
      </c>
      <c r="G753" s="3">
        <v>30</v>
      </c>
      <c r="H753" s="3">
        <v>50</v>
      </c>
      <c r="I753" s="3">
        <v>4</v>
      </c>
      <c r="J753" s="3">
        <f t="shared" si="33"/>
        <v>84</v>
      </c>
      <c r="K753" s="3" t="str">
        <f t="shared" si="34"/>
        <v>F</v>
      </c>
      <c r="L753" s="3" t="str">
        <f t="shared" si="35"/>
        <v>FAIL</v>
      </c>
    </row>
    <row r="754" spans="1:12" ht="14.25" customHeight="1">
      <c r="A754" s="3">
        <v>753</v>
      </c>
      <c r="B754" s="3" t="s">
        <v>3062</v>
      </c>
      <c r="C754" s="3" t="s">
        <v>160</v>
      </c>
      <c r="D754" s="3">
        <v>9876543361</v>
      </c>
      <c r="E754" s="3" t="s">
        <v>4420</v>
      </c>
      <c r="F754" s="3" t="str" cm="1">
        <f t="array" ref="F754">IF(E754="","",_xlfn.XLOOKUP(E754,{"FIRST","SECOND","THIRD","FOURTH"},{"SEM-1","SEM-2","SEM-3","SEM-4"},""))</f>
        <v>SEM-3</v>
      </c>
      <c r="G754" s="3">
        <v>75</v>
      </c>
      <c r="H754" s="3">
        <v>75</v>
      </c>
      <c r="I754" s="3">
        <v>15</v>
      </c>
      <c r="J754" s="3">
        <f t="shared" si="33"/>
        <v>165</v>
      </c>
      <c r="K754" s="3" t="str">
        <f t="shared" si="34"/>
        <v>P</v>
      </c>
      <c r="L754" s="3" t="str">
        <f t="shared" si="35"/>
        <v>B</v>
      </c>
    </row>
    <row r="755" spans="1:12" ht="14.25" customHeight="1">
      <c r="A755" s="3">
        <v>754</v>
      </c>
      <c r="B755" s="3" t="s">
        <v>3531</v>
      </c>
      <c r="C755" s="3" t="s">
        <v>626</v>
      </c>
      <c r="D755" s="3">
        <v>9876543830</v>
      </c>
      <c r="E755" s="3" t="s">
        <v>4420</v>
      </c>
      <c r="F755" s="3" t="str" cm="1">
        <f t="array" ref="F755">IF(E755="","",_xlfn.XLOOKUP(E755,{"FIRST","SECOND","THIRD","FOURTH"},{"SEM-1","SEM-2","SEM-3","SEM-4"},""))</f>
        <v>SEM-3</v>
      </c>
      <c r="G755" s="3">
        <v>4</v>
      </c>
      <c r="H755" s="3">
        <v>74</v>
      </c>
      <c r="I755" s="3">
        <v>56</v>
      </c>
      <c r="J755" s="3">
        <f t="shared" si="33"/>
        <v>134</v>
      </c>
      <c r="K755" s="3" t="str">
        <f t="shared" si="34"/>
        <v>P</v>
      </c>
      <c r="L755" s="3" t="str">
        <f t="shared" si="35"/>
        <v>C</v>
      </c>
    </row>
    <row r="756" spans="1:12" ht="14.25" customHeight="1">
      <c r="A756" s="3">
        <v>755</v>
      </c>
      <c r="B756" s="3" t="s">
        <v>3245</v>
      </c>
      <c r="C756" s="3" t="s">
        <v>342</v>
      </c>
      <c r="D756" s="3">
        <v>9876543544</v>
      </c>
      <c r="E756" s="3" t="s">
        <v>4420</v>
      </c>
      <c r="F756" s="3" t="str" cm="1">
        <f t="array" ref="F756">IF(E756="","",_xlfn.XLOOKUP(E756,{"FIRST","SECOND","THIRD","FOURTH"},{"SEM-1","SEM-2","SEM-3","SEM-4"},""))</f>
        <v>SEM-3</v>
      </c>
      <c r="G756" s="3">
        <v>65</v>
      </c>
      <c r="H756" s="3">
        <v>53</v>
      </c>
      <c r="I756" s="3">
        <v>85</v>
      </c>
      <c r="J756" s="3">
        <f t="shared" si="33"/>
        <v>203</v>
      </c>
      <c r="K756" s="3" t="str">
        <f t="shared" si="34"/>
        <v>P</v>
      </c>
      <c r="L756" s="3" t="str">
        <f t="shared" si="35"/>
        <v>A</v>
      </c>
    </row>
    <row r="757" spans="1:12" ht="14.25" customHeight="1">
      <c r="A757" s="3">
        <v>756</v>
      </c>
      <c r="B757" s="3" t="s">
        <v>3276</v>
      </c>
      <c r="C757" s="3" t="s">
        <v>373</v>
      </c>
      <c r="D757" s="3">
        <v>9876543575</v>
      </c>
      <c r="E757" s="3" t="s">
        <v>4418</v>
      </c>
      <c r="F757" s="3" t="str" cm="1">
        <f t="array" ref="F757">IF(E757="","",_xlfn.XLOOKUP(E757,{"FIRST","SECOND","THIRD","FOURTH"},{"SEM-1","SEM-2","SEM-3","SEM-4"},""))</f>
        <v>SEM-1</v>
      </c>
      <c r="G757" s="3">
        <v>90</v>
      </c>
      <c r="H757" s="3">
        <v>61</v>
      </c>
      <c r="I757" s="3">
        <v>99</v>
      </c>
      <c r="J757" s="3">
        <f t="shared" si="33"/>
        <v>250</v>
      </c>
      <c r="K757" s="3" t="str">
        <f t="shared" si="34"/>
        <v>P</v>
      </c>
      <c r="L757" s="3" t="str">
        <f t="shared" si="35"/>
        <v>A</v>
      </c>
    </row>
    <row r="758" spans="1:12" ht="14.25" customHeight="1">
      <c r="A758" s="3">
        <v>757</v>
      </c>
      <c r="B758" s="3" t="s">
        <v>3653</v>
      </c>
      <c r="C758" s="3" t="s">
        <v>747</v>
      </c>
      <c r="D758" s="3">
        <v>9876543952</v>
      </c>
      <c r="E758" s="3" t="s">
        <v>4420</v>
      </c>
      <c r="F758" s="3" t="str" cm="1">
        <f t="array" ref="F758">IF(E758="","",_xlfn.XLOOKUP(E758,{"FIRST","SECOND","THIRD","FOURTH"},{"SEM-1","SEM-2","SEM-3","SEM-4"},""))</f>
        <v>SEM-3</v>
      </c>
      <c r="G758" s="3">
        <v>46</v>
      </c>
      <c r="H758" s="3">
        <v>97</v>
      </c>
      <c r="I758" s="3">
        <v>21</v>
      </c>
      <c r="J758" s="3">
        <f t="shared" si="33"/>
        <v>164</v>
      </c>
      <c r="K758" s="3" t="str">
        <f t="shared" si="34"/>
        <v>P</v>
      </c>
      <c r="L758" s="3" t="str">
        <f t="shared" si="35"/>
        <v>B</v>
      </c>
    </row>
    <row r="759" spans="1:12" ht="14.25" customHeight="1">
      <c r="A759" s="3">
        <v>758</v>
      </c>
      <c r="B759" s="3" t="s">
        <v>4196</v>
      </c>
      <c r="C759" s="3" t="s">
        <v>1280</v>
      </c>
      <c r="D759" s="3">
        <v>9876544495</v>
      </c>
      <c r="E759" s="3" t="s">
        <v>4420</v>
      </c>
      <c r="F759" s="3" t="str" cm="1">
        <f t="array" ref="F759">IF(E759="","",_xlfn.XLOOKUP(E759,{"FIRST","SECOND","THIRD","FOURTH"},{"SEM-1","SEM-2","SEM-3","SEM-4"},""))</f>
        <v>SEM-3</v>
      </c>
      <c r="G759" s="3">
        <v>6</v>
      </c>
      <c r="H759" s="3">
        <v>44</v>
      </c>
      <c r="I759" s="3">
        <v>65</v>
      </c>
      <c r="J759" s="3">
        <f t="shared" si="33"/>
        <v>115</v>
      </c>
      <c r="K759" s="3" t="str">
        <f t="shared" si="34"/>
        <v>F</v>
      </c>
      <c r="L759" s="3" t="str">
        <f t="shared" si="35"/>
        <v>FAIL</v>
      </c>
    </row>
    <row r="760" spans="1:12" ht="14.25" customHeight="1">
      <c r="A760" s="3">
        <v>759</v>
      </c>
      <c r="B760" s="3" t="s">
        <v>4373</v>
      </c>
      <c r="C760" s="3" t="s">
        <v>1452</v>
      </c>
      <c r="D760" s="3">
        <v>9876544672</v>
      </c>
      <c r="E760" s="3" t="s">
        <v>4419</v>
      </c>
      <c r="F760" s="3" t="str" cm="1">
        <f t="array" ref="F760">IF(E760="","",_xlfn.XLOOKUP(E760,{"FIRST","SECOND","THIRD","FOURTH"},{"SEM-1","SEM-2","SEM-3","SEM-4"},""))</f>
        <v>SEM-2</v>
      </c>
      <c r="G760" s="3">
        <v>39</v>
      </c>
      <c r="H760" s="3">
        <v>9</v>
      </c>
      <c r="I760" s="3">
        <v>81</v>
      </c>
      <c r="J760" s="3">
        <f t="shared" si="33"/>
        <v>129</v>
      </c>
      <c r="K760" s="3" t="str">
        <f t="shared" si="34"/>
        <v>P</v>
      </c>
      <c r="L760" s="3" t="str">
        <f t="shared" si="35"/>
        <v>C</v>
      </c>
    </row>
    <row r="761" spans="1:12" ht="14.25" customHeight="1">
      <c r="A761" s="3">
        <v>760</v>
      </c>
      <c r="B761" s="3" t="s">
        <v>4263</v>
      </c>
      <c r="C761" s="3" t="s">
        <v>1345</v>
      </c>
      <c r="D761" s="3">
        <v>9876544562</v>
      </c>
      <c r="E761" s="3" t="s">
        <v>4418</v>
      </c>
      <c r="F761" s="3" t="str" cm="1">
        <f t="array" ref="F761">IF(E761="","",_xlfn.XLOOKUP(E761,{"FIRST","SECOND","THIRD","FOURTH"},{"SEM-1","SEM-2","SEM-3","SEM-4"},""))</f>
        <v>SEM-1</v>
      </c>
      <c r="G761" s="3">
        <v>69</v>
      </c>
      <c r="H761" s="3">
        <v>3</v>
      </c>
      <c r="I761" s="3">
        <v>68</v>
      </c>
      <c r="J761" s="3">
        <f t="shared" si="33"/>
        <v>140</v>
      </c>
      <c r="K761" s="3" t="str">
        <f t="shared" si="34"/>
        <v>P</v>
      </c>
      <c r="L761" s="3" t="str">
        <f t="shared" si="35"/>
        <v>C</v>
      </c>
    </row>
    <row r="762" spans="1:12" ht="14.25" customHeight="1">
      <c r="A762" s="3">
        <v>761</v>
      </c>
      <c r="B762" s="3" t="s">
        <v>4120</v>
      </c>
      <c r="C762" s="3" t="s">
        <v>1205</v>
      </c>
      <c r="D762" s="3">
        <v>9876544419</v>
      </c>
      <c r="E762" s="3" t="s">
        <v>4420</v>
      </c>
      <c r="F762" s="3" t="str" cm="1">
        <f t="array" ref="F762">IF(E762="","",_xlfn.XLOOKUP(E762,{"FIRST","SECOND","THIRD","FOURTH"},{"SEM-1","SEM-2","SEM-3","SEM-4"},""))</f>
        <v>SEM-3</v>
      </c>
      <c r="G762" s="3">
        <v>57</v>
      </c>
      <c r="H762" s="3">
        <v>54</v>
      </c>
      <c r="I762" s="3">
        <v>85</v>
      </c>
      <c r="J762" s="3">
        <f t="shared" si="33"/>
        <v>196</v>
      </c>
      <c r="K762" s="3" t="str">
        <f t="shared" si="34"/>
        <v>P</v>
      </c>
      <c r="L762" s="3" t="str">
        <f t="shared" si="35"/>
        <v>A</v>
      </c>
    </row>
    <row r="763" spans="1:12" ht="14.25" customHeight="1">
      <c r="A763" s="3">
        <v>762</v>
      </c>
      <c r="B763" s="3" t="s">
        <v>4352</v>
      </c>
      <c r="C763" s="3" t="s">
        <v>1431</v>
      </c>
      <c r="D763" s="3">
        <v>9876544651</v>
      </c>
      <c r="E763" s="3" t="s">
        <v>4420</v>
      </c>
      <c r="F763" s="3" t="str" cm="1">
        <f t="array" ref="F763">IF(E763="","",_xlfn.XLOOKUP(E763,{"FIRST","SECOND","THIRD","FOURTH"},{"SEM-1","SEM-2","SEM-3","SEM-4"},""))</f>
        <v>SEM-3</v>
      </c>
      <c r="G763" s="3">
        <v>91</v>
      </c>
      <c r="H763" s="3">
        <v>0</v>
      </c>
      <c r="I763" s="3">
        <v>90</v>
      </c>
      <c r="J763" s="3">
        <f t="shared" si="33"/>
        <v>181</v>
      </c>
      <c r="K763" s="3" t="str">
        <f t="shared" si="34"/>
        <v>P</v>
      </c>
      <c r="L763" s="3" t="str">
        <f t="shared" si="35"/>
        <v>B</v>
      </c>
    </row>
    <row r="764" spans="1:12" ht="14.25" customHeight="1">
      <c r="A764" s="3">
        <v>763</v>
      </c>
      <c r="B764" s="3" t="s">
        <v>2968</v>
      </c>
      <c r="C764" s="3" t="s">
        <v>66</v>
      </c>
      <c r="D764" s="3">
        <v>9876543267</v>
      </c>
      <c r="E764" s="3" t="s">
        <v>4418</v>
      </c>
      <c r="F764" s="3" t="str" cm="1">
        <f t="array" ref="F764">IF(E764="","",_xlfn.XLOOKUP(E764,{"FIRST","SECOND","THIRD","FOURTH"},{"SEM-1","SEM-2","SEM-3","SEM-4"},""))</f>
        <v>SEM-1</v>
      </c>
      <c r="G764" s="3">
        <v>2</v>
      </c>
      <c r="H764" s="3">
        <v>72</v>
      </c>
      <c r="I764" s="3">
        <v>50</v>
      </c>
      <c r="J764" s="3">
        <f t="shared" si="33"/>
        <v>124</v>
      </c>
      <c r="K764" s="3" t="str">
        <f t="shared" si="34"/>
        <v>P</v>
      </c>
      <c r="L764" s="3" t="str">
        <f t="shared" si="35"/>
        <v>C</v>
      </c>
    </row>
    <row r="765" spans="1:12" ht="14.25" customHeight="1">
      <c r="A765" s="3">
        <v>764</v>
      </c>
      <c r="B765" s="3" t="s">
        <v>4051</v>
      </c>
      <c r="C765" s="3" t="s">
        <v>1139</v>
      </c>
      <c r="D765" s="3">
        <v>9876544350</v>
      </c>
      <c r="E765" s="3" t="s">
        <v>4418</v>
      </c>
      <c r="F765" s="3" t="str" cm="1">
        <f t="array" ref="F765">IF(E765="","",_xlfn.XLOOKUP(E765,{"FIRST","SECOND","THIRD","FOURTH"},{"SEM-1","SEM-2","SEM-3","SEM-4"},""))</f>
        <v>SEM-1</v>
      </c>
      <c r="G765" s="3">
        <v>6</v>
      </c>
      <c r="H765" s="3">
        <v>56</v>
      </c>
      <c r="I765" s="3">
        <v>19</v>
      </c>
      <c r="J765" s="3">
        <f t="shared" si="33"/>
        <v>81</v>
      </c>
      <c r="K765" s="3" t="str">
        <f t="shared" si="34"/>
        <v>F</v>
      </c>
      <c r="L765" s="3" t="str">
        <f t="shared" si="35"/>
        <v>FAIL</v>
      </c>
    </row>
    <row r="766" spans="1:12" ht="14.25" customHeight="1">
      <c r="A766" s="3">
        <v>765</v>
      </c>
      <c r="B766" s="3" t="s">
        <v>3094</v>
      </c>
      <c r="C766" s="3" t="s">
        <v>192</v>
      </c>
      <c r="D766" s="3">
        <v>9876543393</v>
      </c>
      <c r="E766" s="3" t="s">
        <v>4419</v>
      </c>
      <c r="F766" s="3" t="str" cm="1">
        <f t="array" ref="F766">IF(E766="","",_xlfn.XLOOKUP(E766,{"FIRST","SECOND","THIRD","FOURTH"},{"SEM-1","SEM-2","SEM-3","SEM-4"},""))</f>
        <v>SEM-2</v>
      </c>
      <c r="G766" s="3">
        <v>33</v>
      </c>
      <c r="H766" s="3">
        <v>99</v>
      </c>
      <c r="I766" s="3">
        <v>38</v>
      </c>
      <c r="J766" s="3">
        <f t="shared" si="33"/>
        <v>170</v>
      </c>
      <c r="K766" s="3" t="str">
        <f t="shared" si="34"/>
        <v>P</v>
      </c>
      <c r="L766" s="3" t="str">
        <f t="shared" si="35"/>
        <v>B</v>
      </c>
    </row>
    <row r="767" spans="1:12" ht="14.25" customHeight="1">
      <c r="A767" s="3">
        <v>766</v>
      </c>
      <c r="B767" s="3" t="s">
        <v>2927</v>
      </c>
      <c r="C767" s="3" t="s">
        <v>25</v>
      </c>
      <c r="D767" s="3">
        <v>9876543226</v>
      </c>
      <c r="E767" s="3" t="s">
        <v>4418</v>
      </c>
      <c r="F767" s="3" t="str" cm="1">
        <f t="array" ref="F767">IF(E767="","",_xlfn.XLOOKUP(E767,{"FIRST","SECOND","THIRD","FOURTH"},{"SEM-1","SEM-2","SEM-3","SEM-4"},""))</f>
        <v>SEM-1</v>
      </c>
      <c r="G767" s="3">
        <v>43</v>
      </c>
      <c r="H767" s="3">
        <v>53</v>
      </c>
      <c r="I767" s="3">
        <v>55</v>
      </c>
      <c r="J767" s="3">
        <f t="shared" si="33"/>
        <v>151</v>
      </c>
      <c r="K767" s="3" t="str">
        <f t="shared" si="34"/>
        <v>P</v>
      </c>
      <c r="L767" s="3" t="str">
        <f t="shared" si="35"/>
        <v>B</v>
      </c>
    </row>
    <row r="768" spans="1:12" ht="14.25" customHeight="1">
      <c r="A768" s="3">
        <v>767</v>
      </c>
      <c r="B768" s="3" t="s">
        <v>3697</v>
      </c>
      <c r="C768" s="3" t="s">
        <v>790</v>
      </c>
      <c r="D768" s="3">
        <v>9876543996</v>
      </c>
      <c r="E768" s="3" t="s">
        <v>4419</v>
      </c>
      <c r="F768" s="3" t="str" cm="1">
        <f t="array" ref="F768">IF(E768="","",_xlfn.XLOOKUP(E768,{"FIRST","SECOND","THIRD","FOURTH"},{"SEM-1","SEM-2","SEM-3","SEM-4"},""))</f>
        <v>SEM-2</v>
      </c>
      <c r="G768" s="3">
        <v>89</v>
      </c>
      <c r="H768" s="3">
        <v>70</v>
      </c>
      <c r="I768" s="3">
        <v>45</v>
      </c>
      <c r="J768" s="3">
        <f t="shared" si="33"/>
        <v>204</v>
      </c>
      <c r="K768" s="3" t="str">
        <f t="shared" si="34"/>
        <v>P</v>
      </c>
      <c r="L768" s="3" t="str">
        <f t="shared" si="35"/>
        <v>A</v>
      </c>
    </row>
    <row r="769" spans="1:12" ht="14.25" customHeight="1">
      <c r="A769" s="3">
        <v>768</v>
      </c>
      <c r="B769" s="3" t="s">
        <v>3626</v>
      </c>
      <c r="C769" s="3" t="s">
        <v>720</v>
      </c>
      <c r="D769" s="3">
        <v>9876543925</v>
      </c>
      <c r="E769" s="3" t="s">
        <v>4420</v>
      </c>
      <c r="F769" s="3" t="str" cm="1">
        <f t="array" ref="F769">IF(E769="","",_xlfn.XLOOKUP(E769,{"FIRST","SECOND","THIRD","FOURTH"},{"SEM-1","SEM-2","SEM-3","SEM-4"},""))</f>
        <v>SEM-3</v>
      </c>
      <c r="G769" s="3">
        <v>20</v>
      </c>
      <c r="H769" s="3">
        <v>78</v>
      </c>
      <c r="I769" s="3">
        <v>51</v>
      </c>
      <c r="J769" s="3">
        <f t="shared" si="33"/>
        <v>149</v>
      </c>
      <c r="K769" s="3" t="str">
        <f t="shared" si="34"/>
        <v>P</v>
      </c>
      <c r="L769" s="3" t="str">
        <f t="shared" si="35"/>
        <v>C</v>
      </c>
    </row>
    <row r="770" spans="1:12" ht="14.25" customHeight="1">
      <c r="A770" s="3">
        <v>769</v>
      </c>
      <c r="B770" s="3" t="s">
        <v>3128</v>
      </c>
      <c r="C770" s="3" t="s">
        <v>226</v>
      </c>
      <c r="D770" s="3">
        <v>9876543427</v>
      </c>
      <c r="E770" s="3" t="s">
        <v>4419</v>
      </c>
      <c r="F770" s="3" t="str" cm="1">
        <f t="array" ref="F770">IF(E770="","",_xlfn.XLOOKUP(E770,{"FIRST","SECOND","THIRD","FOURTH"},{"SEM-1","SEM-2","SEM-3","SEM-4"},""))</f>
        <v>SEM-2</v>
      </c>
      <c r="G770" s="3">
        <v>8</v>
      </c>
      <c r="H770" s="3">
        <v>92</v>
      </c>
      <c r="I770" s="3">
        <v>96</v>
      </c>
      <c r="J770" s="3">
        <f t="shared" ref="J770:J833" si="36">SUM(G770:I770)</f>
        <v>196</v>
      </c>
      <c r="K770" s="3" t="str">
        <f t="shared" ref="K770:K833" si="37">IF(OR(G770&gt;=70,H770&gt;=70,I770&gt;=70,J770&gt;=120),"P","F")</f>
        <v>P</v>
      </c>
      <c r="L770" s="3" t="str">
        <f t="shared" ref="L770:L833" si="38">IF(J770&gt;=190,"A",IF(J770&gt;=150,"B",IF(J770&gt;=120,"C","FAIL")))</f>
        <v>A</v>
      </c>
    </row>
    <row r="771" spans="1:12" ht="14.25" customHeight="1">
      <c r="A771" s="3">
        <v>770</v>
      </c>
      <c r="B771" s="3" t="s">
        <v>3291</v>
      </c>
      <c r="C771" s="3" t="s">
        <v>387</v>
      </c>
      <c r="D771" s="3">
        <v>9876543590</v>
      </c>
      <c r="E771" s="3" t="s">
        <v>4418</v>
      </c>
      <c r="F771" s="3" t="str" cm="1">
        <f t="array" ref="F771">IF(E771="","",_xlfn.XLOOKUP(E771,{"FIRST","SECOND","THIRD","FOURTH"},{"SEM-1","SEM-2","SEM-3","SEM-4"},""))</f>
        <v>SEM-1</v>
      </c>
      <c r="G771" s="3">
        <v>66</v>
      </c>
      <c r="H771" s="3">
        <v>56</v>
      </c>
      <c r="I771" s="3">
        <v>59</v>
      </c>
      <c r="J771" s="3">
        <f t="shared" si="36"/>
        <v>181</v>
      </c>
      <c r="K771" s="3" t="str">
        <f t="shared" si="37"/>
        <v>P</v>
      </c>
      <c r="L771" s="3" t="str">
        <f t="shared" si="38"/>
        <v>B</v>
      </c>
    </row>
    <row r="772" spans="1:12" ht="14.25" customHeight="1">
      <c r="A772" s="3">
        <v>771</v>
      </c>
      <c r="B772" s="3" t="s">
        <v>3236</v>
      </c>
      <c r="C772" s="3" t="s">
        <v>333</v>
      </c>
      <c r="D772" s="3">
        <v>9876543535</v>
      </c>
      <c r="E772" s="3" t="s">
        <v>4420</v>
      </c>
      <c r="F772" s="3" t="str" cm="1">
        <f t="array" ref="F772">IF(E772="","",_xlfn.XLOOKUP(E772,{"FIRST","SECOND","THIRD","FOURTH"},{"SEM-1","SEM-2","SEM-3","SEM-4"},""))</f>
        <v>SEM-3</v>
      </c>
      <c r="G772" s="3">
        <v>89</v>
      </c>
      <c r="H772" s="3">
        <v>24</v>
      </c>
      <c r="I772" s="3">
        <v>40</v>
      </c>
      <c r="J772" s="3">
        <f t="shared" si="36"/>
        <v>153</v>
      </c>
      <c r="K772" s="3" t="str">
        <f t="shared" si="37"/>
        <v>P</v>
      </c>
      <c r="L772" s="3" t="str">
        <f t="shared" si="38"/>
        <v>B</v>
      </c>
    </row>
    <row r="773" spans="1:12" ht="14.25" customHeight="1">
      <c r="A773" s="3">
        <v>772</v>
      </c>
      <c r="B773" s="3" t="s">
        <v>4000</v>
      </c>
      <c r="C773" s="3" t="s">
        <v>1089</v>
      </c>
      <c r="D773" s="3">
        <v>9876544299</v>
      </c>
      <c r="E773" s="3" t="s">
        <v>4418</v>
      </c>
      <c r="F773" s="3" t="str" cm="1">
        <f t="array" ref="F773">IF(E773="","",_xlfn.XLOOKUP(E773,{"FIRST","SECOND","THIRD","FOURTH"},{"SEM-1","SEM-2","SEM-3","SEM-4"},""))</f>
        <v>SEM-1</v>
      </c>
      <c r="G773" s="3">
        <v>41</v>
      </c>
      <c r="H773" s="3">
        <v>92</v>
      </c>
      <c r="I773" s="3">
        <v>58</v>
      </c>
      <c r="J773" s="3">
        <f t="shared" si="36"/>
        <v>191</v>
      </c>
      <c r="K773" s="3" t="str">
        <f t="shared" si="37"/>
        <v>P</v>
      </c>
      <c r="L773" s="3" t="str">
        <f t="shared" si="38"/>
        <v>A</v>
      </c>
    </row>
    <row r="774" spans="1:12" ht="14.25" customHeight="1">
      <c r="A774" s="3">
        <v>773</v>
      </c>
      <c r="B774" s="3" t="s">
        <v>3970</v>
      </c>
      <c r="C774" s="3" t="s">
        <v>1060</v>
      </c>
      <c r="D774" s="3">
        <v>9876544269</v>
      </c>
      <c r="E774" s="3" t="s">
        <v>4419</v>
      </c>
      <c r="F774" s="3" t="str" cm="1">
        <f t="array" ref="F774">IF(E774="","",_xlfn.XLOOKUP(E774,{"FIRST","SECOND","THIRD","FOURTH"},{"SEM-1","SEM-2","SEM-3","SEM-4"},""))</f>
        <v>SEM-2</v>
      </c>
      <c r="G774" s="3">
        <v>48</v>
      </c>
      <c r="H774" s="3">
        <v>68</v>
      </c>
      <c r="I774" s="3">
        <v>80</v>
      </c>
      <c r="J774" s="3">
        <f t="shared" si="36"/>
        <v>196</v>
      </c>
      <c r="K774" s="3" t="str">
        <f t="shared" si="37"/>
        <v>P</v>
      </c>
      <c r="L774" s="3" t="str">
        <f t="shared" si="38"/>
        <v>A</v>
      </c>
    </row>
    <row r="775" spans="1:12" ht="14.25" customHeight="1">
      <c r="A775" s="3">
        <v>774</v>
      </c>
      <c r="B775" s="3" t="s">
        <v>3921</v>
      </c>
      <c r="C775" s="3" t="s">
        <v>1011</v>
      </c>
      <c r="D775" s="3">
        <v>9876544220</v>
      </c>
      <c r="E775" s="3" t="s">
        <v>4418</v>
      </c>
      <c r="F775" s="3" t="str" cm="1">
        <f t="array" ref="F775">IF(E775="","",_xlfn.XLOOKUP(E775,{"FIRST","SECOND","THIRD","FOURTH"},{"SEM-1","SEM-2","SEM-3","SEM-4"},""))</f>
        <v>SEM-1</v>
      </c>
      <c r="G775" s="3">
        <v>80</v>
      </c>
      <c r="H775" s="3">
        <v>16</v>
      </c>
      <c r="I775" s="3">
        <v>90</v>
      </c>
      <c r="J775" s="3">
        <f t="shared" si="36"/>
        <v>186</v>
      </c>
      <c r="K775" s="3" t="str">
        <f t="shared" si="37"/>
        <v>P</v>
      </c>
      <c r="L775" s="3" t="str">
        <f t="shared" si="38"/>
        <v>B</v>
      </c>
    </row>
    <row r="776" spans="1:12" ht="14.25" customHeight="1">
      <c r="A776" s="3">
        <v>775</v>
      </c>
      <c r="B776" s="3" t="s">
        <v>4246</v>
      </c>
      <c r="C776" s="3" t="s">
        <v>1329</v>
      </c>
      <c r="D776" s="3">
        <v>9876544545</v>
      </c>
      <c r="E776" s="3" t="s">
        <v>4420</v>
      </c>
      <c r="F776" s="3" t="str" cm="1">
        <f t="array" ref="F776">IF(E776="","",_xlfn.XLOOKUP(E776,{"FIRST","SECOND","THIRD","FOURTH"},{"SEM-1","SEM-2","SEM-3","SEM-4"},""))</f>
        <v>SEM-3</v>
      </c>
      <c r="G776" s="3">
        <v>35</v>
      </c>
      <c r="H776" s="3">
        <v>92</v>
      </c>
      <c r="I776" s="3">
        <v>0</v>
      </c>
      <c r="J776" s="3">
        <f t="shared" si="36"/>
        <v>127</v>
      </c>
      <c r="K776" s="3" t="str">
        <f t="shared" si="37"/>
        <v>P</v>
      </c>
      <c r="L776" s="3" t="str">
        <f t="shared" si="38"/>
        <v>C</v>
      </c>
    </row>
    <row r="777" spans="1:12" ht="14.25" customHeight="1">
      <c r="A777" s="3">
        <v>776</v>
      </c>
      <c r="B777" s="3" t="s">
        <v>3479</v>
      </c>
      <c r="C777" s="3" t="s">
        <v>575</v>
      </c>
      <c r="D777" s="3">
        <v>9876543778</v>
      </c>
      <c r="E777" s="3" t="s">
        <v>4418</v>
      </c>
      <c r="F777" s="3" t="str" cm="1">
        <f t="array" ref="F777">IF(E777="","",_xlfn.XLOOKUP(E777,{"FIRST","SECOND","THIRD","FOURTH"},{"SEM-1","SEM-2","SEM-3","SEM-4"},""))</f>
        <v>SEM-1</v>
      </c>
      <c r="G777" s="3">
        <v>8</v>
      </c>
      <c r="H777" s="3">
        <v>5</v>
      </c>
      <c r="I777" s="3">
        <v>88</v>
      </c>
      <c r="J777" s="3">
        <f t="shared" si="36"/>
        <v>101</v>
      </c>
      <c r="K777" s="3" t="str">
        <f t="shared" si="37"/>
        <v>P</v>
      </c>
      <c r="L777" s="3" t="str">
        <f t="shared" si="38"/>
        <v>FAIL</v>
      </c>
    </row>
    <row r="778" spans="1:12" ht="14.25" customHeight="1">
      <c r="A778" s="3">
        <v>777</v>
      </c>
      <c r="B778" s="3" t="s">
        <v>3986</v>
      </c>
      <c r="C778" s="3" t="s">
        <v>1076</v>
      </c>
      <c r="D778" s="3">
        <v>9876544285</v>
      </c>
      <c r="E778" s="3" t="s">
        <v>4420</v>
      </c>
      <c r="F778" s="3" t="str" cm="1">
        <f t="array" ref="F778">IF(E778="","",_xlfn.XLOOKUP(E778,{"FIRST","SECOND","THIRD","FOURTH"},{"SEM-1","SEM-2","SEM-3","SEM-4"},""))</f>
        <v>SEM-3</v>
      </c>
      <c r="G778" s="3">
        <v>94</v>
      </c>
      <c r="H778" s="3">
        <v>93</v>
      </c>
      <c r="I778" s="3">
        <v>41</v>
      </c>
      <c r="J778" s="3">
        <f t="shared" si="36"/>
        <v>228</v>
      </c>
      <c r="K778" s="3" t="str">
        <f t="shared" si="37"/>
        <v>P</v>
      </c>
      <c r="L778" s="3" t="str">
        <f t="shared" si="38"/>
        <v>A</v>
      </c>
    </row>
    <row r="779" spans="1:12" ht="14.25" customHeight="1">
      <c r="A779" s="3">
        <v>778</v>
      </c>
      <c r="B779" s="3" t="s">
        <v>2940</v>
      </c>
      <c r="C779" s="3" t="s">
        <v>38</v>
      </c>
      <c r="D779" s="3">
        <v>9876543239</v>
      </c>
      <c r="E779" s="3" t="s">
        <v>4418</v>
      </c>
      <c r="F779" s="3" t="str" cm="1">
        <f t="array" ref="F779">IF(E779="","",_xlfn.XLOOKUP(E779,{"FIRST","SECOND","THIRD","FOURTH"},{"SEM-1","SEM-2","SEM-3","SEM-4"},""))</f>
        <v>SEM-1</v>
      </c>
      <c r="G779" s="3">
        <v>10</v>
      </c>
      <c r="H779" s="3">
        <v>11</v>
      </c>
      <c r="I779" s="3">
        <v>27</v>
      </c>
      <c r="J779" s="3">
        <f t="shared" si="36"/>
        <v>48</v>
      </c>
      <c r="K779" s="3" t="str">
        <f t="shared" si="37"/>
        <v>F</v>
      </c>
      <c r="L779" s="3" t="str">
        <f t="shared" si="38"/>
        <v>FAIL</v>
      </c>
    </row>
    <row r="780" spans="1:12" ht="14.25" customHeight="1">
      <c r="A780" s="3">
        <v>779</v>
      </c>
      <c r="B780" s="3" t="s">
        <v>3396</v>
      </c>
      <c r="C780" s="3" t="s">
        <v>492</v>
      </c>
      <c r="D780" s="3">
        <v>9876543695</v>
      </c>
      <c r="E780" s="3" t="s">
        <v>4418</v>
      </c>
      <c r="F780" s="3" t="str" cm="1">
        <f t="array" ref="F780">IF(E780="","",_xlfn.XLOOKUP(E780,{"FIRST","SECOND","THIRD","FOURTH"},{"SEM-1","SEM-2","SEM-3","SEM-4"},""))</f>
        <v>SEM-1</v>
      </c>
      <c r="G780" s="3">
        <v>90</v>
      </c>
      <c r="H780" s="3">
        <v>84</v>
      </c>
      <c r="I780" s="3">
        <v>23</v>
      </c>
      <c r="J780" s="3">
        <f t="shared" si="36"/>
        <v>197</v>
      </c>
      <c r="K780" s="3" t="str">
        <f t="shared" si="37"/>
        <v>P</v>
      </c>
      <c r="L780" s="3" t="str">
        <f t="shared" si="38"/>
        <v>A</v>
      </c>
    </row>
    <row r="781" spans="1:12" ht="14.25" customHeight="1">
      <c r="A781" s="3">
        <v>780</v>
      </c>
      <c r="B781" s="3" t="s">
        <v>3869</v>
      </c>
      <c r="C781" s="3" t="s">
        <v>960</v>
      </c>
      <c r="D781" s="3">
        <v>9876544168</v>
      </c>
      <c r="E781" s="3" t="s">
        <v>4418</v>
      </c>
      <c r="F781" s="3" t="str" cm="1">
        <f t="array" ref="F781">IF(E781="","",_xlfn.XLOOKUP(E781,{"FIRST","SECOND","THIRD","FOURTH"},{"SEM-1","SEM-2","SEM-3","SEM-4"},""))</f>
        <v>SEM-1</v>
      </c>
      <c r="G781" s="3">
        <v>12</v>
      </c>
      <c r="H781" s="3">
        <v>62</v>
      </c>
      <c r="I781" s="3">
        <v>74</v>
      </c>
      <c r="J781" s="3">
        <f t="shared" si="36"/>
        <v>148</v>
      </c>
      <c r="K781" s="3" t="str">
        <f t="shared" si="37"/>
        <v>P</v>
      </c>
      <c r="L781" s="3" t="str">
        <f t="shared" si="38"/>
        <v>C</v>
      </c>
    </row>
    <row r="782" spans="1:12" ht="14.25" customHeight="1">
      <c r="A782" s="3">
        <v>781</v>
      </c>
      <c r="B782" s="3" t="s">
        <v>4147</v>
      </c>
      <c r="C782" s="3" t="s">
        <v>1232</v>
      </c>
      <c r="D782" s="3">
        <v>9876544446</v>
      </c>
      <c r="E782" s="3" t="s">
        <v>4419</v>
      </c>
      <c r="F782" s="3" t="str" cm="1">
        <f t="array" ref="F782">IF(E782="","",_xlfn.XLOOKUP(E782,{"FIRST","SECOND","THIRD","FOURTH"},{"SEM-1","SEM-2","SEM-3","SEM-4"},""))</f>
        <v>SEM-2</v>
      </c>
      <c r="G782" s="3">
        <v>100</v>
      </c>
      <c r="H782" s="3">
        <v>32</v>
      </c>
      <c r="I782" s="3">
        <v>17</v>
      </c>
      <c r="J782" s="3">
        <f t="shared" si="36"/>
        <v>149</v>
      </c>
      <c r="K782" s="3" t="str">
        <f t="shared" si="37"/>
        <v>P</v>
      </c>
      <c r="L782" s="3" t="str">
        <f t="shared" si="38"/>
        <v>C</v>
      </c>
    </row>
    <row r="783" spans="1:12" ht="14.25" customHeight="1">
      <c r="A783" s="3">
        <v>782</v>
      </c>
      <c r="B783" s="3" t="s">
        <v>3803</v>
      </c>
      <c r="C783" s="3" t="s">
        <v>895</v>
      </c>
      <c r="D783" s="3">
        <v>9876544102</v>
      </c>
      <c r="E783" s="3" t="s">
        <v>4418</v>
      </c>
      <c r="F783" s="3" t="str" cm="1">
        <f t="array" ref="F783">IF(E783="","",_xlfn.XLOOKUP(E783,{"FIRST","SECOND","THIRD","FOURTH"},{"SEM-1","SEM-2","SEM-3","SEM-4"},""))</f>
        <v>SEM-1</v>
      </c>
      <c r="G783" s="3">
        <v>97</v>
      </c>
      <c r="H783" s="3">
        <v>100</v>
      </c>
      <c r="I783" s="3">
        <v>45</v>
      </c>
      <c r="J783" s="3">
        <f t="shared" si="36"/>
        <v>242</v>
      </c>
      <c r="K783" s="3" t="str">
        <f t="shared" si="37"/>
        <v>P</v>
      </c>
      <c r="L783" s="3" t="str">
        <f t="shared" si="38"/>
        <v>A</v>
      </c>
    </row>
    <row r="784" spans="1:12" ht="14.25" customHeight="1">
      <c r="A784" s="3">
        <v>783</v>
      </c>
      <c r="B784" s="3" t="s">
        <v>3238</v>
      </c>
      <c r="C784" s="3" t="s">
        <v>335</v>
      </c>
      <c r="D784" s="3">
        <v>9876543537</v>
      </c>
      <c r="E784" s="3" t="s">
        <v>4418</v>
      </c>
      <c r="F784" s="3" t="str" cm="1">
        <f t="array" ref="F784">IF(E784="","",_xlfn.XLOOKUP(E784,{"FIRST","SECOND","THIRD","FOURTH"},{"SEM-1","SEM-2","SEM-3","SEM-4"},""))</f>
        <v>SEM-1</v>
      </c>
      <c r="G784" s="3">
        <v>67</v>
      </c>
      <c r="H784" s="3">
        <v>100</v>
      </c>
      <c r="I784" s="3">
        <v>46</v>
      </c>
      <c r="J784" s="3">
        <f t="shared" si="36"/>
        <v>213</v>
      </c>
      <c r="K784" s="3" t="str">
        <f t="shared" si="37"/>
        <v>P</v>
      </c>
      <c r="L784" s="3" t="str">
        <f t="shared" si="38"/>
        <v>A</v>
      </c>
    </row>
    <row r="785" spans="1:12" ht="14.25" customHeight="1">
      <c r="A785" s="3">
        <v>784</v>
      </c>
      <c r="B785" s="3" t="s">
        <v>3901</v>
      </c>
      <c r="C785" s="3" t="s">
        <v>992</v>
      </c>
      <c r="D785" s="3">
        <v>9876544200</v>
      </c>
      <c r="E785" s="3" t="s">
        <v>4419</v>
      </c>
      <c r="F785" s="3" t="str" cm="1">
        <f t="array" ref="F785">IF(E785="","",_xlfn.XLOOKUP(E785,{"FIRST","SECOND","THIRD","FOURTH"},{"SEM-1","SEM-2","SEM-3","SEM-4"},""))</f>
        <v>SEM-2</v>
      </c>
      <c r="G785" s="3">
        <v>36</v>
      </c>
      <c r="H785" s="3">
        <v>53</v>
      </c>
      <c r="I785" s="3">
        <v>33</v>
      </c>
      <c r="J785" s="3">
        <f t="shared" si="36"/>
        <v>122</v>
      </c>
      <c r="K785" s="3" t="str">
        <f t="shared" si="37"/>
        <v>P</v>
      </c>
      <c r="L785" s="3" t="str">
        <f t="shared" si="38"/>
        <v>C</v>
      </c>
    </row>
    <row r="786" spans="1:12" ht="14.25" customHeight="1">
      <c r="A786" s="3">
        <v>785</v>
      </c>
      <c r="B786" s="3" t="s">
        <v>2958</v>
      </c>
      <c r="C786" s="3" t="s">
        <v>56</v>
      </c>
      <c r="D786" s="3">
        <v>9876543257</v>
      </c>
      <c r="E786" s="3" t="s">
        <v>4419</v>
      </c>
      <c r="F786" s="3" t="str" cm="1">
        <f t="array" ref="F786">IF(E786="","",_xlfn.XLOOKUP(E786,{"FIRST","SECOND","THIRD","FOURTH"},{"SEM-1","SEM-2","SEM-3","SEM-4"},""))</f>
        <v>SEM-2</v>
      </c>
      <c r="G786" s="3">
        <v>78</v>
      </c>
      <c r="H786" s="3">
        <v>41</v>
      </c>
      <c r="I786" s="3">
        <v>14</v>
      </c>
      <c r="J786" s="3">
        <f t="shared" si="36"/>
        <v>133</v>
      </c>
      <c r="K786" s="3" t="str">
        <f t="shared" si="37"/>
        <v>P</v>
      </c>
      <c r="L786" s="3" t="str">
        <f t="shared" si="38"/>
        <v>C</v>
      </c>
    </row>
    <row r="787" spans="1:12" ht="14.25" customHeight="1">
      <c r="A787" s="3">
        <v>786</v>
      </c>
      <c r="B787" s="3" t="s">
        <v>3301</v>
      </c>
      <c r="C787" s="3" t="s">
        <v>397</v>
      </c>
      <c r="D787" s="3">
        <v>9876543600</v>
      </c>
      <c r="E787" s="3" t="s">
        <v>4418</v>
      </c>
      <c r="F787" s="3" t="str" cm="1">
        <f t="array" ref="F787">IF(E787="","",_xlfn.XLOOKUP(E787,{"FIRST","SECOND","THIRD","FOURTH"},{"SEM-1","SEM-2","SEM-3","SEM-4"},""))</f>
        <v>SEM-1</v>
      </c>
      <c r="G787" s="3">
        <v>50</v>
      </c>
      <c r="H787" s="3">
        <v>55</v>
      </c>
      <c r="I787" s="3">
        <v>22</v>
      </c>
      <c r="J787" s="3">
        <f t="shared" si="36"/>
        <v>127</v>
      </c>
      <c r="K787" s="3" t="str">
        <f t="shared" si="37"/>
        <v>P</v>
      </c>
      <c r="L787" s="3" t="str">
        <f t="shared" si="38"/>
        <v>C</v>
      </c>
    </row>
    <row r="788" spans="1:12" ht="14.25" customHeight="1">
      <c r="A788" s="3">
        <v>787</v>
      </c>
      <c r="B788" s="3" t="s">
        <v>3933</v>
      </c>
      <c r="C788" s="3" t="s">
        <v>1023</v>
      </c>
      <c r="D788" s="3">
        <v>9876544232</v>
      </c>
      <c r="E788" s="3" t="s">
        <v>4420</v>
      </c>
      <c r="F788" s="3" t="str" cm="1">
        <f t="array" ref="F788">IF(E788="","",_xlfn.XLOOKUP(E788,{"FIRST","SECOND","THIRD","FOURTH"},{"SEM-1","SEM-2","SEM-3","SEM-4"},""))</f>
        <v>SEM-3</v>
      </c>
      <c r="G788" s="3">
        <v>72</v>
      </c>
      <c r="H788" s="3">
        <v>0</v>
      </c>
      <c r="I788" s="3">
        <v>69</v>
      </c>
      <c r="J788" s="3">
        <f t="shared" si="36"/>
        <v>141</v>
      </c>
      <c r="K788" s="3" t="str">
        <f t="shared" si="37"/>
        <v>P</v>
      </c>
      <c r="L788" s="3" t="str">
        <f t="shared" si="38"/>
        <v>C</v>
      </c>
    </row>
    <row r="789" spans="1:12" ht="14.25" customHeight="1">
      <c r="A789" s="3">
        <v>788</v>
      </c>
      <c r="B789" s="3" t="s">
        <v>4153</v>
      </c>
      <c r="C789" s="3" t="s">
        <v>1238</v>
      </c>
      <c r="D789" s="3">
        <v>9876544452</v>
      </c>
      <c r="E789" s="3" t="s">
        <v>4420</v>
      </c>
      <c r="F789" s="3" t="str" cm="1">
        <f t="array" ref="F789">IF(E789="","",_xlfn.XLOOKUP(E789,{"FIRST","SECOND","THIRD","FOURTH"},{"SEM-1","SEM-2","SEM-3","SEM-4"},""))</f>
        <v>SEM-3</v>
      </c>
      <c r="G789" s="3">
        <v>21</v>
      </c>
      <c r="H789" s="3">
        <v>81</v>
      </c>
      <c r="I789" s="3">
        <v>50</v>
      </c>
      <c r="J789" s="3">
        <f t="shared" si="36"/>
        <v>152</v>
      </c>
      <c r="K789" s="3" t="str">
        <f t="shared" si="37"/>
        <v>P</v>
      </c>
      <c r="L789" s="3" t="str">
        <f t="shared" si="38"/>
        <v>B</v>
      </c>
    </row>
    <row r="790" spans="1:12" ht="14.25" customHeight="1">
      <c r="A790" s="3">
        <v>789</v>
      </c>
      <c r="B790" s="3" t="s">
        <v>3534</v>
      </c>
      <c r="C790" s="3" t="s">
        <v>629</v>
      </c>
      <c r="D790" s="3">
        <v>9876543833</v>
      </c>
      <c r="E790" s="3" t="s">
        <v>4420</v>
      </c>
      <c r="F790" s="3" t="str" cm="1">
        <f t="array" ref="F790">IF(E790="","",_xlfn.XLOOKUP(E790,{"FIRST","SECOND","THIRD","FOURTH"},{"SEM-1","SEM-2","SEM-3","SEM-4"},""))</f>
        <v>SEM-3</v>
      </c>
      <c r="G790" s="3">
        <v>68</v>
      </c>
      <c r="H790" s="3">
        <v>48</v>
      </c>
      <c r="I790" s="3">
        <v>68</v>
      </c>
      <c r="J790" s="3">
        <f t="shared" si="36"/>
        <v>184</v>
      </c>
      <c r="K790" s="3" t="str">
        <f t="shared" si="37"/>
        <v>P</v>
      </c>
      <c r="L790" s="3" t="str">
        <f t="shared" si="38"/>
        <v>B</v>
      </c>
    </row>
    <row r="791" spans="1:12" ht="14.25" customHeight="1">
      <c r="A791" s="3">
        <v>790</v>
      </c>
      <c r="B791" s="3" t="s">
        <v>3666</v>
      </c>
      <c r="C791" s="3" t="s">
        <v>759</v>
      </c>
      <c r="D791" s="3">
        <v>9876543965</v>
      </c>
      <c r="E791" s="3" t="s">
        <v>4418</v>
      </c>
      <c r="F791" s="3" t="str" cm="1">
        <f t="array" ref="F791">IF(E791="","",_xlfn.XLOOKUP(E791,{"FIRST","SECOND","THIRD","FOURTH"},{"SEM-1","SEM-2","SEM-3","SEM-4"},""))</f>
        <v>SEM-1</v>
      </c>
      <c r="G791" s="3">
        <v>88</v>
      </c>
      <c r="H791" s="3">
        <v>47</v>
      </c>
      <c r="I791" s="3">
        <v>57</v>
      </c>
      <c r="J791" s="3">
        <f t="shared" si="36"/>
        <v>192</v>
      </c>
      <c r="K791" s="3" t="str">
        <f t="shared" si="37"/>
        <v>P</v>
      </c>
      <c r="L791" s="3" t="str">
        <f t="shared" si="38"/>
        <v>A</v>
      </c>
    </row>
    <row r="792" spans="1:12" ht="14.25" customHeight="1">
      <c r="A792" s="3">
        <v>791</v>
      </c>
      <c r="B792" s="3" t="s">
        <v>4075</v>
      </c>
      <c r="C792" s="3" t="s">
        <v>1161</v>
      </c>
      <c r="D792" s="3">
        <v>9876544374</v>
      </c>
      <c r="E792" s="3" t="s">
        <v>4418</v>
      </c>
      <c r="F792" s="3" t="str" cm="1">
        <f t="array" ref="F792">IF(E792="","",_xlfn.XLOOKUP(E792,{"FIRST","SECOND","THIRD","FOURTH"},{"SEM-1","SEM-2","SEM-3","SEM-4"},""))</f>
        <v>SEM-1</v>
      </c>
      <c r="G792" s="3">
        <v>66</v>
      </c>
      <c r="H792" s="3">
        <v>4</v>
      </c>
      <c r="I792" s="3">
        <v>0</v>
      </c>
      <c r="J792" s="3">
        <f t="shared" si="36"/>
        <v>70</v>
      </c>
      <c r="K792" s="3" t="str">
        <f t="shared" si="37"/>
        <v>F</v>
      </c>
      <c r="L792" s="3" t="str">
        <f t="shared" si="38"/>
        <v>FAIL</v>
      </c>
    </row>
    <row r="793" spans="1:12" ht="14.25" customHeight="1">
      <c r="A793" s="3">
        <v>792</v>
      </c>
      <c r="B793" s="3" t="s">
        <v>4192</v>
      </c>
      <c r="C793" s="3" t="s">
        <v>1276</v>
      </c>
      <c r="D793" s="3">
        <v>9876544491</v>
      </c>
      <c r="E793" s="3" t="s">
        <v>4419</v>
      </c>
      <c r="F793" s="3" t="str" cm="1">
        <f t="array" ref="F793">IF(E793="","",_xlfn.XLOOKUP(E793,{"FIRST","SECOND","THIRD","FOURTH"},{"SEM-1","SEM-2","SEM-3","SEM-4"},""))</f>
        <v>SEM-2</v>
      </c>
      <c r="G793" s="3">
        <v>16</v>
      </c>
      <c r="H793" s="3">
        <v>87</v>
      </c>
      <c r="I793" s="3">
        <v>59</v>
      </c>
      <c r="J793" s="3">
        <f t="shared" si="36"/>
        <v>162</v>
      </c>
      <c r="K793" s="3" t="str">
        <f t="shared" si="37"/>
        <v>P</v>
      </c>
      <c r="L793" s="3" t="str">
        <f t="shared" si="38"/>
        <v>B</v>
      </c>
    </row>
    <row r="794" spans="1:12" ht="14.25" customHeight="1">
      <c r="A794" s="3">
        <v>793</v>
      </c>
      <c r="B794" s="3" t="s">
        <v>3048</v>
      </c>
      <c r="C794" s="3" t="s">
        <v>146</v>
      </c>
      <c r="D794" s="3">
        <v>9876543347</v>
      </c>
      <c r="E794" s="3" t="s">
        <v>4419</v>
      </c>
      <c r="F794" s="3" t="str" cm="1">
        <f t="array" ref="F794">IF(E794="","",_xlfn.XLOOKUP(E794,{"FIRST","SECOND","THIRD","FOURTH"},{"SEM-1","SEM-2","SEM-3","SEM-4"},""))</f>
        <v>SEM-2</v>
      </c>
      <c r="G794" s="3">
        <v>1</v>
      </c>
      <c r="H794" s="3">
        <v>1</v>
      </c>
      <c r="I794" s="3">
        <v>98</v>
      </c>
      <c r="J794" s="3">
        <f t="shared" si="36"/>
        <v>100</v>
      </c>
      <c r="K794" s="3" t="str">
        <f t="shared" si="37"/>
        <v>P</v>
      </c>
      <c r="L794" s="3" t="str">
        <f t="shared" si="38"/>
        <v>FAIL</v>
      </c>
    </row>
    <row r="795" spans="1:12" ht="14.25" customHeight="1">
      <c r="A795" s="3">
        <v>794</v>
      </c>
      <c r="B795" s="3" t="s">
        <v>4180</v>
      </c>
      <c r="C795" s="3" t="s">
        <v>1265</v>
      </c>
      <c r="D795" s="3">
        <v>9876544479</v>
      </c>
      <c r="E795" s="3" t="s">
        <v>4418</v>
      </c>
      <c r="F795" s="3" t="str" cm="1">
        <f t="array" ref="F795">IF(E795="","",_xlfn.XLOOKUP(E795,{"FIRST","SECOND","THIRD","FOURTH"},{"SEM-1","SEM-2","SEM-3","SEM-4"},""))</f>
        <v>SEM-1</v>
      </c>
      <c r="G795" s="3">
        <v>12</v>
      </c>
      <c r="H795" s="3">
        <v>18</v>
      </c>
      <c r="I795" s="3">
        <v>90</v>
      </c>
      <c r="J795" s="3">
        <f t="shared" si="36"/>
        <v>120</v>
      </c>
      <c r="K795" s="3" t="str">
        <f t="shared" si="37"/>
        <v>P</v>
      </c>
      <c r="L795" s="3" t="str">
        <f t="shared" si="38"/>
        <v>C</v>
      </c>
    </row>
    <row r="796" spans="1:12" ht="14.25" customHeight="1">
      <c r="A796" s="3">
        <v>795</v>
      </c>
      <c r="B796" s="3" t="s">
        <v>4035</v>
      </c>
      <c r="C796" s="3" t="s">
        <v>1124</v>
      </c>
      <c r="D796" s="3">
        <v>9876544334</v>
      </c>
      <c r="E796" s="3" t="s">
        <v>4420</v>
      </c>
      <c r="F796" s="3" t="str" cm="1">
        <f t="array" ref="F796">IF(E796="","",_xlfn.XLOOKUP(E796,{"FIRST","SECOND","THIRD","FOURTH"},{"SEM-1","SEM-2","SEM-3","SEM-4"},""))</f>
        <v>SEM-3</v>
      </c>
      <c r="G796" s="3">
        <v>32</v>
      </c>
      <c r="H796" s="3">
        <v>6</v>
      </c>
      <c r="I796" s="3">
        <v>14</v>
      </c>
      <c r="J796" s="3">
        <f t="shared" si="36"/>
        <v>52</v>
      </c>
      <c r="K796" s="3" t="str">
        <f t="shared" si="37"/>
        <v>F</v>
      </c>
      <c r="L796" s="3" t="str">
        <f t="shared" si="38"/>
        <v>FAIL</v>
      </c>
    </row>
    <row r="797" spans="1:12" ht="14.25" customHeight="1">
      <c r="A797" s="3">
        <v>796</v>
      </c>
      <c r="B797" s="3" t="s">
        <v>4313</v>
      </c>
      <c r="C797" s="3" t="s">
        <v>1393</v>
      </c>
      <c r="D797" s="3">
        <v>9876544612</v>
      </c>
      <c r="E797" s="3" t="s">
        <v>4419</v>
      </c>
      <c r="F797" s="3" t="str" cm="1">
        <f t="array" ref="F797">IF(E797="","",_xlfn.XLOOKUP(E797,{"FIRST","SECOND","THIRD","FOURTH"},{"SEM-1","SEM-2","SEM-3","SEM-4"},""))</f>
        <v>SEM-2</v>
      </c>
      <c r="G797" s="3">
        <v>68</v>
      </c>
      <c r="H797" s="3">
        <v>51</v>
      </c>
      <c r="I797" s="3">
        <v>91</v>
      </c>
      <c r="J797" s="3">
        <f t="shared" si="36"/>
        <v>210</v>
      </c>
      <c r="K797" s="3" t="str">
        <f t="shared" si="37"/>
        <v>P</v>
      </c>
      <c r="L797" s="3" t="str">
        <f t="shared" si="38"/>
        <v>A</v>
      </c>
    </row>
    <row r="798" spans="1:12" ht="14.25" customHeight="1">
      <c r="A798" s="3">
        <v>797</v>
      </c>
      <c r="B798" s="3" t="s">
        <v>4403</v>
      </c>
      <c r="C798" s="3" t="s">
        <v>1482</v>
      </c>
      <c r="D798" s="3">
        <v>9876544702</v>
      </c>
      <c r="E798" s="3" t="s">
        <v>4420</v>
      </c>
      <c r="F798" s="3" t="str" cm="1">
        <f t="array" ref="F798">IF(E798="","",_xlfn.XLOOKUP(E798,{"FIRST","SECOND","THIRD","FOURTH"},{"SEM-1","SEM-2","SEM-3","SEM-4"},""))</f>
        <v>SEM-3</v>
      </c>
      <c r="G798" s="3">
        <v>46</v>
      </c>
      <c r="H798" s="3">
        <v>43</v>
      </c>
      <c r="I798" s="3">
        <v>93</v>
      </c>
      <c r="J798" s="3">
        <f t="shared" si="36"/>
        <v>182</v>
      </c>
      <c r="K798" s="3" t="str">
        <f t="shared" si="37"/>
        <v>P</v>
      </c>
      <c r="L798" s="3" t="str">
        <f t="shared" si="38"/>
        <v>B</v>
      </c>
    </row>
    <row r="799" spans="1:12" ht="14.25" customHeight="1">
      <c r="A799" s="3">
        <v>798</v>
      </c>
      <c r="B799" s="3" t="s">
        <v>3277</v>
      </c>
      <c r="C799" s="3" t="s">
        <v>374</v>
      </c>
      <c r="D799" s="3">
        <v>9876543576</v>
      </c>
      <c r="E799" s="3" t="s">
        <v>4419</v>
      </c>
      <c r="F799" s="3" t="str" cm="1">
        <f t="array" ref="F799">IF(E799="","",_xlfn.XLOOKUP(E799,{"FIRST","SECOND","THIRD","FOURTH"},{"SEM-1","SEM-2","SEM-3","SEM-4"},""))</f>
        <v>SEM-2</v>
      </c>
      <c r="G799" s="3">
        <v>70</v>
      </c>
      <c r="H799" s="3">
        <v>6</v>
      </c>
      <c r="I799" s="3">
        <v>58</v>
      </c>
      <c r="J799" s="3">
        <f t="shared" si="36"/>
        <v>134</v>
      </c>
      <c r="K799" s="3" t="str">
        <f t="shared" si="37"/>
        <v>P</v>
      </c>
      <c r="L799" s="3" t="str">
        <f t="shared" si="38"/>
        <v>C</v>
      </c>
    </row>
    <row r="800" spans="1:12" ht="14.25" customHeight="1">
      <c r="A800" s="3">
        <v>799</v>
      </c>
      <c r="B800" s="3" t="s">
        <v>4252</v>
      </c>
      <c r="C800" s="3" t="s">
        <v>1335</v>
      </c>
      <c r="D800" s="3">
        <v>9876544551</v>
      </c>
      <c r="E800" s="3" t="s">
        <v>4418</v>
      </c>
      <c r="F800" s="3" t="str" cm="1">
        <f t="array" ref="F800">IF(E800="","",_xlfn.XLOOKUP(E800,{"FIRST","SECOND","THIRD","FOURTH"},{"SEM-1","SEM-2","SEM-3","SEM-4"},""))</f>
        <v>SEM-1</v>
      </c>
      <c r="G800" s="3">
        <v>7</v>
      </c>
      <c r="H800" s="3">
        <v>31</v>
      </c>
      <c r="I800" s="3">
        <v>27</v>
      </c>
      <c r="J800" s="3">
        <f t="shared" si="36"/>
        <v>65</v>
      </c>
      <c r="K800" s="3" t="str">
        <f t="shared" si="37"/>
        <v>F</v>
      </c>
      <c r="L800" s="3" t="str">
        <f t="shared" si="38"/>
        <v>FAIL</v>
      </c>
    </row>
    <row r="801" spans="1:12" ht="14.25" customHeight="1">
      <c r="A801" s="3">
        <v>800</v>
      </c>
      <c r="B801" s="3" t="s">
        <v>3224</v>
      </c>
      <c r="C801" s="3" t="s">
        <v>321</v>
      </c>
      <c r="D801" s="3">
        <v>9876543523</v>
      </c>
      <c r="E801" s="3" t="s">
        <v>4420</v>
      </c>
      <c r="F801" s="3" t="str" cm="1">
        <f t="array" ref="F801">IF(E801="","",_xlfn.XLOOKUP(E801,{"FIRST","SECOND","THIRD","FOURTH"},{"SEM-1","SEM-2","SEM-3","SEM-4"},""))</f>
        <v>SEM-3</v>
      </c>
      <c r="G801" s="3">
        <v>15</v>
      </c>
      <c r="H801" s="3">
        <v>84</v>
      </c>
      <c r="I801" s="3">
        <v>16</v>
      </c>
      <c r="J801" s="3">
        <f t="shared" si="36"/>
        <v>115</v>
      </c>
      <c r="K801" s="3" t="str">
        <f t="shared" si="37"/>
        <v>P</v>
      </c>
      <c r="L801" s="3" t="str">
        <f t="shared" si="38"/>
        <v>FAIL</v>
      </c>
    </row>
    <row r="802" spans="1:12" ht="14.25" customHeight="1">
      <c r="A802" s="3">
        <v>801</v>
      </c>
      <c r="B802" s="3" t="s">
        <v>3427</v>
      </c>
      <c r="C802" s="3" t="s">
        <v>523</v>
      </c>
      <c r="D802" s="3">
        <v>9876543726</v>
      </c>
      <c r="E802" s="3" t="s">
        <v>4419</v>
      </c>
      <c r="F802" s="3" t="str" cm="1">
        <f t="array" ref="F802">IF(E802="","",_xlfn.XLOOKUP(E802,{"FIRST","SECOND","THIRD","FOURTH"},{"SEM-1","SEM-2","SEM-3","SEM-4"},""))</f>
        <v>SEM-2</v>
      </c>
      <c r="G802" s="3">
        <v>89</v>
      </c>
      <c r="H802" s="3">
        <v>61</v>
      </c>
      <c r="I802" s="3">
        <v>65</v>
      </c>
      <c r="J802" s="3">
        <f t="shared" si="36"/>
        <v>215</v>
      </c>
      <c r="K802" s="3" t="str">
        <f t="shared" si="37"/>
        <v>P</v>
      </c>
      <c r="L802" s="3" t="str">
        <f t="shared" si="38"/>
        <v>A</v>
      </c>
    </row>
    <row r="803" spans="1:12" ht="14.25" customHeight="1">
      <c r="A803" s="3">
        <v>802</v>
      </c>
      <c r="B803" s="3" t="s">
        <v>3510</v>
      </c>
      <c r="C803" s="3" t="s">
        <v>605</v>
      </c>
      <c r="D803" s="3">
        <v>9876543809</v>
      </c>
      <c r="E803" s="3" t="s">
        <v>4419</v>
      </c>
      <c r="F803" s="3" t="str" cm="1">
        <f t="array" ref="F803">IF(E803="","",_xlfn.XLOOKUP(E803,{"FIRST","SECOND","THIRD","FOURTH"},{"SEM-1","SEM-2","SEM-3","SEM-4"},""))</f>
        <v>SEM-2</v>
      </c>
      <c r="G803" s="3">
        <v>16</v>
      </c>
      <c r="H803" s="3">
        <v>12</v>
      </c>
      <c r="I803" s="3">
        <v>71</v>
      </c>
      <c r="J803" s="3">
        <f t="shared" si="36"/>
        <v>99</v>
      </c>
      <c r="K803" s="3" t="str">
        <f t="shared" si="37"/>
        <v>P</v>
      </c>
      <c r="L803" s="3" t="str">
        <f t="shared" si="38"/>
        <v>FAIL</v>
      </c>
    </row>
    <row r="804" spans="1:12" ht="14.25" customHeight="1">
      <c r="A804" s="3">
        <v>803</v>
      </c>
      <c r="B804" s="3" t="s">
        <v>4172</v>
      </c>
      <c r="C804" s="3" t="s">
        <v>1257</v>
      </c>
      <c r="D804" s="3">
        <v>9876544471</v>
      </c>
      <c r="E804" s="3" t="s">
        <v>4420</v>
      </c>
      <c r="F804" s="3" t="str" cm="1">
        <f t="array" ref="F804">IF(E804="","",_xlfn.XLOOKUP(E804,{"FIRST","SECOND","THIRD","FOURTH"},{"SEM-1","SEM-2","SEM-3","SEM-4"},""))</f>
        <v>SEM-3</v>
      </c>
      <c r="G804" s="3">
        <v>71</v>
      </c>
      <c r="H804" s="3">
        <v>91</v>
      </c>
      <c r="I804" s="3">
        <v>90</v>
      </c>
      <c r="J804" s="3">
        <f t="shared" si="36"/>
        <v>252</v>
      </c>
      <c r="K804" s="3" t="str">
        <f t="shared" si="37"/>
        <v>P</v>
      </c>
      <c r="L804" s="3" t="str">
        <f t="shared" si="38"/>
        <v>A</v>
      </c>
    </row>
    <row r="805" spans="1:12" ht="14.25" customHeight="1">
      <c r="A805" s="3">
        <v>804</v>
      </c>
      <c r="B805" s="3" t="s">
        <v>4113</v>
      </c>
      <c r="C805" s="3" t="s">
        <v>1198</v>
      </c>
      <c r="D805" s="3">
        <v>9876544412</v>
      </c>
      <c r="E805" s="3" t="s">
        <v>4420</v>
      </c>
      <c r="F805" s="3" t="str" cm="1">
        <f t="array" ref="F805">IF(E805="","",_xlfn.XLOOKUP(E805,{"FIRST","SECOND","THIRD","FOURTH"},{"SEM-1","SEM-2","SEM-3","SEM-4"},""))</f>
        <v>SEM-3</v>
      </c>
      <c r="G805" s="3">
        <v>18</v>
      </c>
      <c r="H805" s="3">
        <v>6</v>
      </c>
      <c r="I805" s="3">
        <v>4</v>
      </c>
      <c r="J805" s="3">
        <f t="shared" si="36"/>
        <v>28</v>
      </c>
      <c r="K805" s="3" t="str">
        <f t="shared" si="37"/>
        <v>F</v>
      </c>
      <c r="L805" s="3" t="str">
        <f t="shared" si="38"/>
        <v>FAIL</v>
      </c>
    </row>
    <row r="806" spans="1:12" ht="14.25" customHeight="1">
      <c r="A806" s="3">
        <v>805</v>
      </c>
      <c r="B806" s="3" t="s">
        <v>3154</v>
      </c>
      <c r="C806" s="3" t="s">
        <v>252</v>
      </c>
      <c r="D806" s="3">
        <v>9876543453</v>
      </c>
      <c r="E806" s="3" t="s">
        <v>4419</v>
      </c>
      <c r="F806" s="3" t="str" cm="1">
        <f t="array" ref="F806">IF(E806="","",_xlfn.XLOOKUP(E806,{"FIRST","SECOND","THIRD","FOURTH"},{"SEM-1","SEM-2","SEM-3","SEM-4"},""))</f>
        <v>SEM-2</v>
      </c>
      <c r="G806" s="3">
        <v>67</v>
      </c>
      <c r="H806" s="3">
        <v>84</v>
      </c>
      <c r="I806" s="3">
        <v>77</v>
      </c>
      <c r="J806" s="3">
        <f t="shared" si="36"/>
        <v>228</v>
      </c>
      <c r="K806" s="3" t="str">
        <f t="shared" si="37"/>
        <v>P</v>
      </c>
      <c r="L806" s="3" t="str">
        <f t="shared" si="38"/>
        <v>A</v>
      </c>
    </row>
    <row r="807" spans="1:12" ht="14.25" customHeight="1">
      <c r="A807" s="3">
        <v>806</v>
      </c>
      <c r="B807" s="3" t="s">
        <v>4245</v>
      </c>
      <c r="C807" s="3" t="s">
        <v>1328</v>
      </c>
      <c r="D807" s="3">
        <v>9876544544</v>
      </c>
      <c r="E807" s="3" t="s">
        <v>4419</v>
      </c>
      <c r="F807" s="3" t="str" cm="1">
        <f t="array" ref="F807">IF(E807="","",_xlfn.XLOOKUP(E807,{"FIRST","SECOND","THIRD","FOURTH"},{"SEM-1","SEM-2","SEM-3","SEM-4"},""))</f>
        <v>SEM-2</v>
      </c>
      <c r="G807" s="3">
        <v>22</v>
      </c>
      <c r="H807" s="3">
        <v>90</v>
      </c>
      <c r="I807" s="3">
        <v>42</v>
      </c>
      <c r="J807" s="3">
        <f t="shared" si="36"/>
        <v>154</v>
      </c>
      <c r="K807" s="3" t="str">
        <f t="shared" si="37"/>
        <v>P</v>
      </c>
      <c r="L807" s="3" t="str">
        <f t="shared" si="38"/>
        <v>B</v>
      </c>
    </row>
    <row r="808" spans="1:12" ht="14.25" customHeight="1">
      <c r="A808" s="3">
        <v>807</v>
      </c>
      <c r="B808" s="3" t="s">
        <v>3888</v>
      </c>
      <c r="C808" s="3" t="s">
        <v>979</v>
      </c>
      <c r="D808" s="3">
        <v>9876544187</v>
      </c>
      <c r="E808" s="3" t="s">
        <v>4418</v>
      </c>
      <c r="F808" s="3" t="str" cm="1">
        <f t="array" ref="F808">IF(E808="","",_xlfn.XLOOKUP(E808,{"FIRST","SECOND","THIRD","FOURTH"},{"SEM-1","SEM-2","SEM-3","SEM-4"},""))</f>
        <v>SEM-1</v>
      </c>
      <c r="G808" s="3">
        <v>76</v>
      </c>
      <c r="H808" s="3">
        <v>38</v>
      </c>
      <c r="I808" s="3">
        <v>16</v>
      </c>
      <c r="J808" s="3">
        <f t="shared" si="36"/>
        <v>130</v>
      </c>
      <c r="K808" s="3" t="str">
        <f t="shared" si="37"/>
        <v>P</v>
      </c>
      <c r="L808" s="3" t="str">
        <f t="shared" si="38"/>
        <v>C</v>
      </c>
    </row>
    <row r="809" spans="1:12" ht="14.25" customHeight="1">
      <c r="A809" s="3">
        <v>808</v>
      </c>
      <c r="B809" s="3" t="s">
        <v>3309</v>
      </c>
      <c r="C809" s="3" t="s">
        <v>405</v>
      </c>
      <c r="D809" s="3">
        <v>9876543608</v>
      </c>
      <c r="E809" s="3" t="s">
        <v>4420</v>
      </c>
      <c r="F809" s="3" t="str" cm="1">
        <f t="array" ref="F809">IF(E809="","",_xlfn.XLOOKUP(E809,{"FIRST","SECOND","THIRD","FOURTH"},{"SEM-1","SEM-2","SEM-3","SEM-4"},""))</f>
        <v>SEM-3</v>
      </c>
      <c r="G809" s="3">
        <v>94</v>
      </c>
      <c r="H809" s="3">
        <v>2</v>
      </c>
      <c r="I809" s="3">
        <v>46</v>
      </c>
      <c r="J809" s="3">
        <f t="shared" si="36"/>
        <v>142</v>
      </c>
      <c r="K809" s="3" t="str">
        <f t="shared" si="37"/>
        <v>P</v>
      </c>
      <c r="L809" s="3" t="str">
        <f t="shared" si="38"/>
        <v>C</v>
      </c>
    </row>
    <row r="810" spans="1:12" ht="14.25" customHeight="1">
      <c r="A810" s="3">
        <v>809</v>
      </c>
      <c r="B810" s="3" t="s">
        <v>4073</v>
      </c>
      <c r="C810" s="3" t="s">
        <v>1159</v>
      </c>
      <c r="D810" s="3">
        <v>9876544372</v>
      </c>
      <c r="E810" s="3" t="s">
        <v>4418</v>
      </c>
      <c r="F810" s="3" t="str" cm="1">
        <f t="array" ref="F810">IF(E810="","",_xlfn.XLOOKUP(E810,{"FIRST","SECOND","THIRD","FOURTH"},{"SEM-1","SEM-2","SEM-3","SEM-4"},""))</f>
        <v>SEM-1</v>
      </c>
      <c r="G810" s="3">
        <v>36</v>
      </c>
      <c r="H810" s="3">
        <v>58</v>
      </c>
      <c r="I810" s="3">
        <v>68</v>
      </c>
      <c r="J810" s="3">
        <f t="shared" si="36"/>
        <v>162</v>
      </c>
      <c r="K810" s="3" t="str">
        <f t="shared" si="37"/>
        <v>P</v>
      </c>
      <c r="L810" s="3" t="str">
        <f t="shared" si="38"/>
        <v>B</v>
      </c>
    </row>
    <row r="811" spans="1:12" ht="14.25" customHeight="1">
      <c r="A811" s="3">
        <v>810</v>
      </c>
      <c r="B811" s="3" t="s">
        <v>3176</v>
      </c>
      <c r="C811" s="3" t="s">
        <v>274</v>
      </c>
      <c r="D811" s="3">
        <v>9876543475</v>
      </c>
      <c r="E811" s="3" t="s">
        <v>4420</v>
      </c>
      <c r="F811" s="3" t="str" cm="1">
        <f t="array" ref="F811">IF(E811="","",_xlfn.XLOOKUP(E811,{"FIRST","SECOND","THIRD","FOURTH"},{"SEM-1","SEM-2","SEM-3","SEM-4"},""))</f>
        <v>SEM-3</v>
      </c>
      <c r="G811" s="3">
        <v>27</v>
      </c>
      <c r="H811" s="3">
        <v>52</v>
      </c>
      <c r="I811" s="3">
        <v>58</v>
      </c>
      <c r="J811" s="3">
        <f t="shared" si="36"/>
        <v>137</v>
      </c>
      <c r="K811" s="3" t="str">
        <f t="shared" si="37"/>
        <v>P</v>
      </c>
      <c r="L811" s="3" t="str">
        <f t="shared" si="38"/>
        <v>C</v>
      </c>
    </row>
    <row r="812" spans="1:12" ht="14.25" customHeight="1">
      <c r="A812" s="3">
        <v>811</v>
      </c>
      <c r="B812" s="3" t="s">
        <v>4395</v>
      </c>
      <c r="C812" s="3" t="s">
        <v>1474</v>
      </c>
      <c r="D812" s="3">
        <v>9876544694</v>
      </c>
      <c r="E812" s="3" t="s">
        <v>4420</v>
      </c>
      <c r="F812" s="3" t="str" cm="1">
        <f t="array" ref="F812">IF(E812="","",_xlfn.XLOOKUP(E812,{"FIRST","SECOND","THIRD","FOURTH"},{"SEM-1","SEM-2","SEM-3","SEM-4"},""))</f>
        <v>SEM-3</v>
      </c>
      <c r="G812" s="3">
        <v>67</v>
      </c>
      <c r="H812" s="3">
        <v>98</v>
      </c>
      <c r="I812" s="3">
        <v>69</v>
      </c>
      <c r="J812" s="3">
        <f t="shared" si="36"/>
        <v>234</v>
      </c>
      <c r="K812" s="3" t="str">
        <f t="shared" si="37"/>
        <v>P</v>
      </c>
      <c r="L812" s="3" t="str">
        <f t="shared" si="38"/>
        <v>A</v>
      </c>
    </row>
    <row r="813" spans="1:12" ht="14.25" customHeight="1">
      <c r="A813" s="3">
        <v>812</v>
      </c>
      <c r="B813" s="3" t="s">
        <v>3636</v>
      </c>
      <c r="C813" s="3" t="s">
        <v>730</v>
      </c>
      <c r="D813" s="3">
        <v>9876543935</v>
      </c>
      <c r="E813" s="3" t="s">
        <v>4420</v>
      </c>
      <c r="F813" s="3" t="str" cm="1">
        <f t="array" ref="F813">IF(E813="","",_xlfn.XLOOKUP(E813,{"FIRST","SECOND","THIRD","FOURTH"},{"SEM-1","SEM-2","SEM-3","SEM-4"},""))</f>
        <v>SEM-3</v>
      </c>
      <c r="G813" s="3">
        <v>83</v>
      </c>
      <c r="H813" s="3">
        <v>34</v>
      </c>
      <c r="I813" s="3">
        <v>71</v>
      </c>
      <c r="J813" s="3">
        <f t="shared" si="36"/>
        <v>188</v>
      </c>
      <c r="K813" s="3" t="str">
        <f t="shared" si="37"/>
        <v>P</v>
      </c>
      <c r="L813" s="3" t="str">
        <f t="shared" si="38"/>
        <v>B</v>
      </c>
    </row>
    <row r="814" spans="1:12" ht="14.25" customHeight="1">
      <c r="A814" s="3">
        <v>813</v>
      </c>
      <c r="B814" s="3" t="s">
        <v>3389</v>
      </c>
      <c r="C814" s="3" t="s">
        <v>485</v>
      </c>
      <c r="D814" s="3">
        <v>9876543688</v>
      </c>
      <c r="E814" s="3" t="s">
        <v>4419</v>
      </c>
      <c r="F814" s="3" t="str" cm="1">
        <f t="array" ref="F814">IF(E814="","",_xlfn.XLOOKUP(E814,{"FIRST","SECOND","THIRD","FOURTH"},{"SEM-1","SEM-2","SEM-3","SEM-4"},""))</f>
        <v>SEM-2</v>
      </c>
      <c r="G814" s="3">
        <v>75</v>
      </c>
      <c r="H814" s="3">
        <v>40</v>
      </c>
      <c r="I814" s="3">
        <v>76</v>
      </c>
      <c r="J814" s="3">
        <f t="shared" si="36"/>
        <v>191</v>
      </c>
      <c r="K814" s="3" t="str">
        <f t="shared" si="37"/>
        <v>P</v>
      </c>
      <c r="L814" s="3" t="str">
        <f t="shared" si="38"/>
        <v>A</v>
      </c>
    </row>
    <row r="815" spans="1:12" ht="14.25" customHeight="1">
      <c r="A815" s="3">
        <v>814</v>
      </c>
      <c r="B815" s="3" t="s">
        <v>3250</v>
      </c>
      <c r="C815" s="3" t="s">
        <v>347</v>
      </c>
      <c r="D815" s="3">
        <v>9876543549</v>
      </c>
      <c r="E815" s="3" t="s">
        <v>4418</v>
      </c>
      <c r="F815" s="3" t="str" cm="1">
        <f t="array" ref="F815">IF(E815="","",_xlfn.XLOOKUP(E815,{"FIRST","SECOND","THIRD","FOURTH"},{"SEM-1","SEM-2","SEM-3","SEM-4"},""))</f>
        <v>SEM-1</v>
      </c>
      <c r="G815" s="3">
        <v>96</v>
      </c>
      <c r="H815" s="3">
        <v>84</v>
      </c>
      <c r="I815" s="3">
        <v>49</v>
      </c>
      <c r="J815" s="3">
        <f t="shared" si="36"/>
        <v>229</v>
      </c>
      <c r="K815" s="3" t="str">
        <f t="shared" si="37"/>
        <v>P</v>
      </c>
      <c r="L815" s="3" t="str">
        <f t="shared" si="38"/>
        <v>A</v>
      </c>
    </row>
    <row r="816" spans="1:12" ht="14.25" customHeight="1">
      <c r="A816" s="3">
        <v>815</v>
      </c>
      <c r="B816" s="3" t="s">
        <v>3369</v>
      </c>
      <c r="C816" s="3" t="s">
        <v>465</v>
      </c>
      <c r="D816" s="3">
        <v>9876543668</v>
      </c>
      <c r="E816" s="3" t="s">
        <v>4420</v>
      </c>
      <c r="F816" s="3" t="str" cm="1">
        <f t="array" ref="F816">IF(E816="","",_xlfn.XLOOKUP(E816,{"FIRST","SECOND","THIRD","FOURTH"},{"SEM-1","SEM-2","SEM-3","SEM-4"},""))</f>
        <v>SEM-3</v>
      </c>
      <c r="G816" s="3">
        <v>32</v>
      </c>
      <c r="H816" s="3">
        <v>88</v>
      </c>
      <c r="I816" s="3">
        <v>15</v>
      </c>
      <c r="J816" s="3">
        <f t="shared" si="36"/>
        <v>135</v>
      </c>
      <c r="K816" s="3" t="str">
        <f t="shared" si="37"/>
        <v>P</v>
      </c>
      <c r="L816" s="3" t="str">
        <f t="shared" si="38"/>
        <v>C</v>
      </c>
    </row>
    <row r="817" spans="1:12" ht="14.25" customHeight="1">
      <c r="A817" s="3">
        <v>816</v>
      </c>
      <c r="B817" s="3" t="s">
        <v>3058</v>
      </c>
      <c r="C817" s="3" t="s">
        <v>156</v>
      </c>
      <c r="D817" s="3">
        <v>9876543357</v>
      </c>
      <c r="E817" s="3" t="s">
        <v>4420</v>
      </c>
      <c r="F817" s="3" t="str" cm="1">
        <f t="array" ref="F817">IF(E817="","",_xlfn.XLOOKUP(E817,{"FIRST","SECOND","THIRD","FOURTH"},{"SEM-1","SEM-2","SEM-3","SEM-4"},""))</f>
        <v>SEM-3</v>
      </c>
      <c r="G817" s="3">
        <v>19</v>
      </c>
      <c r="H817" s="3">
        <v>0</v>
      </c>
      <c r="I817" s="3">
        <v>33</v>
      </c>
      <c r="J817" s="3">
        <f t="shared" si="36"/>
        <v>52</v>
      </c>
      <c r="K817" s="3" t="str">
        <f t="shared" si="37"/>
        <v>F</v>
      </c>
      <c r="L817" s="3" t="str">
        <f t="shared" si="38"/>
        <v>FAIL</v>
      </c>
    </row>
    <row r="818" spans="1:12" ht="14.25" customHeight="1">
      <c r="A818" s="3">
        <v>817</v>
      </c>
      <c r="B818" s="3" t="s">
        <v>3259</v>
      </c>
      <c r="C818" s="3" t="s">
        <v>356</v>
      </c>
      <c r="D818" s="3">
        <v>9876543558</v>
      </c>
      <c r="E818" s="3" t="s">
        <v>4418</v>
      </c>
      <c r="F818" s="3" t="str" cm="1">
        <f t="array" ref="F818">IF(E818="","",_xlfn.XLOOKUP(E818,{"FIRST","SECOND","THIRD","FOURTH"},{"SEM-1","SEM-2","SEM-3","SEM-4"},""))</f>
        <v>SEM-1</v>
      </c>
      <c r="G818" s="3">
        <v>21</v>
      </c>
      <c r="H818" s="3">
        <v>65</v>
      </c>
      <c r="I818" s="3">
        <v>0</v>
      </c>
      <c r="J818" s="3">
        <f t="shared" si="36"/>
        <v>86</v>
      </c>
      <c r="K818" s="3" t="str">
        <f t="shared" si="37"/>
        <v>F</v>
      </c>
      <c r="L818" s="3" t="str">
        <f t="shared" si="38"/>
        <v>FAIL</v>
      </c>
    </row>
    <row r="819" spans="1:12" ht="14.25" customHeight="1">
      <c r="A819" s="3">
        <v>818</v>
      </c>
      <c r="B819" s="3" t="s">
        <v>3480</v>
      </c>
      <c r="C819" s="3" t="s">
        <v>576</v>
      </c>
      <c r="D819" s="3">
        <v>9876543779</v>
      </c>
      <c r="E819" s="3" t="s">
        <v>4420</v>
      </c>
      <c r="F819" s="3" t="str" cm="1">
        <f t="array" ref="F819">IF(E819="","",_xlfn.XLOOKUP(E819,{"FIRST","SECOND","THIRD","FOURTH"},{"SEM-1","SEM-2","SEM-3","SEM-4"},""))</f>
        <v>SEM-3</v>
      </c>
      <c r="G819" s="3">
        <v>47</v>
      </c>
      <c r="H819" s="3">
        <v>91</v>
      </c>
      <c r="I819" s="3">
        <v>55</v>
      </c>
      <c r="J819" s="3">
        <f t="shared" si="36"/>
        <v>193</v>
      </c>
      <c r="K819" s="3" t="str">
        <f t="shared" si="37"/>
        <v>P</v>
      </c>
      <c r="L819" s="3" t="str">
        <f t="shared" si="38"/>
        <v>A</v>
      </c>
    </row>
    <row r="820" spans="1:12" ht="14.25" customHeight="1">
      <c r="A820" s="3">
        <v>819</v>
      </c>
      <c r="B820" s="3" t="s">
        <v>4048</v>
      </c>
      <c r="C820" s="3" t="s">
        <v>1136</v>
      </c>
      <c r="D820" s="3">
        <v>9876544347</v>
      </c>
      <c r="E820" s="3" t="s">
        <v>4419</v>
      </c>
      <c r="F820" s="3" t="str" cm="1">
        <f t="array" ref="F820">IF(E820="","",_xlfn.XLOOKUP(E820,{"FIRST","SECOND","THIRD","FOURTH"},{"SEM-1","SEM-2","SEM-3","SEM-4"},""))</f>
        <v>SEM-2</v>
      </c>
      <c r="G820" s="3">
        <v>82</v>
      </c>
      <c r="H820" s="3">
        <v>72</v>
      </c>
      <c r="I820" s="3">
        <v>64</v>
      </c>
      <c r="J820" s="3">
        <f t="shared" si="36"/>
        <v>218</v>
      </c>
      <c r="K820" s="3" t="str">
        <f t="shared" si="37"/>
        <v>P</v>
      </c>
      <c r="L820" s="3" t="str">
        <f t="shared" si="38"/>
        <v>A</v>
      </c>
    </row>
    <row r="821" spans="1:12" ht="14.25" customHeight="1">
      <c r="A821" s="3">
        <v>820</v>
      </c>
      <c r="B821" s="3" t="s">
        <v>3991</v>
      </c>
      <c r="C821" s="3" t="s">
        <v>1081</v>
      </c>
      <c r="D821" s="3">
        <v>9876544290</v>
      </c>
      <c r="E821" s="3" t="s">
        <v>4420</v>
      </c>
      <c r="F821" s="3" t="str" cm="1">
        <f t="array" ref="F821">IF(E821="","",_xlfn.XLOOKUP(E821,{"FIRST","SECOND","THIRD","FOURTH"},{"SEM-1","SEM-2","SEM-3","SEM-4"},""))</f>
        <v>SEM-3</v>
      </c>
      <c r="G821" s="3">
        <v>95</v>
      </c>
      <c r="H821" s="3">
        <v>97</v>
      </c>
      <c r="I821" s="3">
        <v>57</v>
      </c>
      <c r="J821" s="3">
        <f t="shared" si="36"/>
        <v>249</v>
      </c>
      <c r="K821" s="3" t="str">
        <f t="shared" si="37"/>
        <v>P</v>
      </c>
      <c r="L821" s="3" t="str">
        <f t="shared" si="38"/>
        <v>A</v>
      </c>
    </row>
    <row r="822" spans="1:12" ht="14.25" customHeight="1">
      <c r="A822" s="3">
        <v>821</v>
      </c>
      <c r="B822" s="3" t="s">
        <v>3583</v>
      </c>
      <c r="C822" s="3" t="s">
        <v>677</v>
      </c>
      <c r="D822" s="3">
        <v>9876543882</v>
      </c>
      <c r="E822" s="3" t="s">
        <v>4418</v>
      </c>
      <c r="F822" s="3" t="str" cm="1">
        <f t="array" ref="F822">IF(E822="","",_xlfn.XLOOKUP(E822,{"FIRST","SECOND","THIRD","FOURTH"},{"SEM-1","SEM-2","SEM-3","SEM-4"},""))</f>
        <v>SEM-1</v>
      </c>
      <c r="G822" s="3">
        <v>92</v>
      </c>
      <c r="H822" s="3">
        <v>94</v>
      </c>
      <c r="I822" s="3">
        <v>28</v>
      </c>
      <c r="J822" s="3">
        <f t="shared" si="36"/>
        <v>214</v>
      </c>
      <c r="K822" s="3" t="str">
        <f t="shared" si="37"/>
        <v>P</v>
      </c>
      <c r="L822" s="3" t="str">
        <f t="shared" si="38"/>
        <v>A</v>
      </c>
    </row>
    <row r="823" spans="1:12" ht="14.25" customHeight="1">
      <c r="A823" s="3">
        <v>822</v>
      </c>
      <c r="B823" s="3" t="s">
        <v>3639</v>
      </c>
      <c r="C823" s="3" t="s">
        <v>733</v>
      </c>
      <c r="D823" s="3">
        <v>9876543938</v>
      </c>
      <c r="E823" s="3" t="s">
        <v>4419</v>
      </c>
      <c r="F823" s="3" t="str" cm="1">
        <f t="array" ref="F823">IF(E823="","",_xlfn.XLOOKUP(E823,{"FIRST","SECOND","THIRD","FOURTH"},{"SEM-1","SEM-2","SEM-3","SEM-4"},""))</f>
        <v>SEM-2</v>
      </c>
      <c r="G823" s="3">
        <v>87</v>
      </c>
      <c r="H823" s="3">
        <v>30</v>
      </c>
      <c r="I823" s="3">
        <v>83</v>
      </c>
      <c r="J823" s="3">
        <f t="shared" si="36"/>
        <v>200</v>
      </c>
      <c r="K823" s="3" t="str">
        <f t="shared" si="37"/>
        <v>P</v>
      </c>
      <c r="L823" s="3" t="str">
        <f t="shared" si="38"/>
        <v>A</v>
      </c>
    </row>
    <row r="824" spans="1:12" ht="14.25" customHeight="1">
      <c r="A824" s="3">
        <v>823</v>
      </c>
      <c r="B824" s="3" t="s">
        <v>3864</v>
      </c>
      <c r="C824" s="3" t="s">
        <v>733</v>
      </c>
      <c r="D824" s="3">
        <v>9876544163</v>
      </c>
      <c r="E824" s="3" t="s">
        <v>4418</v>
      </c>
      <c r="F824" s="3" t="str" cm="1">
        <f t="array" ref="F824">IF(E824="","",_xlfn.XLOOKUP(E824,{"FIRST","SECOND","THIRD","FOURTH"},{"SEM-1","SEM-2","SEM-3","SEM-4"},""))</f>
        <v>SEM-1</v>
      </c>
      <c r="G824" s="3">
        <v>90</v>
      </c>
      <c r="H824" s="3">
        <v>78</v>
      </c>
      <c r="I824" s="3">
        <v>73</v>
      </c>
      <c r="J824" s="3">
        <f t="shared" si="36"/>
        <v>241</v>
      </c>
      <c r="K824" s="3" t="str">
        <f t="shared" si="37"/>
        <v>P</v>
      </c>
      <c r="L824" s="3" t="str">
        <f t="shared" si="38"/>
        <v>A</v>
      </c>
    </row>
    <row r="825" spans="1:12" ht="14.25" customHeight="1">
      <c r="A825" s="3">
        <v>824</v>
      </c>
      <c r="B825" s="3" t="s">
        <v>4090</v>
      </c>
      <c r="C825" s="3" t="s">
        <v>733</v>
      </c>
      <c r="D825" s="3">
        <v>9876544389</v>
      </c>
      <c r="E825" s="3" t="s">
        <v>4418</v>
      </c>
      <c r="F825" s="3" t="str" cm="1">
        <f t="array" ref="F825">IF(E825="","",_xlfn.XLOOKUP(E825,{"FIRST","SECOND","THIRD","FOURTH"},{"SEM-1","SEM-2","SEM-3","SEM-4"},""))</f>
        <v>SEM-1</v>
      </c>
      <c r="G825" s="3">
        <v>90</v>
      </c>
      <c r="H825" s="3">
        <v>21</v>
      </c>
      <c r="I825" s="3">
        <v>59</v>
      </c>
      <c r="J825" s="3">
        <f t="shared" si="36"/>
        <v>170</v>
      </c>
      <c r="K825" s="3" t="str">
        <f t="shared" si="37"/>
        <v>P</v>
      </c>
      <c r="L825" s="3" t="str">
        <f t="shared" si="38"/>
        <v>B</v>
      </c>
    </row>
    <row r="826" spans="1:12" ht="14.25" customHeight="1">
      <c r="A826" s="3">
        <v>825</v>
      </c>
      <c r="B826" s="3" t="s">
        <v>3298</v>
      </c>
      <c r="C826" s="3" t="s">
        <v>394</v>
      </c>
      <c r="D826" s="3">
        <v>9876543597</v>
      </c>
      <c r="E826" s="3" t="s">
        <v>4419</v>
      </c>
      <c r="F826" s="3" t="str" cm="1">
        <f t="array" ref="F826">IF(E826="","",_xlfn.XLOOKUP(E826,{"FIRST","SECOND","THIRD","FOURTH"},{"SEM-1","SEM-2","SEM-3","SEM-4"},""))</f>
        <v>SEM-2</v>
      </c>
      <c r="G826" s="3">
        <v>70</v>
      </c>
      <c r="H826" s="3">
        <v>59</v>
      </c>
      <c r="I826" s="3">
        <v>5</v>
      </c>
      <c r="J826" s="3">
        <f t="shared" si="36"/>
        <v>134</v>
      </c>
      <c r="K826" s="3" t="str">
        <f t="shared" si="37"/>
        <v>P</v>
      </c>
      <c r="L826" s="3" t="str">
        <f t="shared" si="38"/>
        <v>C</v>
      </c>
    </row>
    <row r="827" spans="1:12" ht="14.25" customHeight="1">
      <c r="A827" s="3">
        <v>826</v>
      </c>
      <c r="B827" s="3" t="s">
        <v>4348</v>
      </c>
      <c r="C827" s="3" t="s">
        <v>1427</v>
      </c>
      <c r="D827" s="3">
        <v>9876544647</v>
      </c>
      <c r="E827" s="3" t="s">
        <v>4418</v>
      </c>
      <c r="F827" s="3" t="str" cm="1">
        <f t="array" ref="F827">IF(E827="","",_xlfn.XLOOKUP(E827,{"FIRST","SECOND","THIRD","FOURTH"},{"SEM-1","SEM-2","SEM-3","SEM-4"},""))</f>
        <v>SEM-1</v>
      </c>
      <c r="G827" s="3">
        <v>55</v>
      </c>
      <c r="H827" s="3">
        <v>6</v>
      </c>
      <c r="I827" s="3">
        <v>32</v>
      </c>
      <c r="J827" s="3">
        <f t="shared" si="36"/>
        <v>93</v>
      </c>
      <c r="K827" s="3" t="str">
        <f t="shared" si="37"/>
        <v>F</v>
      </c>
      <c r="L827" s="3" t="str">
        <f t="shared" si="38"/>
        <v>FAIL</v>
      </c>
    </row>
    <row r="828" spans="1:12" ht="14.25" customHeight="1">
      <c r="A828" s="3">
        <v>827</v>
      </c>
      <c r="B828" s="3" t="s">
        <v>4369</v>
      </c>
      <c r="C828" s="3" t="s">
        <v>1448</v>
      </c>
      <c r="D828" s="3">
        <v>9876544668</v>
      </c>
      <c r="E828" s="3" t="s">
        <v>4420</v>
      </c>
      <c r="F828" s="3" t="str" cm="1">
        <f t="array" ref="F828">IF(E828="","",_xlfn.XLOOKUP(E828,{"FIRST","SECOND","THIRD","FOURTH"},{"SEM-1","SEM-2","SEM-3","SEM-4"},""))</f>
        <v>SEM-3</v>
      </c>
      <c r="G828" s="3">
        <v>12</v>
      </c>
      <c r="H828" s="3">
        <v>44</v>
      </c>
      <c r="I828" s="3">
        <v>8</v>
      </c>
      <c r="J828" s="3">
        <f t="shared" si="36"/>
        <v>64</v>
      </c>
      <c r="K828" s="3" t="str">
        <f t="shared" si="37"/>
        <v>F</v>
      </c>
      <c r="L828" s="3" t="str">
        <f t="shared" si="38"/>
        <v>FAIL</v>
      </c>
    </row>
    <row r="829" spans="1:12" ht="14.25" customHeight="1">
      <c r="A829" s="3">
        <v>828</v>
      </c>
      <c r="B829" s="3" t="s">
        <v>3972</v>
      </c>
      <c r="C829" s="3" t="s">
        <v>1062</v>
      </c>
      <c r="D829" s="3">
        <v>9876544271</v>
      </c>
      <c r="E829" s="3" t="s">
        <v>4419</v>
      </c>
      <c r="F829" s="3" t="str" cm="1">
        <f t="array" ref="F829">IF(E829="","",_xlfn.XLOOKUP(E829,{"FIRST","SECOND","THIRD","FOURTH"},{"SEM-1","SEM-2","SEM-3","SEM-4"},""))</f>
        <v>SEM-2</v>
      </c>
      <c r="G829" s="3">
        <v>69</v>
      </c>
      <c r="H829" s="3">
        <v>79</v>
      </c>
      <c r="I829" s="3">
        <v>3</v>
      </c>
      <c r="J829" s="3">
        <f t="shared" si="36"/>
        <v>151</v>
      </c>
      <c r="K829" s="3" t="str">
        <f t="shared" si="37"/>
        <v>P</v>
      </c>
      <c r="L829" s="3" t="str">
        <f t="shared" si="38"/>
        <v>B</v>
      </c>
    </row>
    <row r="830" spans="1:12" ht="14.25" customHeight="1">
      <c r="A830" s="3">
        <v>829</v>
      </c>
      <c r="B830" s="3" t="s">
        <v>4047</v>
      </c>
      <c r="C830" s="3" t="s">
        <v>1135</v>
      </c>
      <c r="D830" s="3">
        <v>9876544346</v>
      </c>
      <c r="E830" s="3" t="s">
        <v>4418</v>
      </c>
      <c r="F830" s="3" t="str" cm="1">
        <f t="array" ref="F830">IF(E830="","",_xlfn.XLOOKUP(E830,{"FIRST","SECOND","THIRD","FOURTH"},{"SEM-1","SEM-2","SEM-3","SEM-4"},""))</f>
        <v>SEM-1</v>
      </c>
      <c r="G830" s="3">
        <v>20</v>
      </c>
      <c r="H830" s="3">
        <v>24</v>
      </c>
      <c r="I830" s="3">
        <v>46</v>
      </c>
      <c r="J830" s="3">
        <f t="shared" si="36"/>
        <v>90</v>
      </c>
      <c r="K830" s="3" t="str">
        <f t="shared" si="37"/>
        <v>F</v>
      </c>
      <c r="L830" s="3" t="str">
        <f t="shared" si="38"/>
        <v>FAIL</v>
      </c>
    </row>
    <row r="831" spans="1:12" ht="14.25" customHeight="1">
      <c r="A831" s="3">
        <v>830</v>
      </c>
      <c r="B831" s="3" t="s">
        <v>3844</v>
      </c>
      <c r="C831" s="3" t="s">
        <v>936</v>
      </c>
      <c r="D831" s="3">
        <v>9876544143</v>
      </c>
      <c r="E831" s="3" t="s">
        <v>4419</v>
      </c>
      <c r="F831" s="3" t="str" cm="1">
        <f t="array" ref="F831">IF(E831="","",_xlfn.XLOOKUP(E831,{"FIRST","SECOND","THIRD","FOURTH"},{"SEM-1","SEM-2","SEM-3","SEM-4"},""))</f>
        <v>SEM-2</v>
      </c>
      <c r="G831" s="3">
        <v>72</v>
      </c>
      <c r="H831" s="3">
        <v>66</v>
      </c>
      <c r="I831" s="3">
        <v>6</v>
      </c>
      <c r="J831" s="3">
        <f t="shared" si="36"/>
        <v>144</v>
      </c>
      <c r="K831" s="3" t="str">
        <f t="shared" si="37"/>
        <v>P</v>
      </c>
      <c r="L831" s="3" t="str">
        <f t="shared" si="38"/>
        <v>C</v>
      </c>
    </row>
    <row r="832" spans="1:12" ht="14.25" customHeight="1">
      <c r="A832" s="3">
        <v>831</v>
      </c>
      <c r="B832" s="3" t="s">
        <v>3475</v>
      </c>
      <c r="C832" s="3" t="s">
        <v>571</v>
      </c>
      <c r="D832" s="3">
        <v>9876543774</v>
      </c>
      <c r="E832" s="3" t="s">
        <v>4420</v>
      </c>
      <c r="F832" s="3" t="str" cm="1">
        <f t="array" ref="F832">IF(E832="","",_xlfn.XLOOKUP(E832,{"FIRST","SECOND","THIRD","FOURTH"},{"SEM-1","SEM-2","SEM-3","SEM-4"},""))</f>
        <v>SEM-3</v>
      </c>
      <c r="G832" s="3">
        <v>13</v>
      </c>
      <c r="H832" s="3">
        <v>96</v>
      </c>
      <c r="I832" s="3">
        <v>71</v>
      </c>
      <c r="J832" s="3">
        <f t="shared" si="36"/>
        <v>180</v>
      </c>
      <c r="K832" s="3" t="str">
        <f t="shared" si="37"/>
        <v>P</v>
      </c>
      <c r="L832" s="3" t="str">
        <f t="shared" si="38"/>
        <v>B</v>
      </c>
    </row>
    <row r="833" spans="1:12" ht="14.25" customHeight="1">
      <c r="A833" s="3">
        <v>832</v>
      </c>
      <c r="B833" s="3" t="s">
        <v>4318</v>
      </c>
      <c r="C833" s="3" t="s">
        <v>1398</v>
      </c>
      <c r="D833" s="3">
        <v>9876544617</v>
      </c>
      <c r="E833" s="3" t="s">
        <v>4420</v>
      </c>
      <c r="F833" s="3" t="str" cm="1">
        <f t="array" ref="F833">IF(E833="","",_xlfn.XLOOKUP(E833,{"FIRST","SECOND","THIRD","FOURTH"},{"SEM-1","SEM-2","SEM-3","SEM-4"},""))</f>
        <v>SEM-3</v>
      </c>
      <c r="G833" s="3">
        <v>24</v>
      </c>
      <c r="H833" s="3">
        <v>19</v>
      </c>
      <c r="I833" s="3">
        <v>96</v>
      </c>
      <c r="J833" s="3">
        <f t="shared" si="36"/>
        <v>139</v>
      </c>
      <c r="K833" s="3" t="str">
        <f t="shared" si="37"/>
        <v>P</v>
      </c>
      <c r="L833" s="3" t="str">
        <f t="shared" si="38"/>
        <v>C</v>
      </c>
    </row>
    <row r="834" spans="1:12" ht="14.25" customHeight="1">
      <c r="A834" s="3">
        <v>833</v>
      </c>
      <c r="B834" s="3" t="s">
        <v>3753</v>
      </c>
      <c r="C834" s="3" t="s">
        <v>846</v>
      </c>
      <c r="D834" s="3">
        <v>9876544052</v>
      </c>
      <c r="E834" s="3" t="s">
        <v>4420</v>
      </c>
      <c r="F834" s="3" t="str" cm="1">
        <f t="array" ref="F834">IF(E834="","",_xlfn.XLOOKUP(E834,{"FIRST","SECOND","THIRD","FOURTH"},{"SEM-1","SEM-2","SEM-3","SEM-4"},""))</f>
        <v>SEM-3</v>
      </c>
      <c r="G834" s="3">
        <v>42</v>
      </c>
      <c r="H834" s="3">
        <v>55</v>
      </c>
      <c r="I834" s="3">
        <v>31</v>
      </c>
      <c r="J834" s="3">
        <f t="shared" ref="J834:J897" si="39">SUM(G834:I834)</f>
        <v>128</v>
      </c>
      <c r="K834" s="3" t="str">
        <f t="shared" ref="K834:K897" si="40">IF(OR(G834&gt;=70,H834&gt;=70,I834&gt;=70,J834&gt;=120),"P","F")</f>
        <v>P</v>
      </c>
      <c r="L834" s="3" t="str">
        <f t="shared" ref="L834:L897" si="41">IF(J834&gt;=190,"A",IF(J834&gt;=150,"B",IF(J834&gt;=120,"C","FAIL")))</f>
        <v>C</v>
      </c>
    </row>
    <row r="835" spans="1:12" ht="14.25" customHeight="1">
      <c r="A835" s="3">
        <v>834</v>
      </c>
      <c r="B835" s="3" t="s">
        <v>3676</v>
      </c>
      <c r="C835" s="3" t="s">
        <v>769</v>
      </c>
      <c r="D835" s="3">
        <v>9876543975</v>
      </c>
      <c r="E835" s="3" t="s">
        <v>4418</v>
      </c>
      <c r="F835" s="3" t="str" cm="1">
        <f t="array" ref="F835">IF(E835="","",_xlfn.XLOOKUP(E835,{"FIRST","SECOND","THIRD","FOURTH"},{"SEM-1","SEM-2","SEM-3","SEM-4"},""))</f>
        <v>SEM-1</v>
      </c>
      <c r="G835" s="3">
        <v>17</v>
      </c>
      <c r="H835" s="3">
        <v>8</v>
      </c>
      <c r="I835" s="3">
        <v>82</v>
      </c>
      <c r="J835" s="3">
        <f t="shared" si="39"/>
        <v>107</v>
      </c>
      <c r="K835" s="3" t="str">
        <f t="shared" si="40"/>
        <v>P</v>
      </c>
      <c r="L835" s="3" t="str">
        <f t="shared" si="41"/>
        <v>FAIL</v>
      </c>
    </row>
    <row r="836" spans="1:12" ht="14.25" customHeight="1">
      <c r="A836" s="3">
        <v>835</v>
      </c>
      <c r="B836" s="3" t="s">
        <v>4290</v>
      </c>
      <c r="C836" s="3" t="s">
        <v>1371</v>
      </c>
      <c r="D836" s="3">
        <v>9876544589</v>
      </c>
      <c r="E836" s="3" t="s">
        <v>4418</v>
      </c>
      <c r="F836" s="3" t="str" cm="1">
        <f t="array" ref="F836">IF(E836="","",_xlfn.XLOOKUP(E836,{"FIRST","SECOND","THIRD","FOURTH"},{"SEM-1","SEM-2","SEM-3","SEM-4"},""))</f>
        <v>SEM-1</v>
      </c>
      <c r="G836" s="3">
        <v>70</v>
      </c>
      <c r="H836" s="3">
        <v>99</v>
      </c>
      <c r="I836" s="3">
        <v>26</v>
      </c>
      <c r="J836" s="3">
        <f t="shared" si="39"/>
        <v>195</v>
      </c>
      <c r="K836" s="3" t="str">
        <f t="shared" si="40"/>
        <v>P</v>
      </c>
      <c r="L836" s="3" t="str">
        <f t="shared" si="41"/>
        <v>A</v>
      </c>
    </row>
    <row r="837" spans="1:12" ht="14.25" customHeight="1">
      <c r="A837" s="3">
        <v>836</v>
      </c>
      <c r="B837" s="3" t="s">
        <v>3782</v>
      </c>
      <c r="C837" s="3" t="s">
        <v>874</v>
      </c>
      <c r="D837" s="3">
        <v>9876544081</v>
      </c>
      <c r="E837" s="3" t="s">
        <v>4420</v>
      </c>
      <c r="F837" s="3" t="str" cm="1">
        <f t="array" ref="F837">IF(E837="","",_xlfn.XLOOKUP(E837,{"FIRST","SECOND","THIRD","FOURTH"},{"SEM-1","SEM-2","SEM-3","SEM-4"},""))</f>
        <v>SEM-3</v>
      </c>
      <c r="G837" s="3">
        <v>94</v>
      </c>
      <c r="H837" s="3">
        <v>42</v>
      </c>
      <c r="I837" s="3">
        <v>85</v>
      </c>
      <c r="J837" s="3">
        <f t="shared" si="39"/>
        <v>221</v>
      </c>
      <c r="K837" s="3" t="str">
        <f t="shared" si="40"/>
        <v>P</v>
      </c>
      <c r="L837" s="3" t="str">
        <f t="shared" si="41"/>
        <v>A</v>
      </c>
    </row>
    <row r="838" spans="1:12" ht="14.25" customHeight="1">
      <c r="A838" s="3">
        <v>837</v>
      </c>
      <c r="B838" s="3" t="s">
        <v>3899</v>
      </c>
      <c r="C838" s="3" t="s">
        <v>990</v>
      </c>
      <c r="D838" s="3">
        <v>9876544198</v>
      </c>
      <c r="E838" s="3" t="s">
        <v>4420</v>
      </c>
      <c r="F838" s="3" t="str" cm="1">
        <f t="array" ref="F838">IF(E838="","",_xlfn.XLOOKUP(E838,{"FIRST","SECOND","THIRD","FOURTH"},{"SEM-1","SEM-2","SEM-3","SEM-4"},""))</f>
        <v>SEM-3</v>
      </c>
      <c r="G838" s="3">
        <v>11</v>
      </c>
      <c r="H838" s="3">
        <v>16</v>
      </c>
      <c r="I838" s="3">
        <v>0</v>
      </c>
      <c r="J838" s="3">
        <f t="shared" si="39"/>
        <v>27</v>
      </c>
      <c r="K838" s="3" t="str">
        <f t="shared" si="40"/>
        <v>F</v>
      </c>
      <c r="L838" s="3" t="str">
        <f t="shared" si="41"/>
        <v>FAIL</v>
      </c>
    </row>
    <row r="839" spans="1:12" ht="14.25" customHeight="1">
      <c r="A839" s="3">
        <v>838</v>
      </c>
      <c r="B839" s="3" t="s">
        <v>2911</v>
      </c>
      <c r="C839" s="3" t="s">
        <v>9</v>
      </c>
      <c r="D839" s="3">
        <v>9876543210</v>
      </c>
      <c r="E839" s="3" t="s">
        <v>4420</v>
      </c>
      <c r="F839" s="3" t="str" cm="1">
        <f t="array" ref="F839">IF(E839="","",_xlfn.XLOOKUP(E839,{"FIRST","SECOND","THIRD","FOURTH"},{"SEM-1","SEM-2","SEM-3","SEM-4"},""))</f>
        <v>SEM-3</v>
      </c>
      <c r="G839" s="3">
        <v>29</v>
      </c>
      <c r="H839" s="3">
        <v>96</v>
      </c>
      <c r="I839" s="3">
        <v>72</v>
      </c>
      <c r="J839" s="3">
        <f t="shared" si="39"/>
        <v>197</v>
      </c>
      <c r="K839" s="3" t="str">
        <f t="shared" si="40"/>
        <v>P</v>
      </c>
      <c r="L839" s="3" t="str">
        <f t="shared" si="41"/>
        <v>A</v>
      </c>
    </row>
    <row r="840" spans="1:12" ht="14.25" customHeight="1">
      <c r="A840" s="3">
        <v>839</v>
      </c>
      <c r="B840" s="3" t="s">
        <v>3293</v>
      </c>
      <c r="C840" s="3" t="s">
        <v>389</v>
      </c>
      <c r="D840" s="3">
        <v>9876543592</v>
      </c>
      <c r="E840" s="3" t="s">
        <v>4418</v>
      </c>
      <c r="F840" s="3" t="str" cm="1">
        <f t="array" ref="F840">IF(E840="","",_xlfn.XLOOKUP(E840,{"FIRST","SECOND","THIRD","FOURTH"},{"SEM-1","SEM-2","SEM-3","SEM-4"},""))</f>
        <v>SEM-1</v>
      </c>
      <c r="G840" s="3">
        <v>79</v>
      </c>
      <c r="H840" s="3">
        <v>76</v>
      </c>
      <c r="I840" s="3">
        <v>62</v>
      </c>
      <c r="J840" s="3">
        <f t="shared" si="39"/>
        <v>217</v>
      </c>
      <c r="K840" s="3" t="str">
        <f t="shared" si="40"/>
        <v>P</v>
      </c>
      <c r="L840" s="3" t="str">
        <f t="shared" si="41"/>
        <v>A</v>
      </c>
    </row>
    <row r="841" spans="1:12" ht="14.25" customHeight="1">
      <c r="A841" s="3">
        <v>840</v>
      </c>
      <c r="B841" s="3" t="s">
        <v>3213</v>
      </c>
      <c r="C841" s="3" t="s">
        <v>310</v>
      </c>
      <c r="D841" s="3">
        <v>9876543512</v>
      </c>
      <c r="E841" s="3" t="s">
        <v>4419</v>
      </c>
      <c r="F841" s="3" t="str" cm="1">
        <f t="array" ref="F841">IF(E841="","",_xlfn.XLOOKUP(E841,{"FIRST","SECOND","THIRD","FOURTH"},{"SEM-1","SEM-2","SEM-3","SEM-4"},""))</f>
        <v>SEM-2</v>
      </c>
      <c r="G841" s="3">
        <v>12</v>
      </c>
      <c r="H841" s="3">
        <v>9</v>
      </c>
      <c r="I841" s="3">
        <v>94</v>
      </c>
      <c r="J841" s="3">
        <f t="shared" si="39"/>
        <v>115</v>
      </c>
      <c r="K841" s="3" t="str">
        <f t="shared" si="40"/>
        <v>P</v>
      </c>
      <c r="L841" s="3" t="str">
        <f t="shared" si="41"/>
        <v>FAIL</v>
      </c>
    </row>
    <row r="842" spans="1:12" ht="14.25" customHeight="1">
      <c r="A842" s="3">
        <v>841</v>
      </c>
      <c r="B842" s="3" t="s">
        <v>3951</v>
      </c>
      <c r="C842" s="3" t="s">
        <v>1041</v>
      </c>
      <c r="D842" s="3">
        <v>9876544250</v>
      </c>
      <c r="E842" s="3" t="s">
        <v>4419</v>
      </c>
      <c r="F842" s="3" t="str" cm="1">
        <f t="array" ref="F842">IF(E842="","",_xlfn.XLOOKUP(E842,{"FIRST","SECOND","THIRD","FOURTH"},{"SEM-1","SEM-2","SEM-3","SEM-4"},""))</f>
        <v>SEM-2</v>
      </c>
      <c r="G842" s="3">
        <v>38</v>
      </c>
      <c r="H842" s="3">
        <v>20</v>
      </c>
      <c r="I842" s="3">
        <v>61</v>
      </c>
      <c r="J842" s="3">
        <f t="shared" si="39"/>
        <v>119</v>
      </c>
      <c r="K842" s="3" t="str">
        <f t="shared" si="40"/>
        <v>F</v>
      </c>
      <c r="L842" s="3" t="str">
        <f t="shared" si="41"/>
        <v>FAIL</v>
      </c>
    </row>
    <row r="843" spans="1:12" ht="14.25" customHeight="1">
      <c r="A843" s="3">
        <v>842</v>
      </c>
      <c r="B843" s="3" t="s">
        <v>4254</v>
      </c>
      <c r="C843" s="3" t="s">
        <v>1337</v>
      </c>
      <c r="D843" s="3">
        <v>9876544553</v>
      </c>
      <c r="E843" s="3" t="s">
        <v>4419</v>
      </c>
      <c r="F843" s="3" t="str" cm="1">
        <f t="array" ref="F843">IF(E843="","",_xlfn.XLOOKUP(E843,{"FIRST","SECOND","THIRD","FOURTH"},{"SEM-1","SEM-2","SEM-3","SEM-4"},""))</f>
        <v>SEM-2</v>
      </c>
      <c r="G843" s="3">
        <v>48</v>
      </c>
      <c r="H843" s="3">
        <v>27</v>
      </c>
      <c r="I843" s="3">
        <v>69</v>
      </c>
      <c r="J843" s="3">
        <f t="shared" si="39"/>
        <v>144</v>
      </c>
      <c r="K843" s="3" t="str">
        <f t="shared" si="40"/>
        <v>P</v>
      </c>
      <c r="L843" s="3" t="str">
        <f t="shared" si="41"/>
        <v>C</v>
      </c>
    </row>
    <row r="844" spans="1:12" ht="14.25" customHeight="1">
      <c r="A844" s="3">
        <v>843</v>
      </c>
      <c r="B844" s="3" t="s">
        <v>3064</v>
      </c>
      <c r="C844" s="3" t="s">
        <v>162</v>
      </c>
      <c r="D844" s="3">
        <v>9876543363</v>
      </c>
      <c r="E844" s="3" t="s">
        <v>4420</v>
      </c>
      <c r="F844" s="3" t="str" cm="1">
        <f t="array" ref="F844">IF(E844="","",_xlfn.XLOOKUP(E844,{"FIRST","SECOND","THIRD","FOURTH"},{"SEM-1","SEM-2","SEM-3","SEM-4"},""))</f>
        <v>SEM-3</v>
      </c>
      <c r="G844" s="3">
        <v>27</v>
      </c>
      <c r="H844" s="3">
        <v>17</v>
      </c>
      <c r="I844" s="3">
        <v>63</v>
      </c>
      <c r="J844" s="3">
        <f t="shared" si="39"/>
        <v>107</v>
      </c>
      <c r="K844" s="3" t="str">
        <f t="shared" si="40"/>
        <v>F</v>
      </c>
      <c r="L844" s="3" t="str">
        <f t="shared" si="41"/>
        <v>FAIL</v>
      </c>
    </row>
    <row r="845" spans="1:12" ht="14.25" customHeight="1">
      <c r="A845" s="3">
        <v>844</v>
      </c>
      <c r="B845" s="3" t="s">
        <v>4329</v>
      </c>
      <c r="C845" s="3" t="s">
        <v>1408</v>
      </c>
      <c r="D845" s="3">
        <v>9876544628</v>
      </c>
      <c r="E845" s="3" t="s">
        <v>4418</v>
      </c>
      <c r="F845" s="3" t="str" cm="1">
        <f t="array" ref="F845">IF(E845="","",_xlfn.XLOOKUP(E845,{"FIRST","SECOND","THIRD","FOURTH"},{"SEM-1","SEM-2","SEM-3","SEM-4"},""))</f>
        <v>SEM-1</v>
      </c>
      <c r="G845" s="3">
        <v>44</v>
      </c>
      <c r="H845" s="3">
        <v>64</v>
      </c>
      <c r="I845" s="3">
        <v>68</v>
      </c>
      <c r="J845" s="3">
        <f t="shared" si="39"/>
        <v>176</v>
      </c>
      <c r="K845" s="3" t="str">
        <f t="shared" si="40"/>
        <v>P</v>
      </c>
      <c r="L845" s="3" t="str">
        <f t="shared" si="41"/>
        <v>B</v>
      </c>
    </row>
    <row r="846" spans="1:12" ht="14.25" customHeight="1">
      <c r="A846" s="3">
        <v>845</v>
      </c>
      <c r="B846" s="3" t="s">
        <v>3376</v>
      </c>
      <c r="C846" s="3" t="s">
        <v>472</v>
      </c>
      <c r="D846" s="3">
        <v>9876543675</v>
      </c>
      <c r="E846" s="3" t="s">
        <v>4418</v>
      </c>
      <c r="F846" s="3" t="str" cm="1">
        <f t="array" ref="F846">IF(E846="","",_xlfn.XLOOKUP(E846,{"FIRST","SECOND","THIRD","FOURTH"},{"SEM-1","SEM-2","SEM-3","SEM-4"},""))</f>
        <v>SEM-1</v>
      </c>
      <c r="G846" s="3">
        <v>29</v>
      </c>
      <c r="H846" s="3">
        <v>21</v>
      </c>
      <c r="I846" s="3">
        <v>9</v>
      </c>
      <c r="J846" s="3">
        <f t="shared" si="39"/>
        <v>59</v>
      </c>
      <c r="K846" s="3" t="str">
        <f t="shared" si="40"/>
        <v>F</v>
      </c>
      <c r="L846" s="3" t="str">
        <f t="shared" si="41"/>
        <v>FAIL</v>
      </c>
    </row>
    <row r="847" spans="1:12" ht="14.25" customHeight="1">
      <c r="A847" s="3">
        <v>846</v>
      </c>
      <c r="B847" s="3" t="s">
        <v>3328</v>
      </c>
      <c r="C847" s="3" t="s">
        <v>424</v>
      </c>
      <c r="D847" s="3">
        <v>9876543627</v>
      </c>
      <c r="E847" s="3" t="s">
        <v>4418</v>
      </c>
      <c r="F847" s="3" t="str" cm="1">
        <f t="array" ref="F847">IF(E847="","",_xlfn.XLOOKUP(E847,{"FIRST","SECOND","THIRD","FOURTH"},{"SEM-1","SEM-2","SEM-3","SEM-4"},""))</f>
        <v>SEM-1</v>
      </c>
      <c r="G847" s="3">
        <v>33</v>
      </c>
      <c r="H847" s="3">
        <v>5</v>
      </c>
      <c r="I847" s="3">
        <v>69</v>
      </c>
      <c r="J847" s="3">
        <f t="shared" si="39"/>
        <v>107</v>
      </c>
      <c r="K847" s="3" t="str">
        <f t="shared" si="40"/>
        <v>F</v>
      </c>
      <c r="L847" s="3" t="str">
        <f t="shared" si="41"/>
        <v>FAIL</v>
      </c>
    </row>
    <row r="848" spans="1:12" ht="14.25" customHeight="1">
      <c r="A848" s="3">
        <v>847</v>
      </c>
      <c r="B848" s="3" t="s">
        <v>4392</v>
      </c>
      <c r="C848" s="3" t="s">
        <v>1471</v>
      </c>
      <c r="D848" s="3">
        <v>9876544691</v>
      </c>
      <c r="E848" s="3" t="s">
        <v>4418</v>
      </c>
      <c r="F848" s="3" t="str" cm="1">
        <f t="array" ref="F848">IF(E848="","",_xlfn.XLOOKUP(E848,{"FIRST","SECOND","THIRD","FOURTH"},{"SEM-1","SEM-2","SEM-3","SEM-4"},""))</f>
        <v>SEM-1</v>
      </c>
      <c r="G848" s="3">
        <v>8</v>
      </c>
      <c r="H848" s="3">
        <v>1</v>
      </c>
      <c r="I848" s="3">
        <v>94</v>
      </c>
      <c r="J848" s="3">
        <f t="shared" si="39"/>
        <v>103</v>
      </c>
      <c r="K848" s="3" t="str">
        <f t="shared" si="40"/>
        <v>P</v>
      </c>
      <c r="L848" s="3" t="str">
        <f t="shared" si="41"/>
        <v>FAIL</v>
      </c>
    </row>
    <row r="849" spans="1:12" ht="14.25" customHeight="1">
      <c r="A849" s="3">
        <v>848</v>
      </c>
      <c r="B849" s="3" t="s">
        <v>3384</v>
      </c>
      <c r="C849" s="3" t="s">
        <v>480</v>
      </c>
      <c r="D849" s="3">
        <v>9876543683</v>
      </c>
      <c r="E849" s="3" t="s">
        <v>4419</v>
      </c>
      <c r="F849" s="3" t="str" cm="1">
        <f t="array" ref="F849">IF(E849="","",_xlfn.XLOOKUP(E849,{"FIRST","SECOND","THIRD","FOURTH"},{"SEM-1","SEM-2","SEM-3","SEM-4"},""))</f>
        <v>SEM-2</v>
      </c>
      <c r="G849" s="3">
        <v>65</v>
      </c>
      <c r="H849" s="3">
        <v>33</v>
      </c>
      <c r="I849" s="3">
        <v>70</v>
      </c>
      <c r="J849" s="3">
        <f t="shared" si="39"/>
        <v>168</v>
      </c>
      <c r="K849" s="3" t="str">
        <f t="shared" si="40"/>
        <v>P</v>
      </c>
      <c r="L849" s="3" t="str">
        <f t="shared" si="41"/>
        <v>B</v>
      </c>
    </row>
    <row r="850" spans="1:12" ht="14.25" customHeight="1">
      <c r="A850" s="3">
        <v>849</v>
      </c>
      <c r="B850" s="3" t="s">
        <v>3627</v>
      </c>
      <c r="C850" s="3" t="s">
        <v>721</v>
      </c>
      <c r="D850" s="3">
        <v>9876543926</v>
      </c>
      <c r="E850" s="3" t="s">
        <v>4418</v>
      </c>
      <c r="F850" s="3" t="str" cm="1">
        <f t="array" ref="F850">IF(E850="","",_xlfn.XLOOKUP(E850,{"FIRST","SECOND","THIRD","FOURTH"},{"SEM-1","SEM-2","SEM-3","SEM-4"},""))</f>
        <v>SEM-1</v>
      </c>
      <c r="G850" s="3">
        <v>33</v>
      </c>
      <c r="H850" s="3">
        <v>98</v>
      </c>
      <c r="I850" s="3">
        <v>49</v>
      </c>
      <c r="J850" s="3">
        <f t="shared" si="39"/>
        <v>180</v>
      </c>
      <c r="K850" s="3" t="str">
        <f t="shared" si="40"/>
        <v>P</v>
      </c>
      <c r="L850" s="3" t="str">
        <f t="shared" si="41"/>
        <v>B</v>
      </c>
    </row>
    <row r="851" spans="1:12" ht="14.25" customHeight="1">
      <c r="A851" s="3">
        <v>850</v>
      </c>
      <c r="B851" s="3" t="s">
        <v>3829</v>
      </c>
      <c r="C851" s="3" t="s">
        <v>921</v>
      </c>
      <c r="D851" s="3">
        <v>9876544128</v>
      </c>
      <c r="E851" s="3" t="s">
        <v>4420</v>
      </c>
      <c r="F851" s="3" t="str" cm="1">
        <f t="array" ref="F851">IF(E851="","",_xlfn.XLOOKUP(E851,{"FIRST","SECOND","THIRD","FOURTH"},{"SEM-1","SEM-2","SEM-3","SEM-4"},""))</f>
        <v>SEM-3</v>
      </c>
      <c r="G851" s="3">
        <v>23</v>
      </c>
      <c r="H851" s="3">
        <v>65</v>
      </c>
      <c r="I851" s="3">
        <v>75</v>
      </c>
      <c r="J851" s="3">
        <f t="shared" si="39"/>
        <v>163</v>
      </c>
      <c r="K851" s="3" t="str">
        <f t="shared" si="40"/>
        <v>P</v>
      </c>
      <c r="L851" s="3" t="str">
        <f t="shared" si="41"/>
        <v>B</v>
      </c>
    </row>
    <row r="852" spans="1:12" ht="14.25" customHeight="1">
      <c r="A852" s="3">
        <v>851</v>
      </c>
      <c r="B852" s="3" t="s">
        <v>3037</v>
      </c>
      <c r="C852" s="3" t="s">
        <v>135</v>
      </c>
      <c r="D852" s="3">
        <v>9876543336</v>
      </c>
      <c r="E852" s="3" t="s">
        <v>4420</v>
      </c>
      <c r="F852" s="3" t="str" cm="1">
        <f t="array" ref="F852">IF(E852="","",_xlfn.XLOOKUP(E852,{"FIRST","SECOND","THIRD","FOURTH"},{"SEM-1","SEM-2","SEM-3","SEM-4"},""))</f>
        <v>SEM-3</v>
      </c>
      <c r="G852" s="3">
        <v>46</v>
      </c>
      <c r="H852" s="3">
        <v>89</v>
      </c>
      <c r="I852" s="3">
        <v>38</v>
      </c>
      <c r="J852" s="3">
        <f t="shared" si="39"/>
        <v>173</v>
      </c>
      <c r="K852" s="3" t="str">
        <f t="shared" si="40"/>
        <v>P</v>
      </c>
      <c r="L852" s="3" t="str">
        <f t="shared" si="41"/>
        <v>B</v>
      </c>
    </row>
    <row r="853" spans="1:12" ht="14.25" customHeight="1">
      <c r="A853" s="3">
        <v>852</v>
      </c>
      <c r="B853" s="3" t="s">
        <v>4383</v>
      </c>
      <c r="C853" s="3" t="s">
        <v>1462</v>
      </c>
      <c r="D853" s="3">
        <v>9876544682</v>
      </c>
      <c r="E853" s="3" t="s">
        <v>4420</v>
      </c>
      <c r="F853" s="3" t="str" cm="1">
        <f t="array" ref="F853">IF(E853="","",_xlfn.XLOOKUP(E853,{"FIRST","SECOND","THIRD","FOURTH"},{"SEM-1","SEM-2","SEM-3","SEM-4"},""))</f>
        <v>SEM-3</v>
      </c>
      <c r="G853" s="3">
        <v>38</v>
      </c>
      <c r="H853" s="3">
        <v>72</v>
      </c>
      <c r="I853" s="3">
        <v>20</v>
      </c>
      <c r="J853" s="3">
        <f t="shared" si="39"/>
        <v>130</v>
      </c>
      <c r="K853" s="3" t="str">
        <f t="shared" si="40"/>
        <v>P</v>
      </c>
      <c r="L853" s="3" t="str">
        <f t="shared" si="41"/>
        <v>C</v>
      </c>
    </row>
    <row r="854" spans="1:12" ht="14.25" customHeight="1">
      <c r="A854" s="3">
        <v>853</v>
      </c>
      <c r="B854" s="3" t="s">
        <v>3564</v>
      </c>
      <c r="C854" s="3" t="s">
        <v>658</v>
      </c>
      <c r="D854" s="3">
        <v>9876543863</v>
      </c>
      <c r="E854" s="3" t="s">
        <v>4418</v>
      </c>
      <c r="F854" s="3" t="str" cm="1">
        <f t="array" ref="F854">IF(E854="","",_xlfn.XLOOKUP(E854,{"FIRST","SECOND","THIRD","FOURTH"},{"SEM-1","SEM-2","SEM-3","SEM-4"},""))</f>
        <v>SEM-1</v>
      </c>
      <c r="G854" s="3">
        <v>93</v>
      </c>
      <c r="H854" s="3">
        <v>56</v>
      </c>
      <c r="I854" s="3">
        <v>66</v>
      </c>
      <c r="J854" s="3">
        <f t="shared" si="39"/>
        <v>215</v>
      </c>
      <c r="K854" s="3" t="str">
        <f t="shared" si="40"/>
        <v>P</v>
      </c>
      <c r="L854" s="3" t="str">
        <f t="shared" si="41"/>
        <v>A</v>
      </c>
    </row>
    <row r="855" spans="1:12" ht="14.25" customHeight="1">
      <c r="A855" s="3">
        <v>854</v>
      </c>
      <c r="B855" s="3" t="s">
        <v>4325</v>
      </c>
      <c r="C855" s="3" t="s">
        <v>1404</v>
      </c>
      <c r="D855" s="3">
        <v>9876544624</v>
      </c>
      <c r="E855" s="3" t="s">
        <v>4420</v>
      </c>
      <c r="F855" s="3" t="str" cm="1">
        <f t="array" ref="F855">IF(E855="","",_xlfn.XLOOKUP(E855,{"FIRST","SECOND","THIRD","FOURTH"},{"SEM-1","SEM-2","SEM-3","SEM-4"},""))</f>
        <v>SEM-3</v>
      </c>
      <c r="G855" s="3">
        <v>9</v>
      </c>
      <c r="H855" s="3">
        <v>15</v>
      </c>
      <c r="I855" s="3">
        <v>10</v>
      </c>
      <c r="J855" s="3">
        <f t="shared" si="39"/>
        <v>34</v>
      </c>
      <c r="K855" s="3" t="str">
        <f t="shared" si="40"/>
        <v>F</v>
      </c>
      <c r="L855" s="3" t="str">
        <f t="shared" si="41"/>
        <v>FAIL</v>
      </c>
    </row>
    <row r="856" spans="1:12" ht="14.25" customHeight="1">
      <c r="A856" s="3">
        <v>855</v>
      </c>
      <c r="B856" s="3" t="s">
        <v>3021</v>
      </c>
      <c r="C856" s="3" t="s">
        <v>119</v>
      </c>
      <c r="D856" s="3">
        <v>9876543320</v>
      </c>
      <c r="E856" s="3" t="s">
        <v>4418</v>
      </c>
      <c r="F856" s="3" t="str" cm="1">
        <f t="array" ref="F856">IF(E856="","",_xlfn.XLOOKUP(E856,{"FIRST","SECOND","THIRD","FOURTH"},{"SEM-1","SEM-2","SEM-3","SEM-4"},""))</f>
        <v>SEM-1</v>
      </c>
      <c r="G856" s="3">
        <v>17</v>
      </c>
      <c r="H856" s="3">
        <v>2</v>
      </c>
      <c r="I856" s="3">
        <v>42</v>
      </c>
      <c r="J856" s="3">
        <f t="shared" si="39"/>
        <v>61</v>
      </c>
      <c r="K856" s="3" t="str">
        <f t="shared" si="40"/>
        <v>F</v>
      </c>
      <c r="L856" s="3" t="str">
        <f t="shared" si="41"/>
        <v>FAIL</v>
      </c>
    </row>
    <row r="857" spans="1:12" ht="14.25" customHeight="1">
      <c r="A857" s="3">
        <v>856</v>
      </c>
      <c r="B857" s="3" t="s">
        <v>3631</v>
      </c>
      <c r="C857" s="3" t="s">
        <v>725</v>
      </c>
      <c r="D857" s="3">
        <v>9876543930</v>
      </c>
      <c r="E857" s="3" t="s">
        <v>4419</v>
      </c>
      <c r="F857" s="3" t="str" cm="1">
        <f t="array" ref="F857">IF(E857="","",_xlfn.XLOOKUP(E857,{"FIRST","SECOND","THIRD","FOURTH"},{"SEM-1","SEM-2","SEM-3","SEM-4"},""))</f>
        <v>SEM-2</v>
      </c>
      <c r="G857" s="3">
        <v>63</v>
      </c>
      <c r="H857" s="3">
        <v>5</v>
      </c>
      <c r="I857" s="3">
        <v>8</v>
      </c>
      <c r="J857" s="3">
        <f t="shared" si="39"/>
        <v>76</v>
      </c>
      <c r="K857" s="3" t="str">
        <f t="shared" si="40"/>
        <v>F</v>
      </c>
      <c r="L857" s="3" t="str">
        <f t="shared" si="41"/>
        <v>FAIL</v>
      </c>
    </row>
    <row r="858" spans="1:12" ht="14.25" customHeight="1">
      <c r="A858" s="3">
        <v>857</v>
      </c>
      <c r="B858" s="3" t="s">
        <v>3184</v>
      </c>
      <c r="C858" s="3" t="s">
        <v>282</v>
      </c>
      <c r="D858" s="3">
        <v>9876543483</v>
      </c>
      <c r="E858" s="3" t="s">
        <v>4419</v>
      </c>
      <c r="F858" s="3" t="str" cm="1">
        <f t="array" ref="F858">IF(E858="","",_xlfn.XLOOKUP(E858,{"FIRST","SECOND","THIRD","FOURTH"},{"SEM-1","SEM-2","SEM-3","SEM-4"},""))</f>
        <v>SEM-2</v>
      </c>
      <c r="G858" s="3">
        <v>25</v>
      </c>
      <c r="H858" s="3">
        <v>63</v>
      </c>
      <c r="I858" s="3">
        <v>29</v>
      </c>
      <c r="J858" s="3">
        <f t="shared" si="39"/>
        <v>117</v>
      </c>
      <c r="K858" s="3" t="str">
        <f t="shared" si="40"/>
        <v>F</v>
      </c>
      <c r="L858" s="3" t="str">
        <f t="shared" si="41"/>
        <v>FAIL</v>
      </c>
    </row>
    <row r="859" spans="1:12" ht="14.25" customHeight="1">
      <c r="A859" s="3">
        <v>858</v>
      </c>
      <c r="B859" s="3" t="s">
        <v>4042</v>
      </c>
      <c r="C859" s="3" t="s">
        <v>1131</v>
      </c>
      <c r="D859" s="3">
        <v>9876544341</v>
      </c>
      <c r="E859" s="3" t="s">
        <v>4420</v>
      </c>
      <c r="F859" s="3" t="str" cm="1">
        <f t="array" ref="F859">IF(E859="","",_xlfn.XLOOKUP(E859,{"FIRST","SECOND","THIRD","FOURTH"},{"SEM-1","SEM-2","SEM-3","SEM-4"},""))</f>
        <v>SEM-3</v>
      </c>
      <c r="G859" s="3">
        <v>82</v>
      </c>
      <c r="H859" s="3">
        <v>57</v>
      </c>
      <c r="I859" s="3">
        <v>16</v>
      </c>
      <c r="J859" s="3">
        <f t="shared" si="39"/>
        <v>155</v>
      </c>
      <c r="K859" s="3" t="str">
        <f t="shared" si="40"/>
        <v>P</v>
      </c>
      <c r="L859" s="3" t="str">
        <f t="shared" si="41"/>
        <v>B</v>
      </c>
    </row>
    <row r="860" spans="1:12" ht="14.25" customHeight="1">
      <c r="A860" s="3">
        <v>859</v>
      </c>
      <c r="B860" s="3" t="s">
        <v>3141</v>
      </c>
      <c r="C860" s="3" t="s">
        <v>239</v>
      </c>
      <c r="D860" s="3">
        <v>9876543440</v>
      </c>
      <c r="E860" s="3" t="s">
        <v>4419</v>
      </c>
      <c r="F860" s="3" t="str" cm="1">
        <f t="array" ref="F860">IF(E860="","",_xlfn.XLOOKUP(E860,{"FIRST","SECOND","THIRD","FOURTH"},{"SEM-1","SEM-2","SEM-3","SEM-4"},""))</f>
        <v>SEM-2</v>
      </c>
      <c r="G860" s="3">
        <v>96</v>
      </c>
      <c r="H860" s="3">
        <v>40</v>
      </c>
      <c r="I860" s="3">
        <v>39</v>
      </c>
      <c r="J860" s="3">
        <f t="shared" si="39"/>
        <v>175</v>
      </c>
      <c r="K860" s="3" t="str">
        <f t="shared" si="40"/>
        <v>P</v>
      </c>
      <c r="L860" s="3" t="str">
        <f t="shared" si="41"/>
        <v>B</v>
      </c>
    </row>
    <row r="861" spans="1:12" ht="14.25" customHeight="1">
      <c r="A861" s="3">
        <v>860</v>
      </c>
      <c r="B861" s="3" t="s">
        <v>3032</v>
      </c>
      <c r="C861" s="3" t="s">
        <v>130</v>
      </c>
      <c r="D861" s="3">
        <v>9876543331</v>
      </c>
      <c r="E861" s="3" t="s">
        <v>4420</v>
      </c>
      <c r="F861" s="3" t="str" cm="1">
        <f t="array" ref="F861">IF(E861="","",_xlfn.XLOOKUP(E861,{"FIRST","SECOND","THIRD","FOURTH"},{"SEM-1","SEM-2","SEM-3","SEM-4"},""))</f>
        <v>SEM-3</v>
      </c>
      <c r="G861" s="3">
        <v>9</v>
      </c>
      <c r="H861" s="3">
        <v>35</v>
      </c>
      <c r="I861" s="3">
        <v>25</v>
      </c>
      <c r="J861" s="3">
        <f t="shared" si="39"/>
        <v>69</v>
      </c>
      <c r="K861" s="3" t="str">
        <f t="shared" si="40"/>
        <v>F</v>
      </c>
      <c r="L861" s="3" t="str">
        <f t="shared" si="41"/>
        <v>FAIL</v>
      </c>
    </row>
    <row r="862" spans="1:12" ht="14.25" customHeight="1">
      <c r="A862" s="3">
        <v>861</v>
      </c>
      <c r="B862" s="3" t="s">
        <v>3903</v>
      </c>
      <c r="C862" s="3" t="s">
        <v>994</v>
      </c>
      <c r="D862" s="3">
        <v>9876544202</v>
      </c>
      <c r="E862" s="3" t="s">
        <v>4418</v>
      </c>
      <c r="F862" s="3" t="str" cm="1">
        <f t="array" ref="F862">IF(E862="","",_xlfn.XLOOKUP(E862,{"FIRST","SECOND","THIRD","FOURTH"},{"SEM-1","SEM-2","SEM-3","SEM-4"},""))</f>
        <v>SEM-1</v>
      </c>
      <c r="G862" s="3">
        <v>32</v>
      </c>
      <c r="H862" s="3">
        <v>97</v>
      </c>
      <c r="I862" s="3">
        <v>33</v>
      </c>
      <c r="J862" s="3">
        <f t="shared" si="39"/>
        <v>162</v>
      </c>
      <c r="K862" s="3" t="str">
        <f t="shared" si="40"/>
        <v>P</v>
      </c>
      <c r="L862" s="3" t="str">
        <f t="shared" si="41"/>
        <v>B</v>
      </c>
    </row>
    <row r="863" spans="1:12" ht="14.25" customHeight="1">
      <c r="A863" s="3">
        <v>862</v>
      </c>
      <c r="B863" s="3" t="s">
        <v>3322</v>
      </c>
      <c r="C863" s="3" t="s">
        <v>418</v>
      </c>
      <c r="D863" s="3">
        <v>9876543621</v>
      </c>
      <c r="E863" s="3" t="s">
        <v>4419</v>
      </c>
      <c r="F863" s="3" t="str" cm="1">
        <f t="array" ref="F863">IF(E863="","",_xlfn.XLOOKUP(E863,{"FIRST","SECOND","THIRD","FOURTH"},{"SEM-1","SEM-2","SEM-3","SEM-4"},""))</f>
        <v>SEM-2</v>
      </c>
      <c r="G863" s="3">
        <v>60</v>
      </c>
      <c r="H863" s="3">
        <v>7</v>
      </c>
      <c r="I863" s="3">
        <v>32</v>
      </c>
      <c r="J863" s="3">
        <f t="shared" si="39"/>
        <v>99</v>
      </c>
      <c r="K863" s="3" t="str">
        <f t="shared" si="40"/>
        <v>F</v>
      </c>
      <c r="L863" s="3" t="str">
        <f t="shared" si="41"/>
        <v>FAIL</v>
      </c>
    </row>
    <row r="864" spans="1:12" ht="14.25" customHeight="1">
      <c r="A864" s="3">
        <v>863</v>
      </c>
      <c r="B864" s="3" t="s">
        <v>3196</v>
      </c>
      <c r="C864" s="3" t="s">
        <v>294</v>
      </c>
      <c r="D864" s="3">
        <v>9876543495</v>
      </c>
      <c r="E864" s="3" t="s">
        <v>4419</v>
      </c>
      <c r="F864" s="3" t="str" cm="1">
        <f t="array" ref="F864">IF(E864="","",_xlfn.XLOOKUP(E864,{"FIRST","SECOND","THIRD","FOURTH"},{"SEM-1","SEM-2","SEM-3","SEM-4"},""))</f>
        <v>SEM-2</v>
      </c>
      <c r="G864" s="3">
        <v>18</v>
      </c>
      <c r="H864" s="3">
        <v>35</v>
      </c>
      <c r="I864" s="3">
        <v>67</v>
      </c>
      <c r="J864" s="3">
        <f t="shared" si="39"/>
        <v>120</v>
      </c>
      <c r="K864" s="3" t="str">
        <f t="shared" si="40"/>
        <v>P</v>
      </c>
      <c r="L864" s="3" t="str">
        <f t="shared" si="41"/>
        <v>C</v>
      </c>
    </row>
    <row r="865" spans="1:12" ht="14.25" customHeight="1">
      <c r="A865" s="3">
        <v>864</v>
      </c>
      <c r="B865" s="3" t="s">
        <v>4255</v>
      </c>
      <c r="C865" s="3" t="s">
        <v>1338</v>
      </c>
      <c r="D865" s="3">
        <v>9876544554</v>
      </c>
      <c r="E865" s="3" t="s">
        <v>4420</v>
      </c>
      <c r="F865" s="3" t="str" cm="1">
        <f t="array" ref="F865">IF(E865="","",_xlfn.XLOOKUP(E865,{"FIRST","SECOND","THIRD","FOURTH"},{"SEM-1","SEM-2","SEM-3","SEM-4"},""))</f>
        <v>SEM-3</v>
      </c>
      <c r="G865" s="3">
        <v>58</v>
      </c>
      <c r="H865" s="3">
        <v>28</v>
      </c>
      <c r="I865" s="3">
        <v>79</v>
      </c>
      <c r="J865" s="3">
        <f t="shared" si="39"/>
        <v>165</v>
      </c>
      <c r="K865" s="3" t="str">
        <f t="shared" si="40"/>
        <v>P</v>
      </c>
      <c r="L865" s="3" t="str">
        <f t="shared" si="41"/>
        <v>B</v>
      </c>
    </row>
    <row r="866" spans="1:12" ht="14.25" customHeight="1">
      <c r="A866" s="3">
        <v>865</v>
      </c>
      <c r="B866" s="3" t="s">
        <v>4141</v>
      </c>
      <c r="C866" s="3" t="s">
        <v>1226</v>
      </c>
      <c r="D866" s="3">
        <v>9876544440</v>
      </c>
      <c r="E866" s="3" t="s">
        <v>4419</v>
      </c>
      <c r="F866" s="3" t="str" cm="1">
        <f t="array" ref="F866">IF(E866="","",_xlfn.XLOOKUP(E866,{"FIRST","SECOND","THIRD","FOURTH"},{"SEM-1","SEM-2","SEM-3","SEM-4"},""))</f>
        <v>SEM-2</v>
      </c>
      <c r="G866" s="3">
        <v>32</v>
      </c>
      <c r="H866" s="3">
        <v>79</v>
      </c>
      <c r="I866" s="3">
        <v>48</v>
      </c>
      <c r="J866" s="3">
        <f t="shared" si="39"/>
        <v>159</v>
      </c>
      <c r="K866" s="3" t="str">
        <f t="shared" si="40"/>
        <v>P</v>
      </c>
      <c r="L866" s="3" t="str">
        <f t="shared" si="41"/>
        <v>B</v>
      </c>
    </row>
    <row r="867" spans="1:12" ht="14.25" customHeight="1">
      <c r="A867" s="3">
        <v>866</v>
      </c>
      <c r="B867" s="3" t="s">
        <v>3949</v>
      </c>
      <c r="C867" s="3" t="s">
        <v>1039</v>
      </c>
      <c r="D867" s="3">
        <v>9876544248</v>
      </c>
      <c r="E867" s="3" t="s">
        <v>4418</v>
      </c>
      <c r="F867" s="3" t="str" cm="1">
        <f t="array" ref="F867">IF(E867="","",_xlfn.XLOOKUP(E867,{"FIRST","SECOND","THIRD","FOURTH"},{"SEM-1","SEM-2","SEM-3","SEM-4"},""))</f>
        <v>SEM-1</v>
      </c>
      <c r="G867" s="3">
        <v>75</v>
      </c>
      <c r="H867" s="3">
        <v>77</v>
      </c>
      <c r="I867" s="3">
        <v>77</v>
      </c>
      <c r="J867" s="3">
        <f t="shared" si="39"/>
        <v>229</v>
      </c>
      <c r="K867" s="3" t="str">
        <f t="shared" si="40"/>
        <v>P</v>
      </c>
      <c r="L867" s="3" t="str">
        <f t="shared" si="41"/>
        <v>A</v>
      </c>
    </row>
    <row r="868" spans="1:12" ht="14.25" customHeight="1">
      <c r="A868" s="3">
        <v>867</v>
      </c>
      <c r="B868" s="3" t="s">
        <v>4185</v>
      </c>
      <c r="C868" s="3" t="s">
        <v>1270</v>
      </c>
      <c r="D868" s="3">
        <v>9876544484</v>
      </c>
      <c r="E868" s="3" t="s">
        <v>4419</v>
      </c>
      <c r="F868" s="3" t="str" cm="1">
        <f t="array" ref="F868">IF(E868="","",_xlfn.XLOOKUP(E868,{"FIRST","SECOND","THIRD","FOURTH"},{"SEM-1","SEM-2","SEM-3","SEM-4"},""))</f>
        <v>SEM-2</v>
      </c>
      <c r="G868" s="3">
        <v>28</v>
      </c>
      <c r="H868" s="3">
        <v>80</v>
      </c>
      <c r="I868" s="3">
        <v>32</v>
      </c>
      <c r="J868" s="3">
        <f t="shared" si="39"/>
        <v>140</v>
      </c>
      <c r="K868" s="3" t="str">
        <f t="shared" si="40"/>
        <v>P</v>
      </c>
      <c r="L868" s="3" t="str">
        <f t="shared" si="41"/>
        <v>C</v>
      </c>
    </row>
    <row r="869" spans="1:12" ht="14.25" customHeight="1">
      <c r="A869" s="3">
        <v>868</v>
      </c>
      <c r="B869" s="3" t="s">
        <v>4065</v>
      </c>
      <c r="C869" s="3" t="s">
        <v>1151</v>
      </c>
      <c r="D869" s="3">
        <v>9876544364</v>
      </c>
      <c r="E869" s="3" t="s">
        <v>4419</v>
      </c>
      <c r="F869" s="3" t="str" cm="1">
        <f t="array" ref="F869">IF(E869="","",_xlfn.XLOOKUP(E869,{"FIRST","SECOND","THIRD","FOURTH"},{"SEM-1","SEM-2","SEM-3","SEM-4"},""))</f>
        <v>SEM-2</v>
      </c>
      <c r="G869" s="3">
        <v>85</v>
      </c>
      <c r="H869" s="3">
        <v>94</v>
      </c>
      <c r="I869" s="3">
        <v>4</v>
      </c>
      <c r="J869" s="3">
        <f t="shared" si="39"/>
        <v>183</v>
      </c>
      <c r="K869" s="3" t="str">
        <f t="shared" si="40"/>
        <v>P</v>
      </c>
      <c r="L869" s="3" t="str">
        <f t="shared" si="41"/>
        <v>B</v>
      </c>
    </row>
    <row r="870" spans="1:12" ht="14.25" customHeight="1">
      <c r="A870" s="3">
        <v>869</v>
      </c>
      <c r="B870" s="3" t="s">
        <v>3039</v>
      </c>
      <c r="C870" s="3" t="s">
        <v>137</v>
      </c>
      <c r="D870" s="3">
        <v>9876543338</v>
      </c>
      <c r="E870" s="3" t="s">
        <v>4419</v>
      </c>
      <c r="F870" s="3" t="str" cm="1">
        <f t="array" ref="F870">IF(E870="","",_xlfn.XLOOKUP(E870,{"FIRST","SECOND","THIRD","FOURTH"},{"SEM-1","SEM-2","SEM-3","SEM-4"},""))</f>
        <v>SEM-2</v>
      </c>
      <c r="G870" s="3">
        <v>12</v>
      </c>
      <c r="H870" s="3">
        <v>87</v>
      </c>
      <c r="I870" s="3">
        <v>80</v>
      </c>
      <c r="J870" s="3">
        <f t="shared" si="39"/>
        <v>179</v>
      </c>
      <c r="K870" s="3" t="str">
        <f t="shared" si="40"/>
        <v>P</v>
      </c>
      <c r="L870" s="3" t="str">
        <f t="shared" si="41"/>
        <v>B</v>
      </c>
    </row>
    <row r="871" spans="1:12" ht="14.25" customHeight="1">
      <c r="A871" s="3">
        <v>870</v>
      </c>
      <c r="B871" s="3" t="s">
        <v>2924</v>
      </c>
      <c r="C871" s="3" t="s">
        <v>22</v>
      </c>
      <c r="D871" s="3">
        <v>9876543223</v>
      </c>
      <c r="E871" s="3" t="s">
        <v>4419</v>
      </c>
      <c r="F871" s="3" t="str" cm="1">
        <f t="array" ref="F871">IF(E871="","",_xlfn.XLOOKUP(E871,{"FIRST","SECOND","THIRD","FOURTH"},{"SEM-1","SEM-2","SEM-3","SEM-4"},""))</f>
        <v>SEM-2</v>
      </c>
      <c r="G871" s="3">
        <v>33</v>
      </c>
      <c r="H871" s="3">
        <v>75</v>
      </c>
      <c r="I871" s="3">
        <v>19</v>
      </c>
      <c r="J871" s="3">
        <f t="shared" si="39"/>
        <v>127</v>
      </c>
      <c r="K871" s="3" t="str">
        <f t="shared" si="40"/>
        <v>P</v>
      </c>
      <c r="L871" s="3" t="str">
        <f t="shared" si="41"/>
        <v>C</v>
      </c>
    </row>
    <row r="872" spans="1:12" ht="14.25" customHeight="1">
      <c r="A872" s="3">
        <v>871</v>
      </c>
      <c r="B872" s="3" t="s">
        <v>3169</v>
      </c>
      <c r="C872" s="3" t="s">
        <v>267</v>
      </c>
      <c r="D872" s="3">
        <v>9876543468</v>
      </c>
      <c r="E872" s="3" t="s">
        <v>4419</v>
      </c>
      <c r="F872" s="3" t="str" cm="1">
        <f t="array" ref="F872">IF(E872="","",_xlfn.XLOOKUP(E872,{"FIRST","SECOND","THIRD","FOURTH"},{"SEM-1","SEM-2","SEM-3","SEM-4"},""))</f>
        <v>SEM-2</v>
      </c>
      <c r="G872" s="3">
        <v>31</v>
      </c>
      <c r="H872" s="3">
        <v>5</v>
      </c>
      <c r="I872" s="3">
        <v>48</v>
      </c>
      <c r="J872" s="3">
        <f t="shared" si="39"/>
        <v>84</v>
      </c>
      <c r="K872" s="3" t="str">
        <f t="shared" si="40"/>
        <v>F</v>
      </c>
      <c r="L872" s="3" t="str">
        <f t="shared" si="41"/>
        <v>FAIL</v>
      </c>
    </row>
    <row r="873" spans="1:12" ht="14.25" customHeight="1">
      <c r="A873" s="3">
        <v>872</v>
      </c>
      <c r="B873" s="3" t="s">
        <v>3283</v>
      </c>
      <c r="C873" s="3" t="s">
        <v>380</v>
      </c>
      <c r="D873" s="3">
        <v>9876543582</v>
      </c>
      <c r="E873" s="3" t="s">
        <v>4420</v>
      </c>
      <c r="F873" s="3" t="str" cm="1">
        <f t="array" ref="F873">IF(E873="","",_xlfn.XLOOKUP(E873,{"FIRST","SECOND","THIRD","FOURTH"},{"SEM-1","SEM-2","SEM-3","SEM-4"},""))</f>
        <v>SEM-3</v>
      </c>
      <c r="G873" s="3">
        <v>71</v>
      </c>
      <c r="H873" s="3">
        <v>64</v>
      </c>
      <c r="I873" s="3">
        <v>39</v>
      </c>
      <c r="J873" s="3">
        <f t="shared" si="39"/>
        <v>174</v>
      </c>
      <c r="K873" s="3" t="str">
        <f t="shared" si="40"/>
        <v>P</v>
      </c>
      <c r="L873" s="3" t="str">
        <f t="shared" si="41"/>
        <v>B</v>
      </c>
    </row>
    <row r="874" spans="1:12" ht="14.25" customHeight="1">
      <c r="A874" s="3">
        <v>873</v>
      </c>
      <c r="B874" s="3" t="s">
        <v>3541</v>
      </c>
      <c r="C874" s="3" t="s">
        <v>635</v>
      </c>
      <c r="D874" s="3">
        <v>9876543840</v>
      </c>
      <c r="E874" s="3" t="s">
        <v>4420</v>
      </c>
      <c r="F874" s="3" t="str" cm="1">
        <f t="array" ref="F874">IF(E874="","",_xlfn.XLOOKUP(E874,{"FIRST","SECOND","THIRD","FOURTH"},{"SEM-1","SEM-2","SEM-3","SEM-4"},""))</f>
        <v>SEM-3</v>
      </c>
      <c r="G874" s="3">
        <v>70</v>
      </c>
      <c r="H874" s="3">
        <v>16</v>
      </c>
      <c r="I874" s="3">
        <v>70</v>
      </c>
      <c r="J874" s="3">
        <f t="shared" si="39"/>
        <v>156</v>
      </c>
      <c r="K874" s="3" t="str">
        <f t="shared" si="40"/>
        <v>P</v>
      </c>
      <c r="L874" s="3" t="str">
        <f t="shared" si="41"/>
        <v>B</v>
      </c>
    </row>
    <row r="875" spans="1:12" ht="14.25" customHeight="1">
      <c r="A875" s="3">
        <v>874</v>
      </c>
      <c r="B875" s="3" t="s">
        <v>3198</v>
      </c>
      <c r="C875" s="3" t="s">
        <v>296</v>
      </c>
      <c r="D875" s="3">
        <v>9876543497</v>
      </c>
      <c r="E875" s="3" t="s">
        <v>4420</v>
      </c>
      <c r="F875" s="3" t="str" cm="1">
        <f t="array" ref="F875">IF(E875="","",_xlfn.XLOOKUP(E875,{"FIRST","SECOND","THIRD","FOURTH"},{"SEM-1","SEM-2","SEM-3","SEM-4"},""))</f>
        <v>SEM-3</v>
      </c>
      <c r="G875" s="3">
        <v>15</v>
      </c>
      <c r="H875" s="3">
        <v>99</v>
      </c>
      <c r="I875" s="3">
        <v>54</v>
      </c>
      <c r="J875" s="3">
        <f t="shared" si="39"/>
        <v>168</v>
      </c>
      <c r="K875" s="3" t="str">
        <f t="shared" si="40"/>
        <v>P</v>
      </c>
      <c r="L875" s="3" t="str">
        <f t="shared" si="41"/>
        <v>B</v>
      </c>
    </row>
    <row r="876" spans="1:12" ht="14.25" customHeight="1">
      <c r="A876" s="3">
        <v>875</v>
      </c>
      <c r="B876" s="3" t="s">
        <v>3266</v>
      </c>
      <c r="C876" s="3" t="s">
        <v>363</v>
      </c>
      <c r="D876" s="3">
        <v>9876543565</v>
      </c>
      <c r="E876" s="3" t="s">
        <v>4420</v>
      </c>
      <c r="F876" s="3" t="str" cm="1">
        <f t="array" ref="F876">IF(E876="","",_xlfn.XLOOKUP(E876,{"FIRST","SECOND","THIRD","FOURTH"},{"SEM-1","SEM-2","SEM-3","SEM-4"},""))</f>
        <v>SEM-3</v>
      </c>
      <c r="G876" s="3">
        <v>33</v>
      </c>
      <c r="H876" s="3">
        <v>36</v>
      </c>
      <c r="I876" s="3">
        <v>80</v>
      </c>
      <c r="J876" s="3">
        <f t="shared" si="39"/>
        <v>149</v>
      </c>
      <c r="K876" s="3" t="str">
        <f t="shared" si="40"/>
        <v>P</v>
      </c>
      <c r="L876" s="3" t="str">
        <f t="shared" si="41"/>
        <v>C</v>
      </c>
    </row>
    <row r="877" spans="1:12" ht="14.25" customHeight="1">
      <c r="A877" s="3">
        <v>876</v>
      </c>
      <c r="B877" s="3" t="s">
        <v>3320</v>
      </c>
      <c r="C877" s="3" t="s">
        <v>416</v>
      </c>
      <c r="D877" s="3">
        <v>9876543619</v>
      </c>
      <c r="E877" s="3" t="s">
        <v>4420</v>
      </c>
      <c r="F877" s="3" t="str" cm="1">
        <f t="array" ref="F877">IF(E877="","",_xlfn.XLOOKUP(E877,{"FIRST","SECOND","THIRD","FOURTH"},{"SEM-1","SEM-2","SEM-3","SEM-4"},""))</f>
        <v>SEM-3</v>
      </c>
      <c r="G877" s="3">
        <v>19</v>
      </c>
      <c r="H877" s="3">
        <v>20</v>
      </c>
      <c r="I877" s="3">
        <v>81</v>
      </c>
      <c r="J877" s="3">
        <f t="shared" si="39"/>
        <v>120</v>
      </c>
      <c r="K877" s="3" t="str">
        <f t="shared" si="40"/>
        <v>P</v>
      </c>
      <c r="L877" s="3" t="str">
        <f t="shared" si="41"/>
        <v>C</v>
      </c>
    </row>
    <row r="878" spans="1:12" ht="14.25" customHeight="1">
      <c r="A878" s="3">
        <v>877</v>
      </c>
      <c r="B878" s="3" t="s">
        <v>3944</v>
      </c>
      <c r="C878" s="3" t="s">
        <v>1034</v>
      </c>
      <c r="D878" s="3">
        <v>9876544243</v>
      </c>
      <c r="E878" s="3" t="s">
        <v>4420</v>
      </c>
      <c r="F878" s="3" t="str" cm="1">
        <f t="array" ref="F878">IF(E878="","",_xlfn.XLOOKUP(E878,{"FIRST","SECOND","THIRD","FOURTH"},{"SEM-1","SEM-2","SEM-3","SEM-4"},""))</f>
        <v>SEM-3</v>
      </c>
      <c r="G878" s="3">
        <v>32</v>
      </c>
      <c r="H878" s="3">
        <v>10</v>
      </c>
      <c r="I878" s="3">
        <v>2</v>
      </c>
      <c r="J878" s="3">
        <f t="shared" si="39"/>
        <v>44</v>
      </c>
      <c r="K878" s="3" t="str">
        <f t="shared" si="40"/>
        <v>F</v>
      </c>
      <c r="L878" s="3" t="str">
        <f t="shared" si="41"/>
        <v>FAIL</v>
      </c>
    </row>
    <row r="879" spans="1:12" ht="14.25" customHeight="1">
      <c r="A879" s="3">
        <v>878</v>
      </c>
      <c r="B879" s="3" t="s">
        <v>3582</v>
      </c>
      <c r="C879" s="3" t="s">
        <v>676</v>
      </c>
      <c r="D879" s="3">
        <v>9876543881</v>
      </c>
      <c r="E879" s="3" t="s">
        <v>4420</v>
      </c>
      <c r="F879" s="3" t="str" cm="1">
        <f t="array" ref="F879">IF(E879="","",_xlfn.XLOOKUP(E879,{"FIRST","SECOND","THIRD","FOURTH"},{"SEM-1","SEM-2","SEM-3","SEM-4"},""))</f>
        <v>SEM-3</v>
      </c>
      <c r="G879" s="3">
        <v>32</v>
      </c>
      <c r="H879" s="3">
        <v>21</v>
      </c>
      <c r="I879" s="3">
        <v>15</v>
      </c>
      <c r="J879" s="3">
        <f t="shared" si="39"/>
        <v>68</v>
      </c>
      <c r="K879" s="3" t="str">
        <f t="shared" si="40"/>
        <v>F</v>
      </c>
      <c r="L879" s="3" t="str">
        <f t="shared" si="41"/>
        <v>FAIL</v>
      </c>
    </row>
    <row r="880" spans="1:12" ht="14.25" customHeight="1">
      <c r="A880" s="3">
        <v>879</v>
      </c>
      <c r="B880" s="3" t="s">
        <v>4275</v>
      </c>
      <c r="C880" s="3" t="s">
        <v>1356</v>
      </c>
      <c r="D880" s="3">
        <v>9876544574</v>
      </c>
      <c r="E880" s="3" t="s">
        <v>4419</v>
      </c>
      <c r="F880" s="3" t="str" cm="1">
        <f t="array" ref="F880">IF(E880="","",_xlfn.XLOOKUP(E880,{"FIRST","SECOND","THIRD","FOURTH"},{"SEM-1","SEM-2","SEM-3","SEM-4"},""))</f>
        <v>SEM-2</v>
      </c>
      <c r="G880" s="3">
        <v>17</v>
      </c>
      <c r="H880" s="3">
        <v>1</v>
      </c>
      <c r="I880" s="3">
        <v>53</v>
      </c>
      <c r="J880" s="3">
        <f t="shared" si="39"/>
        <v>71</v>
      </c>
      <c r="K880" s="3" t="str">
        <f t="shared" si="40"/>
        <v>F</v>
      </c>
      <c r="L880" s="3" t="str">
        <f t="shared" si="41"/>
        <v>FAIL</v>
      </c>
    </row>
    <row r="881" spans="1:12" ht="14.25" customHeight="1">
      <c r="A881" s="3">
        <v>880</v>
      </c>
      <c r="B881" s="3" t="s">
        <v>3681</v>
      </c>
      <c r="C881" s="3" t="s">
        <v>774</v>
      </c>
      <c r="D881" s="3">
        <v>9876543980</v>
      </c>
      <c r="E881" s="3" t="s">
        <v>4418</v>
      </c>
      <c r="F881" s="3" t="str" cm="1">
        <f t="array" ref="F881">IF(E881="","",_xlfn.XLOOKUP(E881,{"FIRST","SECOND","THIRD","FOURTH"},{"SEM-1","SEM-2","SEM-3","SEM-4"},""))</f>
        <v>SEM-1</v>
      </c>
      <c r="G881" s="3">
        <v>44</v>
      </c>
      <c r="H881" s="3">
        <v>93</v>
      </c>
      <c r="I881" s="3">
        <v>11</v>
      </c>
      <c r="J881" s="3">
        <f t="shared" si="39"/>
        <v>148</v>
      </c>
      <c r="K881" s="3" t="str">
        <f t="shared" si="40"/>
        <v>P</v>
      </c>
      <c r="L881" s="3" t="str">
        <f t="shared" si="41"/>
        <v>C</v>
      </c>
    </row>
    <row r="882" spans="1:12" ht="14.25" customHeight="1">
      <c r="A882" s="3">
        <v>881</v>
      </c>
      <c r="B882" s="3" t="s">
        <v>3287</v>
      </c>
      <c r="C882" s="3" t="s">
        <v>384</v>
      </c>
      <c r="D882" s="3">
        <v>9876543586</v>
      </c>
      <c r="E882" s="3" t="s">
        <v>4419</v>
      </c>
      <c r="F882" s="3" t="str" cm="1">
        <f t="array" ref="F882">IF(E882="","",_xlfn.XLOOKUP(E882,{"FIRST","SECOND","THIRD","FOURTH"},{"SEM-1","SEM-2","SEM-3","SEM-4"},""))</f>
        <v>SEM-2</v>
      </c>
      <c r="G882" s="3">
        <v>68</v>
      </c>
      <c r="H882" s="3">
        <v>98</v>
      </c>
      <c r="I882" s="3">
        <v>63</v>
      </c>
      <c r="J882" s="3">
        <f t="shared" si="39"/>
        <v>229</v>
      </c>
      <c r="K882" s="3" t="str">
        <f t="shared" si="40"/>
        <v>P</v>
      </c>
      <c r="L882" s="3" t="str">
        <f t="shared" si="41"/>
        <v>A</v>
      </c>
    </row>
    <row r="883" spans="1:12" ht="14.25" customHeight="1">
      <c r="A883" s="3">
        <v>882</v>
      </c>
      <c r="B883" s="3" t="s">
        <v>4289</v>
      </c>
      <c r="C883" s="3" t="s">
        <v>1370</v>
      </c>
      <c r="D883" s="3">
        <v>9876544588</v>
      </c>
      <c r="E883" s="3" t="s">
        <v>4420</v>
      </c>
      <c r="F883" s="3" t="str" cm="1">
        <f t="array" ref="F883">IF(E883="","",_xlfn.XLOOKUP(E883,{"FIRST","SECOND","THIRD","FOURTH"},{"SEM-1","SEM-2","SEM-3","SEM-4"},""))</f>
        <v>SEM-3</v>
      </c>
      <c r="G883" s="3">
        <v>22</v>
      </c>
      <c r="H883" s="3">
        <v>9</v>
      </c>
      <c r="I883" s="3">
        <v>0</v>
      </c>
      <c r="J883" s="3">
        <f t="shared" si="39"/>
        <v>31</v>
      </c>
      <c r="K883" s="3" t="str">
        <f t="shared" si="40"/>
        <v>F</v>
      </c>
      <c r="L883" s="3" t="str">
        <f t="shared" si="41"/>
        <v>FAIL</v>
      </c>
    </row>
    <row r="884" spans="1:12" ht="14.25" customHeight="1">
      <c r="A884" s="3">
        <v>883</v>
      </c>
      <c r="B884" s="3" t="s">
        <v>4309</v>
      </c>
      <c r="C884" s="3" t="s">
        <v>1389</v>
      </c>
      <c r="D884" s="3">
        <v>9876544608</v>
      </c>
      <c r="E884" s="3" t="s">
        <v>4419</v>
      </c>
      <c r="F884" s="3" t="str" cm="1">
        <f t="array" ref="F884">IF(E884="","",_xlfn.XLOOKUP(E884,{"FIRST","SECOND","THIRD","FOURTH"},{"SEM-1","SEM-2","SEM-3","SEM-4"},""))</f>
        <v>SEM-2</v>
      </c>
      <c r="G884" s="3">
        <v>33</v>
      </c>
      <c r="H884" s="3">
        <v>9</v>
      </c>
      <c r="I884" s="3">
        <v>33</v>
      </c>
      <c r="J884" s="3">
        <f t="shared" si="39"/>
        <v>75</v>
      </c>
      <c r="K884" s="3" t="str">
        <f t="shared" si="40"/>
        <v>F</v>
      </c>
      <c r="L884" s="3" t="str">
        <f t="shared" si="41"/>
        <v>FAIL</v>
      </c>
    </row>
    <row r="885" spans="1:12" ht="14.25" customHeight="1">
      <c r="A885" s="3">
        <v>884</v>
      </c>
      <c r="B885" s="3" t="s">
        <v>3140</v>
      </c>
      <c r="C885" s="3" t="s">
        <v>238</v>
      </c>
      <c r="D885" s="3">
        <v>9876543439</v>
      </c>
      <c r="E885" s="3" t="s">
        <v>4418</v>
      </c>
      <c r="F885" s="3" t="str" cm="1">
        <f t="array" ref="F885">IF(E885="","",_xlfn.XLOOKUP(E885,{"FIRST","SECOND","THIRD","FOURTH"},{"SEM-1","SEM-2","SEM-3","SEM-4"},""))</f>
        <v>SEM-1</v>
      </c>
      <c r="G885" s="3">
        <v>5</v>
      </c>
      <c r="H885" s="3">
        <v>50</v>
      </c>
      <c r="I885" s="3">
        <v>57</v>
      </c>
      <c r="J885" s="3">
        <f t="shared" si="39"/>
        <v>112</v>
      </c>
      <c r="K885" s="3" t="str">
        <f t="shared" si="40"/>
        <v>F</v>
      </c>
      <c r="L885" s="3" t="str">
        <f t="shared" si="41"/>
        <v>FAIL</v>
      </c>
    </row>
    <row r="886" spans="1:12" ht="14.25" customHeight="1">
      <c r="A886" s="3">
        <v>885</v>
      </c>
      <c r="B886" s="3" t="s">
        <v>3867</v>
      </c>
      <c r="C886" s="3" t="s">
        <v>958</v>
      </c>
      <c r="D886" s="3">
        <v>9876544166</v>
      </c>
      <c r="E886" s="3" t="s">
        <v>4419</v>
      </c>
      <c r="F886" s="3" t="str" cm="1">
        <f t="array" ref="F886">IF(E886="","",_xlfn.XLOOKUP(E886,{"FIRST","SECOND","THIRD","FOURTH"},{"SEM-1","SEM-2","SEM-3","SEM-4"},""))</f>
        <v>SEM-2</v>
      </c>
      <c r="G886" s="3">
        <v>62</v>
      </c>
      <c r="H886" s="3">
        <v>37</v>
      </c>
      <c r="I886" s="3">
        <v>63</v>
      </c>
      <c r="J886" s="3">
        <f t="shared" si="39"/>
        <v>162</v>
      </c>
      <c r="K886" s="3" t="str">
        <f t="shared" si="40"/>
        <v>P</v>
      </c>
      <c r="L886" s="3" t="str">
        <f t="shared" si="41"/>
        <v>B</v>
      </c>
    </row>
    <row r="887" spans="1:12" ht="14.25" customHeight="1">
      <c r="A887" s="3">
        <v>886</v>
      </c>
      <c r="B887" s="3" t="s">
        <v>4068</v>
      </c>
      <c r="C887" s="3" t="s">
        <v>1154</v>
      </c>
      <c r="D887" s="3">
        <v>9876544367</v>
      </c>
      <c r="E887" s="3" t="s">
        <v>4418</v>
      </c>
      <c r="F887" s="3" t="str" cm="1">
        <f t="array" ref="F887">IF(E887="","",_xlfn.XLOOKUP(E887,{"FIRST","SECOND","THIRD","FOURTH"},{"SEM-1","SEM-2","SEM-3","SEM-4"},""))</f>
        <v>SEM-1</v>
      </c>
      <c r="G887" s="3">
        <v>49</v>
      </c>
      <c r="H887" s="3">
        <v>5</v>
      </c>
      <c r="I887" s="3">
        <v>9</v>
      </c>
      <c r="J887" s="3">
        <f t="shared" si="39"/>
        <v>63</v>
      </c>
      <c r="K887" s="3" t="str">
        <f t="shared" si="40"/>
        <v>F</v>
      </c>
      <c r="L887" s="3" t="str">
        <f t="shared" si="41"/>
        <v>FAIL</v>
      </c>
    </row>
    <row r="888" spans="1:12" ht="14.25" customHeight="1">
      <c r="A888" s="3">
        <v>887</v>
      </c>
      <c r="B888" s="3" t="s">
        <v>3493</v>
      </c>
      <c r="C888" s="3" t="s">
        <v>588</v>
      </c>
      <c r="D888" s="3">
        <v>9876543792</v>
      </c>
      <c r="E888" s="3" t="s">
        <v>4419</v>
      </c>
      <c r="F888" s="3" t="str" cm="1">
        <f t="array" ref="F888">IF(E888="","",_xlfn.XLOOKUP(E888,{"FIRST","SECOND","THIRD","FOURTH"},{"SEM-1","SEM-2","SEM-3","SEM-4"},""))</f>
        <v>SEM-2</v>
      </c>
      <c r="G888" s="3">
        <v>72</v>
      </c>
      <c r="H888" s="3">
        <v>8</v>
      </c>
      <c r="I888" s="3">
        <v>23</v>
      </c>
      <c r="J888" s="3">
        <f t="shared" si="39"/>
        <v>103</v>
      </c>
      <c r="K888" s="3" t="str">
        <f t="shared" si="40"/>
        <v>P</v>
      </c>
      <c r="L888" s="3" t="str">
        <f t="shared" si="41"/>
        <v>FAIL</v>
      </c>
    </row>
    <row r="889" spans="1:12" ht="14.25" customHeight="1">
      <c r="A889" s="3">
        <v>888</v>
      </c>
      <c r="B889" s="3" t="s">
        <v>3858</v>
      </c>
      <c r="C889" s="3" t="s">
        <v>950</v>
      </c>
      <c r="D889" s="3">
        <v>9876544157</v>
      </c>
      <c r="E889" s="3" t="s">
        <v>4420</v>
      </c>
      <c r="F889" s="3" t="str" cm="1">
        <f t="array" ref="F889">IF(E889="","",_xlfn.XLOOKUP(E889,{"FIRST","SECOND","THIRD","FOURTH"},{"SEM-1","SEM-2","SEM-3","SEM-4"},""))</f>
        <v>SEM-3</v>
      </c>
      <c r="G889" s="3">
        <v>9</v>
      </c>
      <c r="H889" s="3">
        <v>59</v>
      </c>
      <c r="I889" s="3">
        <v>50</v>
      </c>
      <c r="J889" s="3">
        <f t="shared" si="39"/>
        <v>118</v>
      </c>
      <c r="K889" s="3" t="str">
        <f t="shared" si="40"/>
        <v>F</v>
      </c>
      <c r="L889" s="3" t="str">
        <f t="shared" si="41"/>
        <v>FAIL</v>
      </c>
    </row>
    <row r="890" spans="1:12" ht="14.25" customHeight="1">
      <c r="A890" s="3">
        <v>889</v>
      </c>
      <c r="B890" s="3" t="s">
        <v>2975</v>
      </c>
      <c r="C890" s="3" t="s">
        <v>73</v>
      </c>
      <c r="D890" s="3">
        <v>9876543274</v>
      </c>
      <c r="E890" s="3" t="s">
        <v>4419</v>
      </c>
      <c r="F890" s="3" t="str" cm="1">
        <f t="array" ref="F890">IF(E890="","",_xlfn.XLOOKUP(E890,{"FIRST","SECOND","THIRD","FOURTH"},{"SEM-1","SEM-2","SEM-3","SEM-4"},""))</f>
        <v>SEM-2</v>
      </c>
      <c r="G890" s="3">
        <v>28</v>
      </c>
      <c r="H890" s="3">
        <v>86</v>
      </c>
      <c r="I890" s="3">
        <v>10</v>
      </c>
      <c r="J890" s="3">
        <f t="shared" si="39"/>
        <v>124</v>
      </c>
      <c r="K890" s="3" t="str">
        <f t="shared" si="40"/>
        <v>P</v>
      </c>
      <c r="L890" s="3" t="str">
        <f t="shared" si="41"/>
        <v>C</v>
      </c>
    </row>
    <row r="891" spans="1:12" ht="14.25" customHeight="1">
      <c r="A891" s="3">
        <v>890</v>
      </c>
      <c r="B891" s="3" t="s">
        <v>3651</v>
      </c>
      <c r="C891" s="3" t="s">
        <v>745</v>
      </c>
      <c r="D891" s="3">
        <v>9876543950</v>
      </c>
      <c r="E891" s="3" t="s">
        <v>4418</v>
      </c>
      <c r="F891" s="3" t="str" cm="1">
        <f t="array" ref="F891">IF(E891="","",_xlfn.XLOOKUP(E891,{"FIRST","SECOND","THIRD","FOURTH"},{"SEM-1","SEM-2","SEM-3","SEM-4"},""))</f>
        <v>SEM-1</v>
      </c>
      <c r="G891" s="3">
        <v>90</v>
      </c>
      <c r="H891" s="3">
        <v>66</v>
      </c>
      <c r="I891" s="3">
        <v>2</v>
      </c>
      <c r="J891" s="3">
        <f t="shared" si="39"/>
        <v>158</v>
      </c>
      <c r="K891" s="3" t="str">
        <f t="shared" si="40"/>
        <v>P</v>
      </c>
      <c r="L891" s="3" t="str">
        <f t="shared" si="41"/>
        <v>B</v>
      </c>
    </row>
    <row r="892" spans="1:12" ht="14.25" customHeight="1">
      <c r="A892" s="3">
        <v>891</v>
      </c>
      <c r="B892" s="3" t="s">
        <v>3065</v>
      </c>
      <c r="C892" s="3" t="s">
        <v>163</v>
      </c>
      <c r="D892" s="3">
        <v>9876543364</v>
      </c>
      <c r="E892" s="3" t="s">
        <v>4419</v>
      </c>
      <c r="F892" s="3" t="str" cm="1">
        <f t="array" ref="F892">IF(E892="","",_xlfn.XLOOKUP(E892,{"FIRST","SECOND","THIRD","FOURTH"},{"SEM-1","SEM-2","SEM-3","SEM-4"},""))</f>
        <v>SEM-2</v>
      </c>
      <c r="G892" s="3">
        <v>30</v>
      </c>
      <c r="H892" s="3">
        <v>77</v>
      </c>
      <c r="I892" s="3">
        <v>95</v>
      </c>
      <c r="J892" s="3">
        <f t="shared" si="39"/>
        <v>202</v>
      </c>
      <c r="K892" s="3" t="str">
        <f t="shared" si="40"/>
        <v>P</v>
      </c>
      <c r="L892" s="3" t="str">
        <f t="shared" si="41"/>
        <v>A</v>
      </c>
    </row>
    <row r="893" spans="1:12" ht="14.25" customHeight="1">
      <c r="A893" s="3">
        <v>892</v>
      </c>
      <c r="B893" s="3" t="s">
        <v>3202</v>
      </c>
      <c r="C893" s="3" t="s">
        <v>300</v>
      </c>
      <c r="D893" s="3">
        <v>9876543501</v>
      </c>
      <c r="E893" s="3" t="s">
        <v>4420</v>
      </c>
      <c r="F893" s="3" t="str" cm="1">
        <f t="array" ref="F893">IF(E893="","",_xlfn.XLOOKUP(E893,{"FIRST","SECOND","THIRD","FOURTH"},{"SEM-1","SEM-2","SEM-3","SEM-4"},""))</f>
        <v>SEM-3</v>
      </c>
      <c r="G893" s="3">
        <v>14</v>
      </c>
      <c r="H893" s="3">
        <v>67</v>
      </c>
      <c r="I893" s="3">
        <v>1</v>
      </c>
      <c r="J893" s="3">
        <f t="shared" si="39"/>
        <v>82</v>
      </c>
      <c r="K893" s="3" t="str">
        <f t="shared" si="40"/>
        <v>F</v>
      </c>
      <c r="L893" s="3" t="str">
        <f t="shared" si="41"/>
        <v>FAIL</v>
      </c>
    </row>
    <row r="894" spans="1:12" ht="14.25" customHeight="1">
      <c r="A894" s="3">
        <v>893</v>
      </c>
      <c r="B894" s="3" t="s">
        <v>3009</v>
      </c>
      <c r="C894" s="3" t="s">
        <v>107</v>
      </c>
      <c r="D894" s="3">
        <v>9876543308</v>
      </c>
      <c r="E894" s="3" t="s">
        <v>4419</v>
      </c>
      <c r="F894" s="3" t="str" cm="1">
        <f t="array" ref="F894">IF(E894="","",_xlfn.XLOOKUP(E894,{"FIRST","SECOND","THIRD","FOURTH"},{"SEM-1","SEM-2","SEM-3","SEM-4"},""))</f>
        <v>SEM-2</v>
      </c>
      <c r="G894" s="3">
        <v>30</v>
      </c>
      <c r="H894" s="3">
        <v>91</v>
      </c>
      <c r="I894" s="3">
        <v>51</v>
      </c>
      <c r="J894" s="3">
        <f t="shared" si="39"/>
        <v>172</v>
      </c>
      <c r="K894" s="3" t="str">
        <f t="shared" si="40"/>
        <v>P</v>
      </c>
      <c r="L894" s="3" t="str">
        <f t="shared" si="41"/>
        <v>B</v>
      </c>
    </row>
    <row r="895" spans="1:12" ht="14.25" customHeight="1">
      <c r="A895" s="3">
        <v>894</v>
      </c>
      <c r="B895" s="3" t="s">
        <v>3607</v>
      </c>
      <c r="C895" s="3" t="s">
        <v>701</v>
      </c>
      <c r="D895" s="3">
        <v>9876543906</v>
      </c>
      <c r="E895" s="3" t="s">
        <v>4420</v>
      </c>
      <c r="F895" s="3" t="str" cm="1">
        <f t="array" ref="F895">IF(E895="","",_xlfn.XLOOKUP(E895,{"FIRST","SECOND","THIRD","FOURTH"},{"SEM-1","SEM-2","SEM-3","SEM-4"},""))</f>
        <v>SEM-3</v>
      </c>
      <c r="G895" s="3">
        <v>26</v>
      </c>
      <c r="H895" s="3">
        <v>29</v>
      </c>
      <c r="I895" s="3">
        <v>100</v>
      </c>
      <c r="J895" s="3">
        <f t="shared" si="39"/>
        <v>155</v>
      </c>
      <c r="K895" s="3" t="str">
        <f t="shared" si="40"/>
        <v>P</v>
      </c>
      <c r="L895" s="3" t="str">
        <f t="shared" si="41"/>
        <v>B</v>
      </c>
    </row>
    <row r="896" spans="1:12" ht="14.25" customHeight="1">
      <c r="A896" s="3">
        <v>895</v>
      </c>
      <c r="B896" s="3" t="s">
        <v>3106</v>
      </c>
      <c r="C896" s="3" t="s">
        <v>204</v>
      </c>
      <c r="D896" s="3">
        <v>9876543405</v>
      </c>
      <c r="E896" s="3" t="s">
        <v>4418</v>
      </c>
      <c r="F896" s="3" t="str" cm="1">
        <f t="array" ref="F896">IF(E896="","",_xlfn.XLOOKUP(E896,{"FIRST","SECOND","THIRD","FOURTH"},{"SEM-1","SEM-2","SEM-3","SEM-4"},""))</f>
        <v>SEM-1</v>
      </c>
      <c r="G896" s="3">
        <v>4</v>
      </c>
      <c r="H896" s="3">
        <v>40</v>
      </c>
      <c r="I896" s="3">
        <v>97</v>
      </c>
      <c r="J896" s="3">
        <f t="shared" si="39"/>
        <v>141</v>
      </c>
      <c r="K896" s="3" t="str">
        <f t="shared" si="40"/>
        <v>P</v>
      </c>
      <c r="L896" s="3" t="str">
        <f t="shared" si="41"/>
        <v>C</v>
      </c>
    </row>
    <row r="897" spans="1:12" ht="14.25" customHeight="1">
      <c r="A897" s="3">
        <v>896</v>
      </c>
      <c r="B897" s="3" t="s">
        <v>3517</v>
      </c>
      <c r="C897" s="3" t="s">
        <v>612</v>
      </c>
      <c r="D897" s="3">
        <v>9876543816</v>
      </c>
      <c r="E897" s="3" t="s">
        <v>4420</v>
      </c>
      <c r="F897" s="3" t="str" cm="1">
        <f t="array" ref="F897">IF(E897="","",_xlfn.XLOOKUP(E897,{"FIRST","SECOND","THIRD","FOURTH"},{"SEM-1","SEM-2","SEM-3","SEM-4"},""))</f>
        <v>SEM-3</v>
      </c>
      <c r="G897" s="3">
        <v>6</v>
      </c>
      <c r="H897" s="3">
        <v>22</v>
      </c>
      <c r="I897" s="3">
        <v>79</v>
      </c>
      <c r="J897" s="3">
        <f t="shared" si="39"/>
        <v>107</v>
      </c>
      <c r="K897" s="3" t="str">
        <f t="shared" si="40"/>
        <v>P</v>
      </c>
      <c r="L897" s="3" t="str">
        <f t="shared" si="41"/>
        <v>FAIL</v>
      </c>
    </row>
    <row r="898" spans="1:12" ht="14.25" customHeight="1">
      <c r="A898" s="3">
        <v>897</v>
      </c>
      <c r="B898" s="3" t="s">
        <v>3476</v>
      </c>
      <c r="C898" s="3" t="s">
        <v>572</v>
      </c>
      <c r="D898" s="3">
        <v>9876543775</v>
      </c>
      <c r="E898" s="3" t="s">
        <v>4419</v>
      </c>
      <c r="F898" s="3" t="str" cm="1">
        <f t="array" ref="F898">IF(E898="","",_xlfn.XLOOKUP(E898,{"FIRST","SECOND","THIRD","FOURTH"},{"SEM-1","SEM-2","SEM-3","SEM-4"},""))</f>
        <v>SEM-2</v>
      </c>
      <c r="G898" s="3">
        <v>18</v>
      </c>
      <c r="H898" s="3">
        <v>8</v>
      </c>
      <c r="I898" s="3">
        <v>82</v>
      </c>
      <c r="J898" s="3">
        <f t="shared" ref="J898:J961" si="42">SUM(G898:I898)</f>
        <v>108</v>
      </c>
      <c r="K898" s="3" t="str">
        <f t="shared" ref="K898:K961" si="43">IF(OR(G898&gt;=70,H898&gt;=70,I898&gt;=70,J898&gt;=120),"P","F")</f>
        <v>P</v>
      </c>
      <c r="L898" s="3" t="str">
        <f t="shared" ref="L898:L961" si="44">IF(J898&gt;=190,"A",IF(J898&gt;=150,"B",IF(J898&gt;=120,"C","FAIL")))</f>
        <v>FAIL</v>
      </c>
    </row>
    <row r="899" spans="1:12" ht="14.25" customHeight="1">
      <c r="A899" s="3">
        <v>898</v>
      </c>
      <c r="B899" s="3" t="s">
        <v>3746</v>
      </c>
      <c r="C899" s="3" t="s">
        <v>839</v>
      </c>
      <c r="D899" s="3">
        <v>9876544045</v>
      </c>
      <c r="E899" s="3" t="s">
        <v>4420</v>
      </c>
      <c r="F899" s="3" t="str" cm="1">
        <f t="array" ref="F899">IF(E899="","",_xlfn.XLOOKUP(E899,{"FIRST","SECOND","THIRD","FOURTH"},{"SEM-1","SEM-2","SEM-3","SEM-4"},""))</f>
        <v>SEM-3</v>
      </c>
      <c r="G899" s="3">
        <v>74</v>
      </c>
      <c r="H899" s="3">
        <v>34</v>
      </c>
      <c r="I899" s="3">
        <v>83</v>
      </c>
      <c r="J899" s="3">
        <f t="shared" si="42"/>
        <v>191</v>
      </c>
      <c r="K899" s="3" t="str">
        <f t="shared" si="43"/>
        <v>P</v>
      </c>
      <c r="L899" s="3" t="str">
        <f t="shared" si="44"/>
        <v>A</v>
      </c>
    </row>
    <row r="900" spans="1:12" ht="14.25" customHeight="1">
      <c r="A900" s="3">
        <v>899</v>
      </c>
      <c r="B900" s="3" t="s">
        <v>3613</v>
      </c>
      <c r="C900" s="3" t="s">
        <v>707</v>
      </c>
      <c r="D900" s="3">
        <v>9876543912</v>
      </c>
      <c r="E900" s="3" t="s">
        <v>4418</v>
      </c>
      <c r="F900" s="3" t="str" cm="1">
        <f t="array" ref="F900">IF(E900="","",_xlfn.XLOOKUP(E900,{"FIRST","SECOND","THIRD","FOURTH"},{"SEM-1","SEM-2","SEM-3","SEM-4"},""))</f>
        <v>SEM-1</v>
      </c>
      <c r="G900" s="3">
        <v>11</v>
      </c>
      <c r="H900" s="3">
        <v>17</v>
      </c>
      <c r="I900" s="3">
        <v>70</v>
      </c>
      <c r="J900" s="3">
        <f t="shared" si="42"/>
        <v>98</v>
      </c>
      <c r="K900" s="3" t="str">
        <f t="shared" si="43"/>
        <v>P</v>
      </c>
      <c r="L900" s="3" t="str">
        <f t="shared" si="44"/>
        <v>FAIL</v>
      </c>
    </row>
    <row r="901" spans="1:12" ht="14.25" customHeight="1">
      <c r="A901" s="3">
        <v>900</v>
      </c>
      <c r="B901" s="3" t="s">
        <v>3694</v>
      </c>
      <c r="C901" s="3" t="s">
        <v>787</v>
      </c>
      <c r="D901" s="3">
        <v>9876543993</v>
      </c>
      <c r="E901" s="3" t="s">
        <v>4420</v>
      </c>
      <c r="F901" s="3" t="str" cm="1">
        <f t="array" ref="F901">IF(E901="","",_xlfn.XLOOKUP(E901,{"FIRST","SECOND","THIRD","FOURTH"},{"SEM-1","SEM-2","SEM-3","SEM-4"},""))</f>
        <v>SEM-3</v>
      </c>
      <c r="G901" s="3">
        <v>81</v>
      </c>
      <c r="H901" s="3">
        <v>98</v>
      </c>
      <c r="I901" s="3">
        <v>88</v>
      </c>
      <c r="J901" s="3">
        <f t="shared" si="42"/>
        <v>267</v>
      </c>
      <c r="K901" s="3" t="str">
        <f t="shared" si="43"/>
        <v>P</v>
      </c>
      <c r="L901" s="3" t="str">
        <f t="shared" si="44"/>
        <v>A</v>
      </c>
    </row>
    <row r="902" spans="1:12" ht="14.25" customHeight="1">
      <c r="A902" s="3">
        <v>901</v>
      </c>
      <c r="B902" s="3" t="s">
        <v>4297</v>
      </c>
      <c r="C902" s="3" t="s">
        <v>1378</v>
      </c>
      <c r="D902" s="3">
        <v>9876544596</v>
      </c>
      <c r="E902" s="3" t="s">
        <v>4418</v>
      </c>
      <c r="F902" s="3" t="str" cm="1">
        <f t="array" ref="F902">IF(E902="","",_xlfn.XLOOKUP(E902,{"FIRST","SECOND","THIRD","FOURTH"},{"SEM-1","SEM-2","SEM-3","SEM-4"},""))</f>
        <v>SEM-1</v>
      </c>
      <c r="G902" s="3">
        <v>86</v>
      </c>
      <c r="H902" s="3">
        <v>61</v>
      </c>
      <c r="I902" s="3">
        <v>100</v>
      </c>
      <c r="J902" s="3">
        <f t="shared" si="42"/>
        <v>247</v>
      </c>
      <c r="K902" s="3" t="str">
        <f t="shared" si="43"/>
        <v>P</v>
      </c>
      <c r="L902" s="3" t="str">
        <f t="shared" si="44"/>
        <v>A</v>
      </c>
    </row>
    <row r="903" spans="1:12" ht="14.25" customHeight="1">
      <c r="A903" s="3">
        <v>902</v>
      </c>
      <c r="B903" s="3" t="s">
        <v>4014</v>
      </c>
      <c r="C903" s="3" t="s">
        <v>1103</v>
      </c>
      <c r="D903" s="3">
        <v>9876544313</v>
      </c>
      <c r="E903" s="3" t="s">
        <v>4419</v>
      </c>
      <c r="F903" s="3" t="str" cm="1">
        <f t="array" ref="F903">IF(E903="","",_xlfn.XLOOKUP(E903,{"FIRST","SECOND","THIRD","FOURTH"},{"SEM-1","SEM-2","SEM-3","SEM-4"},""))</f>
        <v>SEM-2</v>
      </c>
      <c r="G903" s="3">
        <v>35</v>
      </c>
      <c r="H903" s="3">
        <v>91</v>
      </c>
      <c r="I903" s="3">
        <v>93</v>
      </c>
      <c r="J903" s="3">
        <f t="shared" si="42"/>
        <v>219</v>
      </c>
      <c r="K903" s="3" t="str">
        <f t="shared" si="43"/>
        <v>P</v>
      </c>
      <c r="L903" s="3" t="str">
        <f t="shared" si="44"/>
        <v>A</v>
      </c>
    </row>
    <row r="904" spans="1:12" ht="14.25" customHeight="1">
      <c r="A904" s="3">
        <v>903</v>
      </c>
      <c r="B904" s="3" t="s">
        <v>3145</v>
      </c>
      <c r="C904" s="3" t="s">
        <v>243</v>
      </c>
      <c r="D904" s="3">
        <v>9876543444</v>
      </c>
      <c r="E904" s="3" t="s">
        <v>4419</v>
      </c>
      <c r="F904" s="3" t="str" cm="1">
        <f t="array" ref="F904">IF(E904="","",_xlfn.XLOOKUP(E904,{"FIRST","SECOND","THIRD","FOURTH"},{"SEM-1","SEM-2","SEM-3","SEM-4"},""))</f>
        <v>SEM-2</v>
      </c>
      <c r="G904" s="3">
        <v>44</v>
      </c>
      <c r="H904" s="3">
        <v>79</v>
      </c>
      <c r="I904" s="3">
        <v>94</v>
      </c>
      <c r="J904" s="3">
        <f t="shared" si="42"/>
        <v>217</v>
      </c>
      <c r="K904" s="3" t="str">
        <f t="shared" si="43"/>
        <v>P</v>
      </c>
      <c r="L904" s="3" t="str">
        <f t="shared" si="44"/>
        <v>A</v>
      </c>
    </row>
    <row r="905" spans="1:12" ht="14.25" customHeight="1">
      <c r="A905" s="3">
        <v>904</v>
      </c>
      <c r="B905" s="3" t="s">
        <v>3144</v>
      </c>
      <c r="C905" s="3" t="s">
        <v>242</v>
      </c>
      <c r="D905" s="3">
        <v>9876543443</v>
      </c>
      <c r="E905" s="3" t="s">
        <v>4418</v>
      </c>
      <c r="F905" s="3" t="str" cm="1">
        <f t="array" ref="F905">IF(E905="","",_xlfn.XLOOKUP(E905,{"FIRST","SECOND","THIRD","FOURTH"},{"SEM-1","SEM-2","SEM-3","SEM-4"},""))</f>
        <v>SEM-1</v>
      </c>
      <c r="G905" s="3">
        <v>61</v>
      </c>
      <c r="H905" s="3">
        <v>29</v>
      </c>
      <c r="I905" s="3">
        <v>23</v>
      </c>
      <c r="J905" s="3">
        <f t="shared" si="42"/>
        <v>113</v>
      </c>
      <c r="K905" s="3" t="str">
        <f t="shared" si="43"/>
        <v>F</v>
      </c>
      <c r="L905" s="3" t="str">
        <f t="shared" si="44"/>
        <v>FAIL</v>
      </c>
    </row>
    <row r="906" spans="1:12" ht="14.25" customHeight="1">
      <c r="A906" s="3">
        <v>905</v>
      </c>
      <c r="B906" s="3" t="s">
        <v>3785</v>
      </c>
      <c r="C906" s="3" t="s">
        <v>877</v>
      </c>
      <c r="D906" s="3">
        <v>9876544084</v>
      </c>
      <c r="E906" s="3" t="s">
        <v>4418</v>
      </c>
      <c r="F906" s="3" t="str" cm="1">
        <f t="array" ref="F906">IF(E906="","",_xlfn.XLOOKUP(E906,{"FIRST","SECOND","THIRD","FOURTH"},{"SEM-1","SEM-2","SEM-3","SEM-4"},""))</f>
        <v>SEM-1</v>
      </c>
      <c r="G906" s="3">
        <v>57</v>
      </c>
      <c r="H906" s="3">
        <v>48</v>
      </c>
      <c r="I906" s="3">
        <v>46</v>
      </c>
      <c r="J906" s="3">
        <f t="shared" si="42"/>
        <v>151</v>
      </c>
      <c r="K906" s="3" t="str">
        <f t="shared" si="43"/>
        <v>P</v>
      </c>
      <c r="L906" s="3" t="str">
        <f t="shared" si="44"/>
        <v>B</v>
      </c>
    </row>
    <row r="907" spans="1:12" ht="14.25" customHeight="1">
      <c r="A907" s="3">
        <v>906</v>
      </c>
      <c r="B907" s="3" t="s">
        <v>4140</v>
      </c>
      <c r="C907" s="3" t="s">
        <v>1225</v>
      </c>
      <c r="D907" s="3">
        <v>9876544439</v>
      </c>
      <c r="E907" s="3" t="s">
        <v>4419</v>
      </c>
      <c r="F907" s="3" t="str" cm="1">
        <f t="array" ref="F907">IF(E907="","",_xlfn.XLOOKUP(E907,{"FIRST","SECOND","THIRD","FOURTH"},{"SEM-1","SEM-2","SEM-3","SEM-4"},""))</f>
        <v>SEM-2</v>
      </c>
      <c r="G907" s="3">
        <v>96</v>
      </c>
      <c r="H907" s="3">
        <v>24</v>
      </c>
      <c r="I907" s="3">
        <v>87</v>
      </c>
      <c r="J907" s="3">
        <f t="shared" si="42"/>
        <v>207</v>
      </c>
      <c r="K907" s="3" t="str">
        <f t="shared" si="43"/>
        <v>P</v>
      </c>
      <c r="L907" s="3" t="str">
        <f t="shared" si="44"/>
        <v>A</v>
      </c>
    </row>
    <row r="908" spans="1:12" ht="14.25" customHeight="1">
      <c r="A908" s="3">
        <v>907</v>
      </c>
      <c r="B908" s="3" t="s">
        <v>4106</v>
      </c>
      <c r="C908" s="3" t="s">
        <v>1191</v>
      </c>
      <c r="D908" s="3">
        <v>9876544405</v>
      </c>
      <c r="E908" s="3" t="s">
        <v>4419</v>
      </c>
      <c r="F908" s="3" t="str" cm="1">
        <f t="array" ref="F908">IF(E908="","",_xlfn.XLOOKUP(E908,{"FIRST","SECOND","THIRD","FOURTH"},{"SEM-1","SEM-2","SEM-3","SEM-4"},""))</f>
        <v>SEM-2</v>
      </c>
      <c r="G908" s="3">
        <v>9</v>
      </c>
      <c r="H908" s="3">
        <v>69</v>
      </c>
      <c r="I908" s="3">
        <v>84</v>
      </c>
      <c r="J908" s="3">
        <f t="shared" si="42"/>
        <v>162</v>
      </c>
      <c r="K908" s="3" t="str">
        <f t="shared" si="43"/>
        <v>P</v>
      </c>
      <c r="L908" s="3" t="str">
        <f t="shared" si="44"/>
        <v>B</v>
      </c>
    </row>
    <row r="909" spans="1:12" ht="14.25" customHeight="1">
      <c r="A909" s="3">
        <v>908</v>
      </c>
      <c r="B909" s="3" t="s">
        <v>3860</v>
      </c>
      <c r="C909" s="3" t="s">
        <v>952</v>
      </c>
      <c r="D909" s="3">
        <v>9876544159</v>
      </c>
      <c r="E909" s="3" t="s">
        <v>4418</v>
      </c>
      <c r="F909" s="3" t="str" cm="1">
        <f t="array" ref="F909">IF(E909="","",_xlfn.XLOOKUP(E909,{"FIRST","SECOND","THIRD","FOURTH"},{"SEM-1","SEM-2","SEM-3","SEM-4"},""))</f>
        <v>SEM-1</v>
      </c>
      <c r="G909" s="3">
        <v>30</v>
      </c>
      <c r="H909" s="3">
        <v>65</v>
      </c>
      <c r="I909" s="3">
        <v>18</v>
      </c>
      <c r="J909" s="3">
        <f t="shared" si="42"/>
        <v>113</v>
      </c>
      <c r="K909" s="3" t="str">
        <f t="shared" si="43"/>
        <v>F</v>
      </c>
      <c r="L909" s="3" t="str">
        <f t="shared" si="44"/>
        <v>FAIL</v>
      </c>
    </row>
    <row r="910" spans="1:12" ht="14.25" customHeight="1">
      <c r="A910" s="3">
        <v>909</v>
      </c>
      <c r="B910" s="3" t="s">
        <v>3608</v>
      </c>
      <c r="C910" s="3" t="s">
        <v>702</v>
      </c>
      <c r="D910" s="3">
        <v>9876543907</v>
      </c>
      <c r="E910" s="3" t="s">
        <v>4418</v>
      </c>
      <c r="F910" s="3" t="str" cm="1">
        <f t="array" ref="F910">IF(E910="","",_xlfn.XLOOKUP(E910,{"FIRST","SECOND","THIRD","FOURTH"},{"SEM-1","SEM-2","SEM-3","SEM-4"},""))</f>
        <v>SEM-1</v>
      </c>
      <c r="G910" s="3">
        <v>78</v>
      </c>
      <c r="H910" s="3">
        <v>81</v>
      </c>
      <c r="I910" s="3">
        <v>55</v>
      </c>
      <c r="J910" s="3">
        <f t="shared" si="42"/>
        <v>214</v>
      </c>
      <c r="K910" s="3" t="str">
        <f t="shared" si="43"/>
        <v>P</v>
      </c>
      <c r="L910" s="3" t="str">
        <f t="shared" si="44"/>
        <v>A</v>
      </c>
    </row>
    <row r="911" spans="1:12" ht="14.25" customHeight="1">
      <c r="A911" s="3">
        <v>910</v>
      </c>
      <c r="B911" s="3" t="s">
        <v>4071</v>
      </c>
      <c r="C911" s="3" t="s">
        <v>1157</v>
      </c>
      <c r="D911" s="3">
        <v>9876544370</v>
      </c>
      <c r="E911" s="3" t="s">
        <v>4419</v>
      </c>
      <c r="F911" s="3" t="str" cm="1">
        <f t="array" ref="F911">IF(E911="","",_xlfn.XLOOKUP(E911,{"FIRST","SECOND","THIRD","FOURTH"},{"SEM-1","SEM-2","SEM-3","SEM-4"},""))</f>
        <v>SEM-2</v>
      </c>
      <c r="G911" s="3">
        <v>2</v>
      </c>
      <c r="H911" s="3">
        <v>78</v>
      </c>
      <c r="I911" s="3">
        <v>43</v>
      </c>
      <c r="J911" s="3">
        <f t="shared" si="42"/>
        <v>123</v>
      </c>
      <c r="K911" s="3" t="str">
        <f t="shared" si="43"/>
        <v>P</v>
      </c>
      <c r="L911" s="3" t="str">
        <f t="shared" si="44"/>
        <v>C</v>
      </c>
    </row>
    <row r="912" spans="1:12" ht="14.25" customHeight="1">
      <c r="A912" s="3">
        <v>911</v>
      </c>
      <c r="B912" s="3" t="s">
        <v>3981</v>
      </c>
      <c r="C912" s="3" t="s">
        <v>1071</v>
      </c>
      <c r="D912" s="3">
        <v>9876544280</v>
      </c>
      <c r="E912" s="3" t="s">
        <v>4419</v>
      </c>
      <c r="F912" s="3" t="str" cm="1">
        <f t="array" ref="F912">IF(E912="","",_xlfn.XLOOKUP(E912,{"FIRST","SECOND","THIRD","FOURTH"},{"SEM-1","SEM-2","SEM-3","SEM-4"},""))</f>
        <v>SEM-2</v>
      </c>
      <c r="G912" s="3">
        <v>97</v>
      </c>
      <c r="H912" s="3">
        <v>97</v>
      </c>
      <c r="I912" s="3">
        <v>79</v>
      </c>
      <c r="J912" s="3">
        <f t="shared" si="42"/>
        <v>273</v>
      </c>
      <c r="K912" s="3" t="str">
        <f t="shared" si="43"/>
        <v>P</v>
      </c>
      <c r="L912" s="3" t="str">
        <f t="shared" si="44"/>
        <v>A</v>
      </c>
    </row>
    <row r="913" spans="1:12" ht="14.25" customHeight="1">
      <c r="A913" s="3">
        <v>912</v>
      </c>
      <c r="B913" s="3" t="s">
        <v>2931</v>
      </c>
      <c r="C913" s="3" t="s">
        <v>29</v>
      </c>
      <c r="D913" s="3">
        <v>9876543230</v>
      </c>
      <c r="E913" s="3" t="s">
        <v>4419</v>
      </c>
      <c r="F913" s="3" t="str" cm="1">
        <f t="array" ref="F913">IF(E913="","",_xlfn.XLOOKUP(E913,{"FIRST","SECOND","THIRD","FOURTH"},{"SEM-1","SEM-2","SEM-3","SEM-4"},""))</f>
        <v>SEM-2</v>
      </c>
      <c r="G913" s="3">
        <v>15</v>
      </c>
      <c r="H913" s="3">
        <v>28</v>
      </c>
      <c r="I913" s="3">
        <v>6</v>
      </c>
      <c r="J913" s="3">
        <f t="shared" si="42"/>
        <v>49</v>
      </c>
      <c r="K913" s="3" t="str">
        <f t="shared" si="43"/>
        <v>F</v>
      </c>
      <c r="L913" s="3" t="str">
        <f t="shared" si="44"/>
        <v>FAIL</v>
      </c>
    </row>
    <row r="914" spans="1:12" ht="14.25" customHeight="1">
      <c r="A914" s="3">
        <v>913</v>
      </c>
      <c r="B914" s="3" t="s">
        <v>3505</v>
      </c>
      <c r="C914" s="3" t="s">
        <v>600</v>
      </c>
      <c r="D914" s="3">
        <v>9876543804</v>
      </c>
      <c r="E914" s="3" t="s">
        <v>4420</v>
      </c>
      <c r="F914" s="3" t="str" cm="1">
        <f t="array" ref="F914">IF(E914="","",_xlfn.XLOOKUP(E914,{"FIRST","SECOND","THIRD","FOURTH"},{"SEM-1","SEM-2","SEM-3","SEM-4"},""))</f>
        <v>SEM-3</v>
      </c>
      <c r="G914" s="3">
        <v>74</v>
      </c>
      <c r="H914" s="3">
        <v>76</v>
      </c>
      <c r="I914" s="3">
        <v>17</v>
      </c>
      <c r="J914" s="3">
        <f t="shared" si="42"/>
        <v>167</v>
      </c>
      <c r="K914" s="3" t="str">
        <f t="shared" si="43"/>
        <v>P</v>
      </c>
      <c r="L914" s="3" t="str">
        <f t="shared" si="44"/>
        <v>B</v>
      </c>
    </row>
    <row r="915" spans="1:12" ht="14.25" customHeight="1">
      <c r="A915" s="3">
        <v>914</v>
      </c>
      <c r="B915" s="3" t="s">
        <v>3378</v>
      </c>
      <c r="C915" s="3" t="s">
        <v>474</v>
      </c>
      <c r="D915" s="3">
        <v>9876543677</v>
      </c>
      <c r="E915" s="3" t="s">
        <v>4420</v>
      </c>
      <c r="F915" s="3" t="str" cm="1">
        <f t="array" ref="F915">IF(E915="","",_xlfn.XLOOKUP(E915,{"FIRST","SECOND","THIRD","FOURTH"},{"SEM-1","SEM-2","SEM-3","SEM-4"},""))</f>
        <v>SEM-3</v>
      </c>
      <c r="G915" s="3">
        <v>74</v>
      </c>
      <c r="H915" s="3">
        <v>6</v>
      </c>
      <c r="I915" s="3">
        <v>17</v>
      </c>
      <c r="J915" s="3">
        <f t="shared" si="42"/>
        <v>97</v>
      </c>
      <c r="K915" s="3" t="str">
        <f t="shared" si="43"/>
        <v>P</v>
      </c>
      <c r="L915" s="3" t="str">
        <f t="shared" si="44"/>
        <v>FAIL</v>
      </c>
    </row>
    <row r="916" spans="1:12" ht="14.25" customHeight="1">
      <c r="A916" s="3">
        <v>915</v>
      </c>
      <c r="B916" s="3" t="s">
        <v>3603</v>
      </c>
      <c r="C916" s="3" t="s">
        <v>697</v>
      </c>
      <c r="D916" s="3">
        <v>9876543902</v>
      </c>
      <c r="E916" s="3" t="s">
        <v>4420</v>
      </c>
      <c r="F916" s="3" t="str" cm="1">
        <f t="array" ref="F916">IF(E916="","",_xlfn.XLOOKUP(E916,{"FIRST","SECOND","THIRD","FOURTH"},{"SEM-1","SEM-2","SEM-3","SEM-4"},""))</f>
        <v>SEM-3</v>
      </c>
      <c r="G916" s="3">
        <v>42</v>
      </c>
      <c r="H916" s="3">
        <v>92</v>
      </c>
      <c r="I916" s="3">
        <v>57</v>
      </c>
      <c r="J916" s="3">
        <f t="shared" si="42"/>
        <v>191</v>
      </c>
      <c r="K916" s="3" t="str">
        <f t="shared" si="43"/>
        <v>P</v>
      </c>
      <c r="L916" s="3" t="str">
        <f t="shared" si="44"/>
        <v>A</v>
      </c>
    </row>
    <row r="917" spans="1:12" ht="14.25" customHeight="1">
      <c r="A917" s="3">
        <v>916</v>
      </c>
      <c r="B917" s="3" t="s">
        <v>2936</v>
      </c>
      <c r="C917" s="3" t="s">
        <v>34</v>
      </c>
      <c r="D917" s="3">
        <v>9876543235</v>
      </c>
      <c r="E917" s="3" t="s">
        <v>4418</v>
      </c>
      <c r="F917" s="3" t="str" cm="1">
        <f t="array" ref="F917">IF(E917="","",_xlfn.XLOOKUP(E917,{"FIRST","SECOND","THIRD","FOURTH"},{"SEM-1","SEM-2","SEM-3","SEM-4"},""))</f>
        <v>SEM-1</v>
      </c>
      <c r="G917" s="3">
        <v>60</v>
      </c>
      <c r="H917" s="3">
        <v>71</v>
      </c>
      <c r="I917" s="3">
        <v>9</v>
      </c>
      <c r="J917" s="3">
        <f t="shared" si="42"/>
        <v>140</v>
      </c>
      <c r="K917" s="3" t="str">
        <f t="shared" si="43"/>
        <v>P</v>
      </c>
      <c r="L917" s="3" t="str">
        <f t="shared" si="44"/>
        <v>C</v>
      </c>
    </row>
    <row r="918" spans="1:12" ht="14.25" customHeight="1">
      <c r="A918" s="3">
        <v>917</v>
      </c>
      <c r="B918" s="3" t="s">
        <v>4193</v>
      </c>
      <c r="C918" s="3" t="s">
        <v>1277</v>
      </c>
      <c r="D918" s="3">
        <v>9876544492</v>
      </c>
      <c r="E918" s="3" t="s">
        <v>4418</v>
      </c>
      <c r="F918" s="3" t="str" cm="1">
        <f t="array" ref="F918">IF(E918="","",_xlfn.XLOOKUP(E918,{"FIRST","SECOND","THIRD","FOURTH"},{"SEM-1","SEM-2","SEM-3","SEM-4"},""))</f>
        <v>SEM-1</v>
      </c>
      <c r="G918" s="3">
        <v>88</v>
      </c>
      <c r="H918" s="3">
        <v>26</v>
      </c>
      <c r="I918" s="3">
        <v>90</v>
      </c>
      <c r="J918" s="3">
        <f t="shared" si="42"/>
        <v>204</v>
      </c>
      <c r="K918" s="3" t="str">
        <f t="shared" si="43"/>
        <v>P</v>
      </c>
      <c r="L918" s="3" t="str">
        <f t="shared" si="44"/>
        <v>A</v>
      </c>
    </row>
    <row r="919" spans="1:12" ht="14.25" customHeight="1">
      <c r="A919" s="3">
        <v>918</v>
      </c>
      <c r="B919" s="3" t="s">
        <v>4357</v>
      </c>
      <c r="C919" s="3" t="s">
        <v>1436</v>
      </c>
      <c r="D919" s="3">
        <v>9876544656</v>
      </c>
      <c r="E919" s="3" t="s">
        <v>4420</v>
      </c>
      <c r="F919" s="3" t="str" cm="1">
        <f t="array" ref="F919">IF(E919="","",_xlfn.XLOOKUP(E919,{"FIRST","SECOND","THIRD","FOURTH"},{"SEM-1","SEM-2","SEM-3","SEM-4"},""))</f>
        <v>SEM-3</v>
      </c>
      <c r="G919" s="3">
        <v>59</v>
      </c>
      <c r="H919" s="3">
        <v>39</v>
      </c>
      <c r="I919" s="3">
        <v>60</v>
      </c>
      <c r="J919" s="3">
        <f t="shared" si="42"/>
        <v>158</v>
      </c>
      <c r="K919" s="3" t="str">
        <f t="shared" si="43"/>
        <v>P</v>
      </c>
      <c r="L919" s="3" t="str">
        <f t="shared" si="44"/>
        <v>B</v>
      </c>
    </row>
    <row r="920" spans="1:12" ht="14.25" customHeight="1">
      <c r="A920" s="3">
        <v>919</v>
      </c>
      <c r="B920" s="3" t="s">
        <v>3143</v>
      </c>
      <c r="C920" s="3" t="s">
        <v>241</v>
      </c>
      <c r="D920" s="3">
        <v>9876543442</v>
      </c>
      <c r="E920" s="3" t="s">
        <v>4420</v>
      </c>
      <c r="F920" s="3" t="str" cm="1">
        <f t="array" ref="F920">IF(E920="","",_xlfn.XLOOKUP(E920,{"FIRST","SECOND","THIRD","FOURTH"},{"SEM-1","SEM-2","SEM-3","SEM-4"},""))</f>
        <v>SEM-3</v>
      </c>
      <c r="G920" s="3">
        <v>38</v>
      </c>
      <c r="H920" s="3">
        <v>99</v>
      </c>
      <c r="I920" s="3">
        <v>33</v>
      </c>
      <c r="J920" s="3">
        <f t="shared" si="42"/>
        <v>170</v>
      </c>
      <c r="K920" s="3" t="str">
        <f t="shared" si="43"/>
        <v>P</v>
      </c>
      <c r="L920" s="3" t="str">
        <f t="shared" si="44"/>
        <v>B</v>
      </c>
    </row>
    <row r="921" spans="1:12" ht="14.25" customHeight="1">
      <c r="A921" s="3">
        <v>920</v>
      </c>
      <c r="B921" s="3" t="s">
        <v>4304</v>
      </c>
      <c r="C921" s="3" t="s">
        <v>1385</v>
      </c>
      <c r="D921" s="3">
        <v>9876544603</v>
      </c>
      <c r="E921" s="3" t="s">
        <v>4419</v>
      </c>
      <c r="F921" s="3" t="str" cm="1">
        <f t="array" ref="F921">IF(E921="","",_xlfn.XLOOKUP(E921,{"FIRST","SECOND","THIRD","FOURTH"},{"SEM-1","SEM-2","SEM-3","SEM-4"},""))</f>
        <v>SEM-2</v>
      </c>
      <c r="G921" s="3">
        <v>82</v>
      </c>
      <c r="H921" s="3">
        <v>57</v>
      </c>
      <c r="I921" s="3">
        <v>29</v>
      </c>
      <c r="J921" s="3">
        <f t="shared" si="42"/>
        <v>168</v>
      </c>
      <c r="K921" s="3" t="str">
        <f t="shared" si="43"/>
        <v>P</v>
      </c>
      <c r="L921" s="3" t="str">
        <f t="shared" si="44"/>
        <v>B</v>
      </c>
    </row>
    <row r="922" spans="1:12" ht="14.25" customHeight="1">
      <c r="A922" s="3">
        <v>921</v>
      </c>
      <c r="B922" s="3" t="s">
        <v>4194</v>
      </c>
      <c r="C922" s="3" t="s">
        <v>1278</v>
      </c>
      <c r="D922" s="3">
        <v>9876544493</v>
      </c>
      <c r="E922" s="3" t="s">
        <v>4418</v>
      </c>
      <c r="F922" s="3" t="str" cm="1">
        <f t="array" ref="F922">IF(E922="","",_xlfn.XLOOKUP(E922,{"FIRST","SECOND","THIRD","FOURTH"},{"SEM-1","SEM-2","SEM-3","SEM-4"},""))</f>
        <v>SEM-1</v>
      </c>
      <c r="G922" s="3">
        <v>16</v>
      </c>
      <c r="H922" s="3">
        <v>18</v>
      </c>
      <c r="I922" s="3">
        <v>28</v>
      </c>
      <c r="J922" s="3">
        <f t="shared" si="42"/>
        <v>62</v>
      </c>
      <c r="K922" s="3" t="str">
        <f t="shared" si="43"/>
        <v>F</v>
      </c>
      <c r="L922" s="3" t="str">
        <f t="shared" si="44"/>
        <v>FAIL</v>
      </c>
    </row>
    <row r="923" spans="1:12" ht="14.25" customHeight="1">
      <c r="A923" s="3">
        <v>922</v>
      </c>
      <c r="B923" s="3" t="s">
        <v>3518</v>
      </c>
      <c r="C923" s="3" t="s">
        <v>613</v>
      </c>
      <c r="D923" s="3">
        <v>9876543817</v>
      </c>
      <c r="E923" s="3" t="s">
        <v>4420</v>
      </c>
      <c r="F923" s="3" t="str" cm="1">
        <f t="array" ref="F923">IF(E923="","",_xlfn.XLOOKUP(E923,{"FIRST","SECOND","THIRD","FOURTH"},{"SEM-1","SEM-2","SEM-3","SEM-4"},""))</f>
        <v>SEM-3</v>
      </c>
      <c r="G923" s="3">
        <v>76</v>
      </c>
      <c r="H923" s="3">
        <v>55</v>
      </c>
      <c r="I923" s="3">
        <v>78</v>
      </c>
      <c r="J923" s="3">
        <f t="shared" si="42"/>
        <v>209</v>
      </c>
      <c r="K923" s="3" t="str">
        <f t="shared" si="43"/>
        <v>P</v>
      </c>
      <c r="L923" s="3" t="str">
        <f t="shared" si="44"/>
        <v>A</v>
      </c>
    </row>
    <row r="924" spans="1:12" ht="14.25" customHeight="1">
      <c r="A924" s="3">
        <v>923</v>
      </c>
      <c r="B924" s="3" t="s">
        <v>4223</v>
      </c>
      <c r="C924" s="3" t="s">
        <v>1306</v>
      </c>
      <c r="D924" s="3">
        <v>9876544522</v>
      </c>
      <c r="E924" s="3" t="s">
        <v>4420</v>
      </c>
      <c r="F924" s="3" t="str" cm="1">
        <f t="array" ref="F924">IF(E924="","",_xlfn.XLOOKUP(E924,{"FIRST","SECOND","THIRD","FOURTH"},{"SEM-1","SEM-2","SEM-3","SEM-4"},""))</f>
        <v>SEM-3</v>
      </c>
      <c r="G924" s="3">
        <v>10</v>
      </c>
      <c r="H924" s="3">
        <v>3</v>
      </c>
      <c r="I924" s="3">
        <v>33</v>
      </c>
      <c r="J924" s="3">
        <f t="shared" si="42"/>
        <v>46</v>
      </c>
      <c r="K924" s="3" t="str">
        <f t="shared" si="43"/>
        <v>F</v>
      </c>
      <c r="L924" s="3" t="str">
        <f t="shared" si="44"/>
        <v>FAIL</v>
      </c>
    </row>
    <row r="925" spans="1:12" ht="14.25" customHeight="1">
      <c r="A925" s="3">
        <v>924</v>
      </c>
      <c r="B925" s="3" t="s">
        <v>4327</v>
      </c>
      <c r="C925" s="3" t="s">
        <v>1406</v>
      </c>
      <c r="D925" s="3">
        <v>9876544626</v>
      </c>
      <c r="E925" s="3" t="s">
        <v>4420</v>
      </c>
      <c r="F925" s="3" t="str" cm="1">
        <f t="array" ref="F925">IF(E925="","",_xlfn.XLOOKUP(E925,{"FIRST","SECOND","THIRD","FOURTH"},{"SEM-1","SEM-2","SEM-3","SEM-4"},""))</f>
        <v>SEM-3</v>
      </c>
      <c r="G925" s="3">
        <v>22</v>
      </c>
      <c r="H925" s="3">
        <v>25</v>
      </c>
      <c r="I925" s="3">
        <v>60</v>
      </c>
      <c r="J925" s="3">
        <f t="shared" si="42"/>
        <v>107</v>
      </c>
      <c r="K925" s="3" t="str">
        <f t="shared" si="43"/>
        <v>F</v>
      </c>
      <c r="L925" s="3" t="str">
        <f t="shared" si="44"/>
        <v>FAIL</v>
      </c>
    </row>
    <row r="926" spans="1:12" ht="14.25" customHeight="1">
      <c r="A926" s="3">
        <v>925</v>
      </c>
      <c r="B926" s="3" t="s">
        <v>3550</v>
      </c>
      <c r="C926" s="3" t="s">
        <v>644</v>
      </c>
      <c r="D926" s="3">
        <v>9876543849</v>
      </c>
      <c r="E926" s="3" t="s">
        <v>4419</v>
      </c>
      <c r="F926" s="3" t="str" cm="1">
        <f t="array" ref="F926">IF(E926="","",_xlfn.XLOOKUP(E926,{"FIRST","SECOND","THIRD","FOURTH"},{"SEM-1","SEM-2","SEM-3","SEM-4"},""))</f>
        <v>SEM-2</v>
      </c>
      <c r="G926" s="3">
        <v>85</v>
      </c>
      <c r="H926" s="3">
        <v>9</v>
      </c>
      <c r="I926" s="3">
        <v>32</v>
      </c>
      <c r="J926" s="3">
        <f t="shared" si="42"/>
        <v>126</v>
      </c>
      <c r="K926" s="3" t="str">
        <f t="shared" si="43"/>
        <v>P</v>
      </c>
      <c r="L926" s="3" t="str">
        <f t="shared" si="44"/>
        <v>C</v>
      </c>
    </row>
    <row r="927" spans="1:12" ht="14.25" customHeight="1">
      <c r="A927" s="3">
        <v>926</v>
      </c>
      <c r="B927" s="3" t="s">
        <v>4097</v>
      </c>
      <c r="C927" s="3" t="s">
        <v>1182</v>
      </c>
      <c r="D927" s="3">
        <v>9876544396</v>
      </c>
      <c r="E927" s="3" t="s">
        <v>4420</v>
      </c>
      <c r="F927" s="3" t="str" cm="1">
        <f t="array" ref="F927">IF(E927="","",_xlfn.XLOOKUP(E927,{"FIRST","SECOND","THIRD","FOURTH"},{"SEM-1","SEM-2","SEM-3","SEM-4"},""))</f>
        <v>SEM-3</v>
      </c>
      <c r="G927" s="3">
        <v>0</v>
      </c>
      <c r="H927" s="3">
        <v>65</v>
      </c>
      <c r="I927" s="3">
        <v>37</v>
      </c>
      <c r="J927" s="3">
        <f t="shared" si="42"/>
        <v>102</v>
      </c>
      <c r="K927" s="3" t="str">
        <f t="shared" si="43"/>
        <v>F</v>
      </c>
      <c r="L927" s="3" t="str">
        <f t="shared" si="44"/>
        <v>FAIL</v>
      </c>
    </row>
    <row r="928" spans="1:12" ht="14.25" customHeight="1">
      <c r="A928" s="3">
        <v>927</v>
      </c>
      <c r="B928" s="3" t="s">
        <v>3043</v>
      </c>
      <c r="C928" s="3" t="s">
        <v>141</v>
      </c>
      <c r="D928" s="3">
        <v>9876543342</v>
      </c>
      <c r="E928" s="3" t="s">
        <v>4419</v>
      </c>
      <c r="F928" s="3" t="str" cm="1">
        <f t="array" ref="F928">IF(E928="","",_xlfn.XLOOKUP(E928,{"FIRST","SECOND","THIRD","FOURTH"},{"SEM-1","SEM-2","SEM-3","SEM-4"},""))</f>
        <v>SEM-2</v>
      </c>
      <c r="G928" s="3">
        <v>29</v>
      </c>
      <c r="H928" s="3">
        <v>9</v>
      </c>
      <c r="I928" s="3">
        <v>80</v>
      </c>
      <c r="J928" s="3">
        <f t="shared" si="42"/>
        <v>118</v>
      </c>
      <c r="K928" s="3" t="str">
        <f t="shared" si="43"/>
        <v>P</v>
      </c>
      <c r="L928" s="3" t="str">
        <f t="shared" si="44"/>
        <v>FAIL</v>
      </c>
    </row>
    <row r="929" spans="1:12" ht="14.25" customHeight="1">
      <c r="A929" s="3">
        <v>928</v>
      </c>
      <c r="B929" s="3" t="s">
        <v>4343</v>
      </c>
      <c r="C929" s="3" t="s">
        <v>1422</v>
      </c>
      <c r="D929" s="3">
        <v>9876544642</v>
      </c>
      <c r="E929" s="3" t="s">
        <v>4419</v>
      </c>
      <c r="F929" s="3" t="str" cm="1">
        <f t="array" ref="F929">IF(E929="","",_xlfn.XLOOKUP(E929,{"FIRST","SECOND","THIRD","FOURTH"},{"SEM-1","SEM-2","SEM-3","SEM-4"},""))</f>
        <v>SEM-2</v>
      </c>
      <c r="G929" s="3">
        <v>98</v>
      </c>
      <c r="H929" s="3">
        <v>35</v>
      </c>
      <c r="I929" s="3">
        <v>32</v>
      </c>
      <c r="J929" s="3">
        <f t="shared" si="42"/>
        <v>165</v>
      </c>
      <c r="K929" s="3" t="str">
        <f t="shared" si="43"/>
        <v>P</v>
      </c>
      <c r="L929" s="3" t="str">
        <f t="shared" si="44"/>
        <v>B</v>
      </c>
    </row>
    <row r="930" spans="1:12" ht="14.25" customHeight="1">
      <c r="A930" s="3">
        <v>929</v>
      </c>
      <c r="B930" s="3" t="s">
        <v>4012</v>
      </c>
      <c r="C930" s="3" t="s">
        <v>1101</v>
      </c>
      <c r="D930" s="3">
        <v>9876544311</v>
      </c>
      <c r="E930" s="3" t="s">
        <v>4420</v>
      </c>
      <c r="F930" s="3" t="str" cm="1">
        <f t="array" ref="F930">IF(E930="","",_xlfn.XLOOKUP(E930,{"FIRST","SECOND","THIRD","FOURTH"},{"SEM-1","SEM-2","SEM-3","SEM-4"},""))</f>
        <v>SEM-3</v>
      </c>
      <c r="G930" s="3">
        <v>28</v>
      </c>
      <c r="H930" s="3">
        <v>92</v>
      </c>
      <c r="I930" s="3">
        <v>56</v>
      </c>
      <c r="J930" s="3">
        <f t="shared" si="42"/>
        <v>176</v>
      </c>
      <c r="K930" s="3" t="str">
        <f t="shared" si="43"/>
        <v>P</v>
      </c>
      <c r="L930" s="3" t="str">
        <f t="shared" si="44"/>
        <v>B</v>
      </c>
    </row>
    <row r="931" spans="1:12" ht="14.25" customHeight="1">
      <c r="A931" s="3">
        <v>930</v>
      </c>
      <c r="B931" s="3" t="s">
        <v>3509</v>
      </c>
      <c r="C931" s="3" t="s">
        <v>604</v>
      </c>
      <c r="D931" s="3">
        <v>9876543808</v>
      </c>
      <c r="E931" s="3" t="s">
        <v>4420</v>
      </c>
      <c r="F931" s="3" t="str" cm="1">
        <f t="array" ref="F931">IF(E931="","",_xlfn.XLOOKUP(E931,{"FIRST","SECOND","THIRD","FOURTH"},{"SEM-1","SEM-2","SEM-3","SEM-4"},""))</f>
        <v>SEM-3</v>
      </c>
      <c r="G931" s="3">
        <v>35</v>
      </c>
      <c r="H931" s="3">
        <v>47</v>
      </c>
      <c r="I931" s="3">
        <v>13</v>
      </c>
      <c r="J931" s="3">
        <f t="shared" si="42"/>
        <v>95</v>
      </c>
      <c r="K931" s="3" t="str">
        <f t="shared" si="43"/>
        <v>F</v>
      </c>
      <c r="L931" s="3" t="str">
        <f t="shared" si="44"/>
        <v>FAIL</v>
      </c>
    </row>
    <row r="932" spans="1:12" ht="14.25" customHeight="1">
      <c r="A932" s="3">
        <v>931</v>
      </c>
      <c r="B932" s="3" t="s">
        <v>3956</v>
      </c>
      <c r="C932" s="3" t="s">
        <v>1046</v>
      </c>
      <c r="D932" s="3">
        <v>9876544255</v>
      </c>
      <c r="E932" s="3" t="s">
        <v>4418</v>
      </c>
      <c r="F932" s="3" t="str" cm="1">
        <f t="array" ref="F932">IF(E932="","",_xlfn.XLOOKUP(E932,{"FIRST","SECOND","THIRD","FOURTH"},{"SEM-1","SEM-2","SEM-3","SEM-4"},""))</f>
        <v>SEM-1</v>
      </c>
      <c r="G932" s="3">
        <v>39</v>
      </c>
      <c r="H932" s="3">
        <v>6</v>
      </c>
      <c r="I932" s="3">
        <v>32</v>
      </c>
      <c r="J932" s="3">
        <f t="shared" si="42"/>
        <v>77</v>
      </c>
      <c r="K932" s="3" t="str">
        <f t="shared" si="43"/>
        <v>F</v>
      </c>
      <c r="L932" s="3" t="str">
        <f t="shared" si="44"/>
        <v>FAIL</v>
      </c>
    </row>
    <row r="933" spans="1:12" ht="14.25" customHeight="1">
      <c r="A933" s="3">
        <v>932</v>
      </c>
      <c r="B933" s="3" t="s">
        <v>3967</v>
      </c>
      <c r="C933" s="3" t="s">
        <v>1057</v>
      </c>
      <c r="D933" s="3">
        <v>9876544266</v>
      </c>
      <c r="E933" s="3" t="s">
        <v>4420</v>
      </c>
      <c r="F933" s="3" t="str" cm="1">
        <f t="array" ref="F933">IF(E933="","",_xlfn.XLOOKUP(E933,{"FIRST","SECOND","THIRD","FOURTH"},{"SEM-1","SEM-2","SEM-3","SEM-4"},""))</f>
        <v>SEM-3</v>
      </c>
      <c r="G933" s="3">
        <v>23</v>
      </c>
      <c r="H933" s="3">
        <v>37</v>
      </c>
      <c r="I933" s="3">
        <v>8</v>
      </c>
      <c r="J933" s="3">
        <f t="shared" si="42"/>
        <v>68</v>
      </c>
      <c r="K933" s="3" t="str">
        <f t="shared" si="43"/>
        <v>F</v>
      </c>
      <c r="L933" s="3" t="str">
        <f t="shared" si="44"/>
        <v>FAIL</v>
      </c>
    </row>
    <row r="934" spans="1:12" ht="14.25" customHeight="1">
      <c r="A934" s="3">
        <v>933</v>
      </c>
      <c r="B934" s="3" t="s">
        <v>3836</v>
      </c>
      <c r="C934" s="3" t="s">
        <v>928</v>
      </c>
      <c r="D934" s="3">
        <v>9876544135</v>
      </c>
      <c r="E934" s="3" t="s">
        <v>4419</v>
      </c>
      <c r="F934" s="3" t="str" cm="1">
        <f t="array" ref="F934">IF(E934="","",_xlfn.XLOOKUP(E934,{"FIRST","SECOND","THIRD","FOURTH"},{"SEM-1","SEM-2","SEM-3","SEM-4"},""))</f>
        <v>SEM-2</v>
      </c>
      <c r="G934" s="3">
        <v>56</v>
      </c>
      <c r="H934" s="3">
        <v>17</v>
      </c>
      <c r="I934" s="3">
        <v>78</v>
      </c>
      <c r="J934" s="3">
        <f t="shared" si="42"/>
        <v>151</v>
      </c>
      <c r="K934" s="3" t="str">
        <f t="shared" si="43"/>
        <v>P</v>
      </c>
      <c r="L934" s="3" t="str">
        <f t="shared" si="44"/>
        <v>B</v>
      </c>
    </row>
    <row r="935" spans="1:12" ht="14.25" customHeight="1">
      <c r="A935" s="3">
        <v>934</v>
      </c>
      <c r="B935" s="3" t="s">
        <v>4104</v>
      </c>
      <c r="C935" s="3" t="s">
        <v>1189</v>
      </c>
      <c r="D935" s="3">
        <v>9876544403</v>
      </c>
      <c r="E935" s="3" t="s">
        <v>4419</v>
      </c>
      <c r="F935" s="3" t="str" cm="1">
        <f t="array" ref="F935">IF(E935="","",_xlfn.XLOOKUP(E935,{"FIRST","SECOND","THIRD","FOURTH"},{"SEM-1","SEM-2","SEM-3","SEM-4"},""))</f>
        <v>SEM-2</v>
      </c>
      <c r="G935" s="3">
        <v>58</v>
      </c>
      <c r="H935" s="3">
        <v>66</v>
      </c>
      <c r="I935" s="3">
        <v>3</v>
      </c>
      <c r="J935" s="3">
        <f t="shared" si="42"/>
        <v>127</v>
      </c>
      <c r="K935" s="3" t="str">
        <f t="shared" si="43"/>
        <v>P</v>
      </c>
      <c r="L935" s="3" t="str">
        <f t="shared" si="44"/>
        <v>C</v>
      </c>
    </row>
    <row r="936" spans="1:12" ht="14.25" customHeight="1">
      <c r="A936" s="3">
        <v>935</v>
      </c>
      <c r="B936" s="3" t="s">
        <v>3683</v>
      </c>
      <c r="C936" s="3" t="s">
        <v>776</v>
      </c>
      <c r="D936" s="3">
        <v>9876543982</v>
      </c>
      <c r="E936" s="3" t="s">
        <v>4418</v>
      </c>
      <c r="F936" s="3" t="str" cm="1">
        <f t="array" ref="F936">IF(E936="","",_xlfn.XLOOKUP(E936,{"FIRST","SECOND","THIRD","FOURTH"},{"SEM-1","SEM-2","SEM-3","SEM-4"},""))</f>
        <v>SEM-1</v>
      </c>
      <c r="G936" s="3">
        <v>40</v>
      </c>
      <c r="H936" s="3">
        <v>42</v>
      </c>
      <c r="I936" s="3">
        <v>1</v>
      </c>
      <c r="J936" s="3">
        <f t="shared" si="42"/>
        <v>83</v>
      </c>
      <c r="K936" s="3" t="str">
        <f t="shared" si="43"/>
        <v>F</v>
      </c>
      <c r="L936" s="3" t="str">
        <f t="shared" si="44"/>
        <v>FAIL</v>
      </c>
    </row>
    <row r="937" spans="1:12" ht="14.25" customHeight="1">
      <c r="A937" s="3">
        <v>936</v>
      </c>
      <c r="B937" s="3" t="s">
        <v>3649</v>
      </c>
      <c r="C937" s="3" t="s">
        <v>743</v>
      </c>
      <c r="D937" s="3">
        <v>9876543948</v>
      </c>
      <c r="E937" s="3" t="s">
        <v>4418</v>
      </c>
      <c r="F937" s="3" t="str" cm="1">
        <f t="array" ref="F937">IF(E937="","",_xlfn.XLOOKUP(E937,{"FIRST","SECOND","THIRD","FOURTH"},{"SEM-1","SEM-2","SEM-3","SEM-4"},""))</f>
        <v>SEM-1</v>
      </c>
      <c r="G937" s="3">
        <v>83</v>
      </c>
      <c r="H937" s="3">
        <v>51</v>
      </c>
      <c r="I937" s="3">
        <v>19</v>
      </c>
      <c r="J937" s="3">
        <f t="shared" si="42"/>
        <v>153</v>
      </c>
      <c r="K937" s="3" t="str">
        <f t="shared" si="43"/>
        <v>P</v>
      </c>
      <c r="L937" s="3" t="str">
        <f t="shared" si="44"/>
        <v>B</v>
      </c>
    </row>
    <row r="938" spans="1:12" ht="14.25" customHeight="1">
      <c r="A938" s="3">
        <v>937</v>
      </c>
      <c r="B938" s="3" t="s">
        <v>3720</v>
      </c>
      <c r="C938" s="3" t="s">
        <v>813</v>
      </c>
      <c r="D938" s="3">
        <v>9876544019</v>
      </c>
      <c r="E938" s="3" t="s">
        <v>4419</v>
      </c>
      <c r="F938" s="3" t="str" cm="1">
        <f t="array" ref="F938">IF(E938="","",_xlfn.XLOOKUP(E938,{"FIRST","SECOND","THIRD","FOURTH"},{"SEM-1","SEM-2","SEM-3","SEM-4"},""))</f>
        <v>SEM-2</v>
      </c>
      <c r="G938" s="3">
        <v>38</v>
      </c>
      <c r="H938" s="3">
        <v>44</v>
      </c>
      <c r="I938" s="3">
        <v>97</v>
      </c>
      <c r="J938" s="3">
        <f t="shared" si="42"/>
        <v>179</v>
      </c>
      <c r="K938" s="3" t="str">
        <f t="shared" si="43"/>
        <v>P</v>
      </c>
      <c r="L938" s="3" t="str">
        <f t="shared" si="44"/>
        <v>B</v>
      </c>
    </row>
    <row r="939" spans="1:12" ht="14.25" customHeight="1">
      <c r="A939" s="3">
        <v>938</v>
      </c>
      <c r="B939" s="3" t="s">
        <v>4198</v>
      </c>
      <c r="C939" s="3" t="s">
        <v>1282</v>
      </c>
      <c r="D939" s="3">
        <v>9876544497</v>
      </c>
      <c r="E939" s="3" t="s">
        <v>4419</v>
      </c>
      <c r="F939" s="3" t="str" cm="1">
        <f t="array" ref="F939">IF(E939="","",_xlfn.XLOOKUP(E939,{"FIRST","SECOND","THIRD","FOURTH"},{"SEM-1","SEM-2","SEM-3","SEM-4"},""))</f>
        <v>SEM-2</v>
      </c>
      <c r="G939" s="3">
        <v>25</v>
      </c>
      <c r="H939" s="3">
        <v>98</v>
      </c>
      <c r="I939" s="3">
        <v>21</v>
      </c>
      <c r="J939" s="3">
        <f t="shared" si="42"/>
        <v>144</v>
      </c>
      <c r="K939" s="3" t="str">
        <f t="shared" si="43"/>
        <v>P</v>
      </c>
      <c r="L939" s="3" t="str">
        <f t="shared" si="44"/>
        <v>C</v>
      </c>
    </row>
    <row r="940" spans="1:12" ht="14.25" customHeight="1">
      <c r="A940" s="3">
        <v>939</v>
      </c>
      <c r="B940" s="3" t="s">
        <v>3604</v>
      </c>
      <c r="C940" s="3" t="s">
        <v>698</v>
      </c>
      <c r="D940" s="3">
        <v>9876543903</v>
      </c>
      <c r="E940" s="3" t="s">
        <v>4418</v>
      </c>
      <c r="F940" s="3" t="str" cm="1">
        <f t="array" ref="F940">IF(E940="","",_xlfn.XLOOKUP(E940,{"FIRST","SECOND","THIRD","FOURTH"},{"SEM-1","SEM-2","SEM-3","SEM-4"},""))</f>
        <v>SEM-1</v>
      </c>
      <c r="G940" s="3">
        <v>0</v>
      </c>
      <c r="H940" s="3">
        <v>58</v>
      </c>
      <c r="I940" s="3">
        <v>29</v>
      </c>
      <c r="J940" s="3">
        <f t="shared" si="42"/>
        <v>87</v>
      </c>
      <c r="K940" s="3" t="str">
        <f t="shared" si="43"/>
        <v>F</v>
      </c>
      <c r="L940" s="3" t="str">
        <f t="shared" si="44"/>
        <v>FAIL</v>
      </c>
    </row>
    <row r="941" spans="1:12" ht="14.25" customHeight="1">
      <c r="A941" s="3">
        <v>940</v>
      </c>
      <c r="B941" s="3" t="s">
        <v>2954</v>
      </c>
      <c r="C941" s="3" t="s">
        <v>52</v>
      </c>
      <c r="D941" s="3">
        <v>9876543253</v>
      </c>
      <c r="E941" s="3" t="s">
        <v>4419</v>
      </c>
      <c r="F941" s="3" t="str" cm="1">
        <f t="array" ref="F941">IF(E941="","",_xlfn.XLOOKUP(E941,{"FIRST","SECOND","THIRD","FOURTH"},{"SEM-1","SEM-2","SEM-3","SEM-4"},""))</f>
        <v>SEM-2</v>
      </c>
      <c r="G941" s="3">
        <v>95</v>
      </c>
      <c r="H941" s="3">
        <v>70</v>
      </c>
      <c r="I941" s="3">
        <v>25</v>
      </c>
      <c r="J941" s="3">
        <f t="shared" si="42"/>
        <v>190</v>
      </c>
      <c r="K941" s="3" t="str">
        <f t="shared" si="43"/>
        <v>P</v>
      </c>
      <c r="L941" s="3" t="str">
        <f t="shared" si="44"/>
        <v>A</v>
      </c>
    </row>
    <row r="942" spans="1:12" ht="14.25" customHeight="1">
      <c r="A942" s="3">
        <v>941</v>
      </c>
      <c r="B942" s="3" t="s">
        <v>3162</v>
      </c>
      <c r="C942" s="3" t="s">
        <v>260</v>
      </c>
      <c r="D942" s="3">
        <v>9876543461</v>
      </c>
      <c r="E942" s="3" t="s">
        <v>4419</v>
      </c>
      <c r="F942" s="3" t="str" cm="1">
        <f t="array" ref="F942">IF(E942="","",_xlfn.XLOOKUP(E942,{"FIRST","SECOND","THIRD","FOURTH"},{"SEM-1","SEM-2","SEM-3","SEM-4"},""))</f>
        <v>SEM-2</v>
      </c>
      <c r="G942" s="3">
        <v>94</v>
      </c>
      <c r="H942" s="3">
        <v>77</v>
      </c>
      <c r="I942" s="3">
        <v>5</v>
      </c>
      <c r="J942" s="3">
        <f t="shared" si="42"/>
        <v>176</v>
      </c>
      <c r="K942" s="3" t="str">
        <f t="shared" si="43"/>
        <v>P</v>
      </c>
      <c r="L942" s="3" t="str">
        <f t="shared" si="44"/>
        <v>B</v>
      </c>
    </row>
    <row r="943" spans="1:12" ht="14.25" customHeight="1">
      <c r="A943" s="3">
        <v>942</v>
      </c>
      <c r="B943" s="3" t="s">
        <v>3468</v>
      </c>
      <c r="C943" s="3" t="s">
        <v>564</v>
      </c>
      <c r="D943" s="3">
        <v>9876543767</v>
      </c>
      <c r="E943" s="3" t="s">
        <v>4418</v>
      </c>
      <c r="F943" s="3" t="str" cm="1">
        <f t="array" ref="F943">IF(E943="","",_xlfn.XLOOKUP(E943,{"FIRST","SECOND","THIRD","FOURTH"},{"SEM-1","SEM-2","SEM-3","SEM-4"},""))</f>
        <v>SEM-1</v>
      </c>
      <c r="G943" s="3">
        <v>75</v>
      </c>
      <c r="H943" s="3">
        <v>43</v>
      </c>
      <c r="I943" s="3">
        <v>4</v>
      </c>
      <c r="J943" s="3">
        <f t="shared" si="42"/>
        <v>122</v>
      </c>
      <c r="K943" s="3" t="str">
        <f t="shared" si="43"/>
        <v>P</v>
      </c>
      <c r="L943" s="3" t="str">
        <f t="shared" si="44"/>
        <v>C</v>
      </c>
    </row>
    <row r="944" spans="1:12" ht="14.25" customHeight="1">
      <c r="A944" s="3">
        <v>943</v>
      </c>
      <c r="B944" s="3" t="s">
        <v>3629</v>
      </c>
      <c r="C944" s="3" t="s">
        <v>723</v>
      </c>
      <c r="D944" s="3">
        <v>9876543928</v>
      </c>
      <c r="E944" s="3" t="s">
        <v>4418</v>
      </c>
      <c r="F944" s="3" t="str" cm="1">
        <f t="array" ref="F944">IF(E944="","",_xlfn.XLOOKUP(E944,{"FIRST","SECOND","THIRD","FOURTH"},{"SEM-1","SEM-2","SEM-3","SEM-4"},""))</f>
        <v>SEM-1</v>
      </c>
      <c r="G944" s="3">
        <v>38</v>
      </c>
      <c r="H944" s="3">
        <v>15</v>
      </c>
      <c r="I944" s="3">
        <v>14</v>
      </c>
      <c r="J944" s="3">
        <f t="shared" si="42"/>
        <v>67</v>
      </c>
      <c r="K944" s="3" t="str">
        <f t="shared" si="43"/>
        <v>F</v>
      </c>
      <c r="L944" s="3" t="str">
        <f t="shared" si="44"/>
        <v>FAIL</v>
      </c>
    </row>
    <row r="945" spans="1:12" ht="14.25" customHeight="1">
      <c r="A945" s="3">
        <v>944</v>
      </c>
      <c r="B945" s="3" t="s">
        <v>4322</v>
      </c>
      <c r="C945" s="3" t="s">
        <v>1402</v>
      </c>
      <c r="D945" s="3">
        <v>9876544621</v>
      </c>
      <c r="E945" s="3" t="s">
        <v>4419</v>
      </c>
      <c r="F945" s="3" t="str" cm="1">
        <f t="array" ref="F945">IF(E945="","",_xlfn.XLOOKUP(E945,{"FIRST","SECOND","THIRD","FOURTH"},{"SEM-1","SEM-2","SEM-3","SEM-4"},""))</f>
        <v>SEM-2</v>
      </c>
      <c r="G945" s="3">
        <v>47</v>
      </c>
      <c r="H945" s="3">
        <v>32</v>
      </c>
      <c r="I945" s="3">
        <v>90</v>
      </c>
      <c r="J945" s="3">
        <f t="shared" si="42"/>
        <v>169</v>
      </c>
      <c r="K945" s="3" t="str">
        <f t="shared" si="43"/>
        <v>P</v>
      </c>
      <c r="L945" s="3" t="str">
        <f t="shared" si="44"/>
        <v>B</v>
      </c>
    </row>
    <row r="946" spans="1:12" ht="14.25" customHeight="1">
      <c r="A946" s="3">
        <v>945</v>
      </c>
      <c r="B946" s="3" t="s">
        <v>3136</v>
      </c>
      <c r="C946" s="3" t="s">
        <v>234</v>
      </c>
      <c r="D946" s="3">
        <v>9876543435</v>
      </c>
      <c r="E946" s="3" t="s">
        <v>4418</v>
      </c>
      <c r="F946" s="3" t="str" cm="1">
        <f t="array" ref="F946">IF(E946="","",_xlfn.XLOOKUP(E946,{"FIRST","SECOND","THIRD","FOURTH"},{"SEM-1","SEM-2","SEM-3","SEM-4"},""))</f>
        <v>SEM-1</v>
      </c>
      <c r="G946" s="3">
        <v>8</v>
      </c>
      <c r="H946" s="3">
        <v>56</v>
      </c>
      <c r="I946" s="3">
        <v>56</v>
      </c>
      <c r="J946" s="3">
        <f t="shared" si="42"/>
        <v>120</v>
      </c>
      <c r="K946" s="3" t="str">
        <f t="shared" si="43"/>
        <v>P</v>
      </c>
      <c r="L946" s="3" t="str">
        <f t="shared" si="44"/>
        <v>C</v>
      </c>
    </row>
    <row r="947" spans="1:12" ht="14.25" customHeight="1">
      <c r="A947" s="3">
        <v>946</v>
      </c>
      <c r="B947" s="3" t="s">
        <v>3269</v>
      </c>
      <c r="C947" s="3" t="s">
        <v>366</v>
      </c>
      <c r="D947" s="3">
        <v>9876543568</v>
      </c>
      <c r="E947" s="3" t="s">
        <v>4419</v>
      </c>
      <c r="F947" s="3" t="str" cm="1">
        <f t="array" ref="F947">IF(E947="","",_xlfn.XLOOKUP(E947,{"FIRST","SECOND","THIRD","FOURTH"},{"SEM-1","SEM-2","SEM-3","SEM-4"},""))</f>
        <v>SEM-2</v>
      </c>
      <c r="G947" s="3">
        <v>98</v>
      </c>
      <c r="H947" s="3">
        <v>31</v>
      </c>
      <c r="I947" s="3">
        <v>71</v>
      </c>
      <c r="J947" s="3">
        <f t="shared" si="42"/>
        <v>200</v>
      </c>
      <c r="K947" s="3" t="str">
        <f t="shared" si="43"/>
        <v>P</v>
      </c>
      <c r="L947" s="3" t="str">
        <f t="shared" si="44"/>
        <v>A</v>
      </c>
    </row>
    <row r="948" spans="1:12" ht="14.25" customHeight="1">
      <c r="A948" s="3">
        <v>947</v>
      </c>
      <c r="B948" s="3" t="s">
        <v>3614</v>
      </c>
      <c r="C948" s="3" t="s">
        <v>708</v>
      </c>
      <c r="D948" s="3">
        <v>9876543913</v>
      </c>
      <c r="E948" s="3" t="s">
        <v>4418</v>
      </c>
      <c r="F948" s="3" t="str" cm="1">
        <f t="array" ref="F948">IF(E948="","",_xlfn.XLOOKUP(E948,{"FIRST","SECOND","THIRD","FOURTH"},{"SEM-1","SEM-2","SEM-3","SEM-4"},""))</f>
        <v>SEM-1</v>
      </c>
      <c r="G948" s="3">
        <v>58</v>
      </c>
      <c r="H948" s="3">
        <v>4</v>
      </c>
      <c r="I948" s="3">
        <v>75</v>
      </c>
      <c r="J948" s="3">
        <f t="shared" si="42"/>
        <v>137</v>
      </c>
      <c r="K948" s="3" t="str">
        <f t="shared" si="43"/>
        <v>P</v>
      </c>
      <c r="L948" s="3" t="str">
        <f t="shared" si="44"/>
        <v>C</v>
      </c>
    </row>
    <row r="949" spans="1:12" ht="14.25" customHeight="1">
      <c r="A949" s="3">
        <v>948</v>
      </c>
      <c r="B949" s="3" t="s">
        <v>3783</v>
      </c>
      <c r="C949" s="3" t="s">
        <v>875</v>
      </c>
      <c r="D949" s="3">
        <v>9876544082</v>
      </c>
      <c r="E949" s="3" t="s">
        <v>4419</v>
      </c>
      <c r="F949" s="3" t="str" cm="1">
        <f t="array" ref="F949">IF(E949="","",_xlfn.XLOOKUP(E949,{"FIRST","SECOND","THIRD","FOURTH"},{"SEM-1","SEM-2","SEM-3","SEM-4"},""))</f>
        <v>SEM-2</v>
      </c>
      <c r="G949" s="3">
        <v>100</v>
      </c>
      <c r="H949" s="3">
        <v>28</v>
      </c>
      <c r="I949" s="3">
        <v>78</v>
      </c>
      <c r="J949" s="3">
        <f t="shared" si="42"/>
        <v>206</v>
      </c>
      <c r="K949" s="3" t="str">
        <f t="shared" si="43"/>
        <v>P</v>
      </c>
      <c r="L949" s="3" t="str">
        <f t="shared" si="44"/>
        <v>A</v>
      </c>
    </row>
    <row r="950" spans="1:12" ht="14.25" customHeight="1">
      <c r="A950" s="3">
        <v>949</v>
      </c>
      <c r="B950" s="3" t="s">
        <v>3618</v>
      </c>
      <c r="C950" s="3" t="s">
        <v>712</v>
      </c>
      <c r="D950" s="3">
        <v>9876543917</v>
      </c>
      <c r="E950" s="3" t="s">
        <v>4419</v>
      </c>
      <c r="F950" s="3" t="str" cm="1">
        <f t="array" ref="F950">IF(E950="","",_xlfn.XLOOKUP(E950,{"FIRST","SECOND","THIRD","FOURTH"},{"SEM-1","SEM-2","SEM-3","SEM-4"},""))</f>
        <v>SEM-2</v>
      </c>
      <c r="G950" s="3">
        <v>57</v>
      </c>
      <c r="H950" s="3">
        <v>71</v>
      </c>
      <c r="I950" s="3">
        <v>1</v>
      </c>
      <c r="J950" s="3">
        <f t="shared" si="42"/>
        <v>129</v>
      </c>
      <c r="K950" s="3" t="str">
        <f t="shared" si="43"/>
        <v>P</v>
      </c>
      <c r="L950" s="3" t="str">
        <f t="shared" si="44"/>
        <v>C</v>
      </c>
    </row>
    <row r="951" spans="1:12" ht="14.25" customHeight="1">
      <c r="A951" s="3">
        <v>950</v>
      </c>
      <c r="B951" s="3" t="s">
        <v>2987</v>
      </c>
      <c r="C951" s="3" t="s">
        <v>85</v>
      </c>
      <c r="D951" s="3">
        <v>9876543286</v>
      </c>
      <c r="E951" s="3" t="s">
        <v>4418</v>
      </c>
      <c r="F951" s="3" t="str" cm="1">
        <f t="array" ref="F951">IF(E951="","",_xlfn.XLOOKUP(E951,{"FIRST","SECOND","THIRD","FOURTH"},{"SEM-1","SEM-2","SEM-3","SEM-4"},""))</f>
        <v>SEM-1</v>
      </c>
      <c r="G951" s="3">
        <v>86</v>
      </c>
      <c r="H951" s="3">
        <v>45</v>
      </c>
      <c r="I951" s="3">
        <v>92</v>
      </c>
      <c r="J951" s="3">
        <f t="shared" si="42"/>
        <v>223</v>
      </c>
      <c r="K951" s="3" t="str">
        <f t="shared" si="43"/>
        <v>P</v>
      </c>
      <c r="L951" s="3" t="str">
        <f t="shared" si="44"/>
        <v>A</v>
      </c>
    </row>
    <row r="952" spans="1:12" ht="14.25" customHeight="1">
      <c r="A952" s="3">
        <v>951</v>
      </c>
      <c r="B952" s="3" t="s">
        <v>4176</v>
      </c>
      <c r="C952" s="3" t="s">
        <v>1261</v>
      </c>
      <c r="D952" s="3">
        <v>9876544475</v>
      </c>
      <c r="E952" s="3" t="s">
        <v>4418</v>
      </c>
      <c r="F952" s="3" t="str" cm="1">
        <f t="array" ref="F952">IF(E952="","",_xlfn.XLOOKUP(E952,{"FIRST","SECOND","THIRD","FOURTH"},{"SEM-1","SEM-2","SEM-3","SEM-4"},""))</f>
        <v>SEM-1</v>
      </c>
      <c r="G952" s="3">
        <v>76</v>
      </c>
      <c r="H952" s="3">
        <v>47</v>
      </c>
      <c r="I952" s="3">
        <v>34</v>
      </c>
      <c r="J952" s="3">
        <f t="shared" si="42"/>
        <v>157</v>
      </c>
      <c r="K952" s="3" t="str">
        <f t="shared" si="43"/>
        <v>P</v>
      </c>
      <c r="L952" s="3" t="str">
        <f t="shared" si="44"/>
        <v>B</v>
      </c>
    </row>
    <row r="953" spans="1:12" ht="14.25" customHeight="1">
      <c r="A953" s="3">
        <v>952</v>
      </c>
      <c r="B953" s="3" t="s">
        <v>4131</v>
      </c>
      <c r="C953" s="3" t="s">
        <v>1216</v>
      </c>
      <c r="D953" s="3">
        <v>9876544430</v>
      </c>
      <c r="E953" s="3" t="s">
        <v>4420</v>
      </c>
      <c r="F953" s="3" t="str" cm="1">
        <f t="array" ref="F953">IF(E953="","",_xlfn.XLOOKUP(E953,{"FIRST","SECOND","THIRD","FOURTH"},{"SEM-1","SEM-2","SEM-3","SEM-4"},""))</f>
        <v>SEM-3</v>
      </c>
      <c r="G953" s="3">
        <v>73</v>
      </c>
      <c r="H953" s="3">
        <v>54</v>
      </c>
      <c r="I953" s="3">
        <v>31</v>
      </c>
      <c r="J953" s="3">
        <f t="shared" si="42"/>
        <v>158</v>
      </c>
      <c r="K953" s="3" t="str">
        <f t="shared" si="43"/>
        <v>P</v>
      </c>
      <c r="L953" s="3" t="str">
        <f t="shared" si="44"/>
        <v>B</v>
      </c>
    </row>
    <row r="954" spans="1:12" ht="14.25" customHeight="1">
      <c r="A954" s="3">
        <v>953</v>
      </c>
      <c r="B954" s="3" t="s">
        <v>4391</v>
      </c>
      <c r="C954" s="3" t="s">
        <v>1470</v>
      </c>
      <c r="D954" s="3">
        <v>9876544690</v>
      </c>
      <c r="E954" s="3" t="s">
        <v>4420</v>
      </c>
      <c r="F954" s="3" t="str" cm="1">
        <f t="array" ref="F954">IF(E954="","",_xlfn.XLOOKUP(E954,{"FIRST","SECOND","THIRD","FOURTH"},{"SEM-1","SEM-2","SEM-3","SEM-4"},""))</f>
        <v>SEM-3</v>
      </c>
      <c r="G954" s="3">
        <v>84</v>
      </c>
      <c r="H954" s="3">
        <v>39</v>
      </c>
      <c r="I954" s="3">
        <v>71</v>
      </c>
      <c r="J954" s="3">
        <f t="shared" si="42"/>
        <v>194</v>
      </c>
      <c r="K954" s="3" t="str">
        <f t="shared" si="43"/>
        <v>P</v>
      </c>
      <c r="L954" s="3" t="str">
        <f t="shared" si="44"/>
        <v>A</v>
      </c>
    </row>
    <row r="955" spans="1:12" ht="14.25" customHeight="1">
      <c r="A955" s="3">
        <v>954</v>
      </c>
      <c r="B955" s="3" t="s">
        <v>3980</v>
      </c>
      <c r="C955" s="3" t="s">
        <v>1070</v>
      </c>
      <c r="D955" s="3">
        <v>9876544279</v>
      </c>
      <c r="E955" s="3" t="s">
        <v>4419</v>
      </c>
      <c r="F955" s="3" t="str" cm="1">
        <f t="array" ref="F955">IF(E955="","",_xlfn.XLOOKUP(E955,{"FIRST","SECOND","THIRD","FOURTH"},{"SEM-1","SEM-2","SEM-3","SEM-4"},""))</f>
        <v>SEM-2</v>
      </c>
      <c r="G955" s="3">
        <v>21</v>
      </c>
      <c r="H955" s="3">
        <v>1</v>
      </c>
      <c r="I955" s="3">
        <v>82</v>
      </c>
      <c r="J955" s="3">
        <f t="shared" si="42"/>
        <v>104</v>
      </c>
      <c r="K955" s="3" t="str">
        <f t="shared" si="43"/>
        <v>P</v>
      </c>
      <c r="L955" s="3" t="str">
        <f t="shared" si="44"/>
        <v>FAIL</v>
      </c>
    </row>
    <row r="956" spans="1:12" ht="14.25" customHeight="1">
      <c r="A956" s="3">
        <v>955</v>
      </c>
      <c r="B956" s="3" t="s">
        <v>3261</v>
      </c>
      <c r="C956" s="3" t="s">
        <v>358</v>
      </c>
      <c r="D956" s="3">
        <v>9876543560</v>
      </c>
      <c r="E956" s="3" t="s">
        <v>4420</v>
      </c>
      <c r="F956" s="3" t="str" cm="1">
        <f t="array" ref="F956">IF(E956="","",_xlfn.XLOOKUP(E956,{"FIRST","SECOND","THIRD","FOURTH"},{"SEM-1","SEM-2","SEM-3","SEM-4"},""))</f>
        <v>SEM-3</v>
      </c>
      <c r="G956" s="3">
        <v>84</v>
      </c>
      <c r="H956" s="3">
        <v>35</v>
      </c>
      <c r="I956" s="3">
        <v>55</v>
      </c>
      <c r="J956" s="3">
        <f t="shared" si="42"/>
        <v>174</v>
      </c>
      <c r="K956" s="3" t="str">
        <f t="shared" si="43"/>
        <v>P</v>
      </c>
      <c r="L956" s="3" t="str">
        <f t="shared" si="44"/>
        <v>B</v>
      </c>
    </row>
    <row r="957" spans="1:12" ht="14.25" customHeight="1">
      <c r="A957" s="3">
        <v>956</v>
      </c>
      <c r="B957" s="3" t="s">
        <v>4269</v>
      </c>
      <c r="C957" s="3" t="s">
        <v>1350</v>
      </c>
      <c r="D957" s="3">
        <v>9876544568</v>
      </c>
      <c r="E957" s="3" t="s">
        <v>4418</v>
      </c>
      <c r="F957" s="3" t="str" cm="1">
        <f t="array" ref="F957">IF(E957="","",_xlfn.XLOOKUP(E957,{"FIRST","SECOND","THIRD","FOURTH"},{"SEM-1","SEM-2","SEM-3","SEM-4"},""))</f>
        <v>SEM-1</v>
      </c>
      <c r="G957" s="3">
        <v>85</v>
      </c>
      <c r="H957" s="3">
        <v>52</v>
      </c>
      <c r="I957" s="3">
        <v>35</v>
      </c>
      <c r="J957" s="3">
        <f t="shared" si="42"/>
        <v>172</v>
      </c>
      <c r="K957" s="3" t="str">
        <f t="shared" si="43"/>
        <v>P</v>
      </c>
      <c r="L957" s="3" t="str">
        <f t="shared" si="44"/>
        <v>B</v>
      </c>
    </row>
    <row r="958" spans="1:12" ht="14.25" customHeight="1">
      <c r="A958" s="3">
        <v>957</v>
      </c>
      <c r="B958" s="3" t="s">
        <v>4041</v>
      </c>
      <c r="C958" s="3" t="s">
        <v>1130</v>
      </c>
      <c r="D958" s="3">
        <v>9876544340</v>
      </c>
      <c r="E958" s="3" t="s">
        <v>4420</v>
      </c>
      <c r="F958" s="3" t="str" cm="1">
        <f t="array" ref="F958">IF(E958="","",_xlfn.XLOOKUP(E958,{"FIRST","SECOND","THIRD","FOURTH"},{"SEM-1","SEM-2","SEM-3","SEM-4"},""))</f>
        <v>SEM-3</v>
      </c>
      <c r="G958" s="3">
        <v>74</v>
      </c>
      <c r="H958" s="3">
        <v>33</v>
      </c>
      <c r="I958" s="3">
        <v>50</v>
      </c>
      <c r="J958" s="3">
        <f t="shared" si="42"/>
        <v>157</v>
      </c>
      <c r="K958" s="3" t="str">
        <f t="shared" si="43"/>
        <v>P</v>
      </c>
      <c r="L958" s="3" t="str">
        <f t="shared" si="44"/>
        <v>B</v>
      </c>
    </row>
    <row r="959" spans="1:12" ht="14.25" customHeight="1">
      <c r="A959" s="3">
        <v>958</v>
      </c>
      <c r="B959" s="3" t="s">
        <v>3400</v>
      </c>
      <c r="C959" s="3" t="s">
        <v>496</v>
      </c>
      <c r="D959" s="3">
        <v>9876543699</v>
      </c>
      <c r="E959" s="3" t="s">
        <v>4418</v>
      </c>
      <c r="F959" s="3" t="str" cm="1">
        <f t="array" ref="F959">IF(E959="","",_xlfn.XLOOKUP(E959,{"FIRST","SECOND","THIRD","FOURTH"},{"SEM-1","SEM-2","SEM-3","SEM-4"},""))</f>
        <v>SEM-1</v>
      </c>
      <c r="G959" s="3">
        <v>51</v>
      </c>
      <c r="H959" s="3">
        <v>28</v>
      </c>
      <c r="I959" s="3">
        <v>36</v>
      </c>
      <c r="J959" s="3">
        <f t="shared" si="42"/>
        <v>115</v>
      </c>
      <c r="K959" s="3" t="str">
        <f t="shared" si="43"/>
        <v>F</v>
      </c>
      <c r="L959" s="3" t="str">
        <f t="shared" si="44"/>
        <v>FAIL</v>
      </c>
    </row>
    <row r="960" spans="1:12" ht="14.25" customHeight="1">
      <c r="A960" s="3">
        <v>959</v>
      </c>
      <c r="B960" s="3" t="s">
        <v>3797</v>
      </c>
      <c r="C960" s="3" t="s">
        <v>889</v>
      </c>
      <c r="D960" s="3">
        <v>9876544096</v>
      </c>
      <c r="E960" s="3" t="s">
        <v>4420</v>
      </c>
      <c r="F960" s="3" t="str" cm="1">
        <f t="array" ref="F960">IF(E960="","",_xlfn.XLOOKUP(E960,{"FIRST","SECOND","THIRD","FOURTH"},{"SEM-1","SEM-2","SEM-3","SEM-4"},""))</f>
        <v>SEM-3</v>
      </c>
      <c r="G960" s="3">
        <v>22</v>
      </c>
      <c r="H960" s="3">
        <v>31</v>
      </c>
      <c r="I960" s="3">
        <v>13</v>
      </c>
      <c r="J960" s="3">
        <f t="shared" si="42"/>
        <v>66</v>
      </c>
      <c r="K960" s="3" t="str">
        <f t="shared" si="43"/>
        <v>F</v>
      </c>
      <c r="L960" s="3" t="str">
        <f t="shared" si="44"/>
        <v>FAIL</v>
      </c>
    </row>
    <row r="961" spans="1:12" ht="14.25" customHeight="1">
      <c r="A961" s="3">
        <v>960</v>
      </c>
      <c r="B961" s="3" t="s">
        <v>3808</v>
      </c>
      <c r="C961" s="3" t="s">
        <v>900</v>
      </c>
      <c r="D961" s="3">
        <v>9876544107</v>
      </c>
      <c r="E961" s="3" t="s">
        <v>4420</v>
      </c>
      <c r="F961" s="3" t="str" cm="1">
        <f t="array" ref="F961">IF(E961="","",_xlfn.XLOOKUP(E961,{"FIRST","SECOND","THIRD","FOURTH"},{"SEM-1","SEM-2","SEM-3","SEM-4"},""))</f>
        <v>SEM-3</v>
      </c>
      <c r="G961" s="3">
        <v>35</v>
      </c>
      <c r="H961" s="3">
        <v>51</v>
      </c>
      <c r="I961" s="3">
        <v>38</v>
      </c>
      <c r="J961" s="3">
        <f t="shared" si="42"/>
        <v>124</v>
      </c>
      <c r="K961" s="3" t="str">
        <f t="shared" si="43"/>
        <v>P</v>
      </c>
      <c r="L961" s="3" t="str">
        <f t="shared" si="44"/>
        <v>C</v>
      </c>
    </row>
    <row r="962" spans="1:12" ht="14.25" customHeight="1">
      <c r="A962" s="3">
        <v>961</v>
      </c>
      <c r="B962" s="3" t="s">
        <v>3161</v>
      </c>
      <c r="C962" s="3" t="s">
        <v>259</v>
      </c>
      <c r="D962" s="3">
        <v>9876543460</v>
      </c>
      <c r="E962" s="3" t="s">
        <v>4418</v>
      </c>
      <c r="F962" s="3" t="str" cm="1">
        <f t="array" ref="F962">IF(E962="","",_xlfn.XLOOKUP(E962,{"FIRST","SECOND","THIRD","FOURTH"},{"SEM-1","SEM-2","SEM-3","SEM-4"},""))</f>
        <v>SEM-1</v>
      </c>
      <c r="G962" s="3">
        <v>64</v>
      </c>
      <c r="H962" s="3">
        <v>56</v>
      </c>
      <c r="I962" s="3">
        <v>78</v>
      </c>
      <c r="J962" s="3">
        <f t="shared" ref="J962:J1025" si="45">SUM(G962:I962)</f>
        <v>198</v>
      </c>
      <c r="K962" s="3" t="str">
        <f t="shared" ref="K962:K1025" si="46">IF(OR(G962&gt;=70,H962&gt;=70,I962&gt;=70,J962&gt;=120),"P","F")</f>
        <v>P</v>
      </c>
      <c r="L962" s="3" t="str">
        <f t="shared" ref="L962:L1025" si="47">IF(J962&gt;=190,"A",IF(J962&gt;=150,"B",IF(J962&gt;=120,"C","FAIL")))</f>
        <v>A</v>
      </c>
    </row>
    <row r="963" spans="1:12" ht="14.25" customHeight="1">
      <c r="A963" s="3">
        <v>962</v>
      </c>
      <c r="B963" s="3" t="s">
        <v>3090</v>
      </c>
      <c r="C963" s="3" t="s">
        <v>188</v>
      </c>
      <c r="D963" s="3">
        <v>9876543389</v>
      </c>
      <c r="E963" s="3" t="s">
        <v>4419</v>
      </c>
      <c r="F963" s="3" t="str" cm="1">
        <f t="array" ref="F963">IF(E963="","",_xlfn.XLOOKUP(E963,{"FIRST","SECOND","THIRD","FOURTH"},{"SEM-1","SEM-2","SEM-3","SEM-4"},""))</f>
        <v>SEM-2</v>
      </c>
      <c r="G963" s="3">
        <v>47</v>
      </c>
      <c r="H963" s="3">
        <v>77</v>
      </c>
      <c r="I963" s="3">
        <v>56</v>
      </c>
      <c r="J963" s="3">
        <f t="shared" si="45"/>
        <v>180</v>
      </c>
      <c r="K963" s="3" t="str">
        <f t="shared" si="46"/>
        <v>P</v>
      </c>
      <c r="L963" s="3" t="str">
        <f t="shared" si="47"/>
        <v>B</v>
      </c>
    </row>
    <row r="964" spans="1:12" ht="14.25" customHeight="1">
      <c r="A964" s="3">
        <v>963</v>
      </c>
      <c r="B964" s="3" t="s">
        <v>3908</v>
      </c>
      <c r="C964" s="3" t="s">
        <v>999</v>
      </c>
      <c r="D964" s="3">
        <v>9876544207</v>
      </c>
      <c r="E964" s="3" t="s">
        <v>4419</v>
      </c>
      <c r="F964" s="3" t="str" cm="1">
        <f t="array" ref="F964">IF(E964="","",_xlfn.XLOOKUP(E964,{"FIRST","SECOND","THIRD","FOURTH"},{"SEM-1","SEM-2","SEM-3","SEM-4"},""))</f>
        <v>SEM-2</v>
      </c>
      <c r="G964" s="3">
        <v>64</v>
      </c>
      <c r="H964" s="3">
        <v>44</v>
      </c>
      <c r="I964" s="3">
        <v>8</v>
      </c>
      <c r="J964" s="3">
        <f t="shared" si="45"/>
        <v>116</v>
      </c>
      <c r="K964" s="3" t="str">
        <f t="shared" si="46"/>
        <v>F</v>
      </c>
      <c r="L964" s="3" t="str">
        <f t="shared" si="47"/>
        <v>FAIL</v>
      </c>
    </row>
    <row r="965" spans="1:12" ht="14.25" customHeight="1">
      <c r="A965" s="3">
        <v>964</v>
      </c>
      <c r="B965" s="3" t="s">
        <v>3457</v>
      </c>
      <c r="C965" s="3" t="s">
        <v>553</v>
      </c>
      <c r="D965" s="3">
        <v>9876543756</v>
      </c>
      <c r="E965" s="3" t="s">
        <v>4419</v>
      </c>
      <c r="F965" s="3" t="str" cm="1">
        <f t="array" ref="F965">IF(E965="","",_xlfn.XLOOKUP(E965,{"FIRST","SECOND","THIRD","FOURTH"},{"SEM-1","SEM-2","SEM-3","SEM-4"},""))</f>
        <v>SEM-2</v>
      </c>
      <c r="G965" s="3">
        <v>31</v>
      </c>
      <c r="H965" s="3">
        <v>40</v>
      </c>
      <c r="I965" s="3">
        <v>75</v>
      </c>
      <c r="J965" s="3">
        <f t="shared" si="45"/>
        <v>146</v>
      </c>
      <c r="K965" s="3" t="str">
        <f t="shared" si="46"/>
        <v>P</v>
      </c>
      <c r="L965" s="3" t="str">
        <f t="shared" si="47"/>
        <v>C</v>
      </c>
    </row>
    <row r="966" spans="1:12" ht="14.25" customHeight="1">
      <c r="A966" s="3">
        <v>965</v>
      </c>
      <c r="B966" s="3" t="s">
        <v>4077</v>
      </c>
      <c r="C966" s="3" t="s">
        <v>1163</v>
      </c>
      <c r="D966" s="3">
        <v>9876544376</v>
      </c>
      <c r="E966" s="3" t="s">
        <v>4418</v>
      </c>
      <c r="F966" s="3" t="str" cm="1">
        <f t="array" ref="F966">IF(E966="","",_xlfn.XLOOKUP(E966,{"FIRST","SECOND","THIRD","FOURTH"},{"SEM-1","SEM-2","SEM-3","SEM-4"},""))</f>
        <v>SEM-1</v>
      </c>
      <c r="G966" s="3">
        <v>3</v>
      </c>
      <c r="H966" s="3">
        <v>40</v>
      </c>
      <c r="I966" s="3">
        <v>62</v>
      </c>
      <c r="J966" s="3">
        <f t="shared" si="45"/>
        <v>105</v>
      </c>
      <c r="K966" s="3" t="str">
        <f t="shared" si="46"/>
        <v>F</v>
      </c>
      <c r="L966" s="3" t="str">
        <f t="shared" si="47"/>
        <v>FAIL</v>
      </c>
    </row>
    <row r="967" spans="1:12" ht="14.25" customHeight="1">
      <c r="A967" s="3">
        <v>966</v>
      </c>
      <c r="B967" s="3" t="s">
        <v>3129</v>
      </c>
      <c r="C967" s="3" t="s">
        <v>227</v>
      </c>
      <c r="D967" s="3">
        <v>9876543428</v>
      </c>
      <c r="E967" s="3" t="s">
        <v>4419</v>
      </c>
      <c r="F967" s="3" t="str" cm="1">
        <f t="array" ref="F967">IF(E967="","",_xlfn.XLOOKUP(E967,{"FIRST","SECOND","THIRD","FOURTH"},{"SEM-1","SEM-2","SEM-3","SEM-4"},""))</f>
        <v>SEM-2</v>
      </c>
      <c r="G967" s="3">
        <v>40</v>
      </c>
      <c r="H967" s="3">
        <v>69</v>
      </c>
      <c r="I967" s="3">
        <v>47</v>
      </c>
      <c r="J967" s="3">
        <f t="shared" si="45"/>
        <v>156</v>
      </c>
      <c r="K967" s="3" t="str">
        <f t="shared" si="46"/>
        <v>P</v>
      </c>
      <c r="L967" s="3" t="str">
        <f t="shared" si="47"/>
        <v>B</v>
      </c>
    </row>
    <row r="968" spans="1:12" ht="14.25" customHeight="1">
      <c r="A968" s="3">
        <v>967</v>
      </c>
      <c r="B968" s="3" t="s">
        <v>3954</v>
      </c>
      <c r="C968" s="3" t="s">
        <v>1044</v>
      </c>
      <c r="D968" s="3">
        <v>9876544253</v>
      </c>
      <c r="E968" s="3" t="s">
        <v>4418</v>
      </c>
      <c r="F968" s="3" t="str" cm="1">
        <f t="array" ref="F968">IF(E968="","",_xlfn.XLOOKUP(E968,{"FIRST","SECOND","THIRD","FOURTH"},{"SEM-1","SEM-2","SEM-3","SEM-4"},""))</f>
        <v>SEM-1</v>
      </c>
      <c r="G968" s="3">
        <v>47</v>
      </c>
      <c r="H968" s="3">
        <v>99</v>
      </c>
      <c r="I968" s="3">
        <v>6</v>
      </c>
      <c r="J968" s="3">
        <f t="shared" si="45"/>
        <v>152</v>
      </c>
      <c r="K968" s="3" t="str">
        <f t="shared" si="46"/>
        <v>P</v>
      </c>
      <c r="L968" s="3" t="str">
        <f t="shared" si="47"/>
        <v>B</v>
      </c>
    </row>
    <row r="969" spans="1:12" ht="14.25" customHeight="1">
      <c r="A969" s="3">
        <v>968</v>
      </c>
      <c r="B969" s="3" t="s">
        <v>2949</v>
      </c>
      <c r="C969" s="3" t="s">
        <v>47</v>
      </c>
      <c r="D969" s="3">
        <v>9876543248</v>
      </c>
      <c r="E969" s="3" t="s">
        <v>4418</v>
      </c>
      <c r="F969" s="3" t="str" cm="1">
        <f t="array" ref="F969">IF(E969="","",_xlfn.XLOOKUP(E969,{"FIRST","SECOND","THIRD","FOURTH"},{"SEM-1","SEM-2","SEM-3","SEM-4"},""))</f>
        <v>SEM-1</v>
      </c>
      <c r="G969" s="3">
        <v>77</v>
      </c>
      <c r="H969" s="3">
        <v>5</v>
      </c>
      <c r="I969" s="3">
        <v>31</v>
      </c>
      <c r="J969" s="3">
        <f t="shared" si="45"/>
        <v>113</v>
      </c>
      <c r="K969" s="3" t="str">
        <f t="shared" si="46"/>
        <v>P</v>
      </c>
      <c r="L969" s="3" t="str">
        <f t="shared" si="47"/>
        <v>FAIL</v>
      </c>
    </row>
    <row r="970" spans="1:12" ht="14.25" customHeight="1">
      <c r="A970" s="3">
        <v>969</v>
      </c>
      <c r="B970" s="3" t="s">
        <v>3152</v>
      </c>
      <c r="C970" s="3" t="s">
        <v>250</v>
      </c>
      <c r="D970" s="3">
        <v>9876543451</v>
      </c>
      <c r="E970" s="3" t="s">
        <v>4419</v>
      </c>
      <c r="F970" s="3" t="str" cm="1">
        <f t="array" ref="F970">IF(E970="","",_xlfn.XLOOKUP(E970,{"FIRST","SECOND","THIRD","FOURTH"},{"SEM-1","SEM-2","SEM-3","SEM-4"},""))</f>
        <v>SEM-2</v>
      </c>
      <c r="G970" s="3">
        <v>2</v>
      </c>
      <c r="H970" s="3">
        <v>82</v>
      </c>
      <c r="I970" s="3">
        <v>45</v>
      </c>
      <c r="J970" s="3">
        <f t="shared" si="45"/>
        <v>129</v>
      </c>
      <c r="K970" s="3" t="str">
        <f t="shared" si="46"/>
        <v>P</v>
      </c>
      <c r="L970" s="3" t="str">
        <f t="shared" si="47"/>
        <v>C</v>
      </c>
    </row>
    <row r="971" spans="1:12" ht="14.25" customHeight="1">
      <c r="A971" s="3">
        <v>970</v>
      </c>
      <c r="B971" s="3" t="s">
        <v>4135</v>
      </c>
      <c r="C971" s="3" t="s">
        <v>1220</v>
      </c>
      <c r="D971" s="3">
        <v>9876544434</v>
      </c>
      <c r="E971" s="3" t="s">
        <v>4420</v>
      </c>
      <c r="F971" s="3" t="str" cm="1">
        <f t="array" ref="F971">IF(E971="","",_xlfn.XLOOKUP(E971,{"FIRST","SECOND","THIRD","FOURTH"},{"SEM-1","SEM-2","SEM-3","SEM-4"},""))</f>
        <v>SEM-3</v>
      </c>
      <c r="G971" s="3">
        <v>3</v>
      </c>
      <c r="H971" s="3">
        <v>56</v>
      </c>
      <c r="I971" s="3">
        <v>95</v>
      </c>
      <c r="J971" s="3">
        <f t="shared" si="45"/>
        <v>154</v>
      </c>
      <c r="K971" s="3" t="str">
        <f t="shared" si="46"/>
        <v>P</v>
      </c>
      <c r="L971" s="3" t="str">
        <f t="shared" si="47"/>
        <v>B</v>
      </c>
    </row>
    <row r="972" spans="1:12" ht="14.25" customHeight="1">
      <c r="A972" s="3">
        <v>971</v>
      </c>
      <c r="B972" s="3" t="s">
        <v>3424</v>
      </c>
      <c r="C972" s="3" t="s">
        <v>520</v>
      </c>
      <c r="D972" s="3">
        <v>9876543723</v>
      </c>
      <c r="E972" s="3" t="s">
        <v>4419</v>
      </c>
      <c r="F972" s="3" t="str" cm="1">
        <f t="array" ref="F972">IF(E972="","",_xlfn.XLOOKUP(E972,{"FIRST","SECOND","THIRD","FOURTH"},{"SEM-1","SEM-2","SEM-3","SEM-4"},""))</f>
        <v>SEM-2</v>
      </c>
      <c r="G972" s="3">
        <v>12</v>
      </c>
      <c r="H972" s="3">
        <v>51</v>
      </c>
      <c r="I972" s="3">
        <v>21</v>
      </c>
      <c r="J972" s="3">
        <f t="shared" si="45"/>
        <v>84</v>
      </c>
      <c r="K972" s="3" t="str">
        <f t="shared" si="46"/>
        <v>F</v>
      </c>
      <c r="L972" s="3" t="str">
        <f t="shared" si="47"/>
        <v>FAIL</v>
      </c>
    </row>
    <row r="973" spans="1:12" ht="14.25" customHeight="1">
      <c r="A973" s="3">
        <v>972</v>
      </c>
      <c r="B973" s="3" t="s">
        <v>2923</v>
      </c>
      <c r="C973" s="3" t="s">
        <v>21</v>
      </c>
      <c r="D973" s="3">
        <v>9876543222</v>
      </c>
      <c r="E973" s="3" t="s">
        <v>4418</v>
      </c>
      <c r="F973" s="3" t="str" cm="1">
        <f t="array" ref="F973">IF(E973="","",_xlfn.XLOOKUP(E973,{"FIRST","SECOND","THIRD","FOURTH"},{"SEM-1","SEM-2","SEM-3","SEM-4"},""))</f>
        <v>SEM-1</v>
      </c>
      <c r="G973" s="3">
        <v>21</v>
      </c>
      <c r="H973" s="3">
        <v>61</v>
      </c>
      <c r="I973" s="3">
        <v>48</v>
      </c>
      <c r="J973" s="3">
        <f t="shared" si="45"/>
        <v>130</v>
      </c>
      <c r="K973" s="3" t="str">
        <f t="shared" si="46"/>
        <v>P</v>
      </c>
      <c r="L973" s="3" t="str">
        <f t="shared" si="47"/>
        <v>C</v>
      </c>
    </row>
    <row r="974" spans="1:12" ht="14.25" customHeight="1">
      <c r="A974" s="3">
        <v>973</v>
      </c>
      <c r="B974" s="3" t="s">
        <v>3492</v>
      </c>
      <c r="C974" s="3" t="s">
        <v>587</v>
      </c>
      <c r="D974" s="3">
        <v>9876543791</v>
      </c>
      <c r="E974" s="3" t="s">
        <v>4419</v>
      </c>
      <c r="F974" s="3" t="str" cm="1">
        <f t="array" ref="F974">IF(E974="","",_xlfn.XLOOKUP(E974,{"FIRST","SECOND","THIRD","FOURTH"},{"SEM-1","SEM-2","SEM-3","SEM-4"},""))</f>
        <v>SEM-2</v>
      </c>
      <c r="G974" s="3">
        <v>69</v>
      </c>
      <c r="H974" s="3">
        <v>7</v>
      </c>
      <c r="I974" s="3">
        <v>43</v>
      </c>
      <c r="J974" s="3">
        <f t="shared" si="45"/>
        <v>119</v>
      </c>
      <c r="K974" s="3" t="str">
        <f t="shared" si="46"/>
        <v>F</v>
      </c>
      <c r="L974" s="3" t="str">
        <f t="shared" si="47"/>
        <v>FAIL</v>
      </c>
    </row>
    <row r="975" spans="1:12" ht="14.25" customHeight="1">
      <c r="A975" s="3">
        <v>974</v>
      </c>
      <c r="B975" s="3" t="s">
        <v>3810</v>
      </c>
      <c r="C975" s="3" t="s">
        <v>902</v>
      </c>
      <c r="D975" s="3">
        <v>9876544109</v>
      </c>
      <c r="E975" s="3" t="s">
        <v>4419</v>
      </c>
      <c r="F975" s="3" t="str" cm="1">
        <f t="array" ref="F975">IF(E975="","",_xlfn.XLOOKUP(E975,{"FIRST","SECOND","THIRD","FOURTH"},{"SEM-1","SEM-2","SEM-3","SEM-4"},""))</f>
        <v>SEM-2</v>
      </c>
      <c r="G975" s="3">
        <v>62</v>
      </c>
      <c r="H975" s="3">
        <v>30</v>
      </c>
      <c r="I975" s="3">
        <v>76</v>
      </c>
      <c r="J975" s="3">
        <f t="shared" si="45"/>
        <v>168</v>
      </c>
      <c r="K975" s="3" t="str">
        <f t="shared" si="46"/>
        <v>P</v>
      </c>
      <c r="L975" s="3" t="str">
        <f t="shared" si="47"/>
        <v>B</v>
      </c>
    </row>
    <row r="976" spans="1:12" ht="14.25" customHeight="1">
      <c r="A976" s="3">
        <v>975</v>
      </c>
      <c r="B976" s="3" t="s">
        <v>3955</v>
      </c>
      <c r="C976" s="3" t="s">
        <v>1045</v>
      </c>
      <c r="D976" s="3">
        <v>9876544254</v>
      </c>
      <c r="E976" s="3" t="s">
        <v>4418</v>
      </c>
      <c r="F976" s="3" t="str" cm="1">
        <f t="array" ref="F976">IF(E976="","",_xlfn.XLOOKUP(E976,{"FIRST","SECOND","THIRD","FOURTH"},{"SEM-1","SEM-2","SEM-3","SEM-4"},""))</f>
        <v>SEM-1</v>
      </c>
      <c r="G976" s="3">
        <v>23</v>
      </c>
      <c r="H976" s="3">
        <v>10</v>
      </c>
      <c r="I976" s="3">
        <v>88</v>
      </c>
      <c r="J976" s="3">
        <f t="shared" si="45"/>
        <v>121</v>
      </c>
      <c r="K976" s="3" t="str">
        <f t="shared" si="46"/>
        <v>P</v>
      </c>
      <c r="L976" s="3" t="str">
        <f t="shared" si="47"/>
        <v>C</v>
      </c>
    </row>
    <row r="977" spans="1:12" ht="14.25" customHeight="1">
      <c r="A977" s="3">
        <v>976</v>
      </c>
      <c r="B977" s="3" t="s">
        <v>3326</v>
      </c>
      <c r="C977" s="3" t="s">
        <v>422</v>
      </c>
      <c r="D977" s="3">
        <v>9876543625</v>
      </c>
      <c r="E977" s="3" t="s">
        <v>4418</v>
      </c>
      <c r="F977" s="3" t="str" cm="1">
        <f t="array" ref="F977">IF(E977="","",_xlfn.XLOOKUP(E977,{"FIRST","SECOND","THIRD","FOURTH"},{"SEM-1","SEM-2","SEM-3","SEM-4"},""))</f>
        <v>SEM-1</v>
      </c>
      <c r="G977" s="3">
        <v>36</v>
      </c>
      <c r="H977" s="3">
        <v>12</v>
      </c>
      <c r="I977" s="3">
        <v>67</v>
      </c>
      <c r="J977" s="3">
        <f t="shared" si="45"/>
        <v>115</v>
      </c>
      <c r="K977" s="3" t="str">
        <f t="shared" si="46"/>
        <v>F</v>
      </c>
      <c r="L977" s="3" t="str">
        <f t="shared" si="47"/>
        <v>FAIL</v>
      </c>
    </row>
    <row r="978" spans="1:12" ht="14.25" customHeight="1">
      <c r="A978" s="3">
        <v>977</v>
      </c>
      <c r="B978" s="3" t="s">
        <v>3907</v>
      </c>
      <c r="C978" s="3" t="s">
        <v>998</v>
      </c>
      <c r="D978" s="3">
        <v>9876544206</v>
      </c>
      <c r="E978" s="3" t="s">
        <v>4418</v>
      </c>
      <c r="F978" s="3" t="str" cm="1">
        <f t="array" ref="F978">IF(E978="","",_xlfn.XLOOKUP(E978,{"FIRST","SECOND","THIRD","FOURTH"},{"SEM-1","SEM-2","SEM-3","SEM-4"},""))</f>
        <v>SEM-1</v>
      </c>
      <c r="G978" s="3">
        <v>63</v>
      </c>
      <c r="H978" s="3">
        <v>63</v>
      </c>
      <c r="I978" s="3">
        <v>17</v>
      </c>
      <c r="J978" s="3">
        <f t="shared" si="45"/>
        <v>143</v>
      </c>
      <c r="K978" s="3" t="str">
        <f t="shared" si="46"/>
        <v>P</v>
      </c>
      <c r="L978" s="3" t="str">
        <f t="shared" si="47"/>
        <v>C</v>
      </c>
    </row>
    <row r="979" spans="1:12" ht="14.25" customHeight="1">
      <c r="A979" s="3">
        <v>978</v>
      </c>
      <c r="B979" s="3" t="s">
        <v>3850</v>
      </c>
      <c r="C979" s="3" t="s">
        <v>942</v>
      </c>
      <c r="D979" s="3">
        <v>9876544149</v>
      </c>
      <c r="E979" s="3" t="s">
        <v>4420</v>
      </c>
      <c r="F979" s="3" t="str" cm="1">
        <f t="array" ref="F979">IF(E979="","",_xlfn.XLOOKUP(E979,{"FIRST","SECOND","THIRD","FOURTH"},{"SEM-1","SEM-2","SEM-3","SEM-4"},""))</f>
        <v>SEM-3</v>
      </c>
      <c r="G979" s="3">
        <v>30</v>
      </c>
      <c r="H979" s="3">
        <v>42</v>
      </c>
      <c r="I979" s="3">
        <v>18</v>
      </c>
      <c r="J979" s="3">
        <f t="shared" si="45"/>
        <v>90</v>
      </c>
      <c r="K979" s="3" t="str">
        <f t="shared" si="46"/>
        <v>F</v>
      </c>
      <c r="L979" s="3" t="str">
        <f t="shared" si="47"/>
        <v>FAIL</v>
      </c>
    </row>
    <row r="980" spans="1:12" ht="14.25" customHeight="1">
      <c r="A980" s="3">
        <v>979</v>
      </c>
      <c r="B980" s="3" t="s">
        <v>3124</v>
      </c>
      <c r="C980" s="3" t="s">
        <v>222</v>
      </c>
      <c r="D980" s="3">
        <v>9876543423</v>
      </c>
      <c r="E980" s="3" t="s">
        <v>4419</v>
      </c>
      <c r="F980" s="3" t="str" cm="1">
        <f t="array" ref="F980">IF(E980="","",_xlfn.XLOOKUP(E980,{"FIRST","SECOND","THIRD","FOURTH"},{"SEM-1","SEM-2","SEM-3","SEM-4"},""))</f>
        <v>SEM-2</v>
      </c>
      <c r="G980" s="3">
        <v>24</v>
      </c>
      <c r="H980" s="3">
        <v>94</v>
      </c>
      <c r="I980" s="3">
        <v>31</v>
      </c>
      <c r="J980" s="3">
        <f t="shared" si="45"/>
        <v>149</v>
      </c>
      <c r="K980" s="3" t="str">
        <f t="shared" si="46"/>
        <v>P</v>
      </c>
      <c r="L980" s="3" t="str">
        <f t="shared" si="47"/>
        <v>C</v>
      </c>
    </row>
    <row r="981" spans="1:12" ht="14.25" customHeight="1">
      <c r="A981" s="3">
        <v>980</v>
      </c>
      <c r="B981" s="3" t="s">
        <v>3297</v>
      </c>
      <c r="C981" s="3" t="s">
        <v>393</v>
      </c>
      <c r="D981" s="3">
        <v>9876543596</v>
      </c>
      <c r="E981" s="3" t="s">
        <v>4418</v>
      </c>
      <c r="F981" s="3" t="str" cm="1">
        <f t="array" ref="F981">IF(E981="","",_xlfn.XLOOKUP(E981,{"FIRST","SECOND","THIRD","FOURTH"},{"SEM-1","SEM-2","SEM-3","SEM-4"},""))</f>
        <v>SEM-1</v>
      </c>
      <c r="G981" s="3">
        <v>80</v>
      </c>
      <c r="H981" s="3">
        <v>93</v>
      </c>
      <c r="I981" s="3">
        <v>2</v>
      </c>
      <c r="J981" s="3">
        <f t="shared" si="45"/>
        <v>175</v>
      </c>
      <c r="K981" s="3" t="str">
        <f t="shared" si="46"/>
        <v>P</v>
      </c>
      <c r="L981" s="3" t="str">
        <f t="shared" si="47"/>
        <v>B</v>
      </c>
    </row>
    <row r="982" spans="1:12" ht="14.25" customHeight="1">
      <c r="A982" s="3">
        <v>981</v>
      </c>
      <c r="B982" s="3" t="s">
        <v>3780</v>
      </c>
      <c r="C982" s="3" t="s">
        <v>872</v>
      </c>
      <c r="D982" s="3">
        <v>9876544079</v>
      </c>
      <c r="E982" s="3" t="s">
        <v>4420</v>
      </c>
      <c r="F982" s="3" t="str" cm="1">
        <f t="array" ref="F982">IF(E982="","",_xlfn.XLOOKUP(E982,{"FIRST","SECOND","THIRD","FOURTH"},{"SEM-1","SEM-2","SEM-3","SEM-4"},""))</f>
        <v>SEM-3</v>
      </c>
      <c r="G982" s="3">
        <v>67</v>
      </c>
      <c r="H982" s="3">
        <v>6</v>
      </c>
      <c r="I982" s="3">
        <v>83</v>
      </c>
      <c r="J982" s="3">
        <f t="shared" si="45"/>
        <v>156</v>
      </c>
      <c r="K982" s="3" t="str">
        <f t="shared" si="46"/>
        <v>P</v>
      </c>
      <c r="L982" s="3" t="str">
        <f t="shared" si="47"/>
        <v>B</v>
      </c>
    </row>
    <row r="983" spans="1:12" ht="14.25" customHeight="1">
      <c r="A983" s="3">
        <v>982</v>
      </c>
      <c r="B983" s="3" t="s">
        <v>3103</v>
      </c>
      <c r="C983" s="3" t="s">
        <v>201</v>
      </c>
      <c r="D983" s="3">
        <v>9876543402</v>
      </c>
      <c r="E983" s="3" t="s">
        <v>4418</v>
      </c>
      <c r="F983" s="3" t="str" cm="1">
        <f t="array" ref="F983">IF(E983="","",_xlfn.XLOOKUP(E983,{"FIRST","SECOND","THIRD","FOURTH"},{"SEM-1","SEM-2","SEM-3","SEM-4"},""))</f>
        <v>SEM-1</v>
      </c>
      <c r="G983" s="3">
        <v>70</v>
      </c>
      <c r="H983" s="3">
        <v>81</v>
      </c>
      <c r="I983" s="3">
        <v>66</v>
      </c>
      <c r="J983" s="3">
        <f t="shared" si="45"/>
        <v>217</v>
      </c>
      <c r="K983" s="3" t="str">
        <f t="shared" si="46"/>
        <v>P</v>
      </c>
      <c r="L983" s="3" t="str">
        <f t="shared" si="47"/>
        <v>A</v>
      </c>
    </row>
    <row r="984" spans="1:12" ht="14.25" customHeight="1">
      <c r="A984" s="3">
        <v>983</v>
      </c>
      <c r="B984" s="3" t="s">
        <v>3367</v>
      </c>
      <c r="C984" s="3" t="s">
        <v>463</v>
      </c>
      <c r="D984" s="3">
        <v>9876543666</v>
      </c>
      <c r="E984" s="3" t="s">
        <v>4419</v>
      </c>
      <c r="F984" s="3" t="str" cm="1">
        <f t="array" ref="F984">IF(E984="","",_xlfn.XLOOKUP(E984,{"FIRST","SECOND","THIRD","FOURTH"},{"SEM-1","SEM-2","SEM-3","SEM-4"},""))</f>
        <v>SEM-2</v>
      </c>
      <c r="G984" s="3">
        <v>22</v>
      </c>
      <c r="H984" s="3">
        <v>47</v>
      </c>
      <c r="I984" s="3">
        <v>22</v>
      </c>
      <c r="J984" s="3">
        <f t="shared" si="45"/>
        <v>91</v>
      </c>
      <c r="K984" s="3" t="str">
        <f t="shared" si="46"/>
        <v>F</v>
      </c>
      <c r="L984" s="3" t="str">
        <f t="shared" si="47"/>
        <v>FAIL</v>
      </c>
    </row>
    <row r="985" spans="1:12" ht="14.25" customHeight="1">
      <c r="A985" s="3">
        <v>984</v>
      </c>
      <c r="B985" s="3" t="s">
        <v>3068</v>
      </c>
      <c r="C985" s="3" t="s">
        <v>166</v>
      </c>
      <c r="D985" s="3">
        <v>9876543367</v>
      </c>
      <c r="E985" s="3" t="s">
        <v>4418</v>
      </c>
      <c r="F985" s="3" t="str" cm="1">
        <f t="array" ref="F985">IF(E985="","",_xlfn.XLOOKUP(E985,{"FIRST","SECOND","THIRD","FOURTH"},{"SEM-1","SEM-2","SEM-3","SEM-4"},""))</f>
        <v>SEM-1</v>
      </c>
      <c r="G985" s="3">
        <v>56</v>
      </c>
      <c r="H985" s="3">
        <v>99</v>
      </c>
      <c r="I985" s="3">
        <v>53</v>
      </c>
      <c r="J985" s="3">
        <f t="shared" si="45"/>
        <v>208</v>
      </c>
      <c r="K985" s="3" t="str">
        <f t="shared" si="46"/>
        <v>P</v>
      </c>
      <c r="L985" s="3" t="str">
        <f t="shared" si="47"/>
        <v>A</v>
      </c>
    </row>
    <row r="986" spans="1:12" ht="14.25" customHeight="1">
      <c r="A986" s="3">
        <v>985</v>
      </c>
      <c r="B986" s="3" t="s">
        <v>3313</v>
      </c>
      <c r="C986" s="3" t="s">
        <v>409</v>
      </c>
      <c r="D986" s="3">
        <v>9876543612</v>
      </c>
      <c r="E986" s="3" t="s">
        <v>4420</v>
      </c>
      <c r="F986" s="3" t="str" cm="1">
        <f t="array" ref="F986">IF(E986="","",_xlfn.XLOOKUP(E986,{"FIRST","SECOND","THIRD","FOURTH"},{"SEM-1","SEM-2","SEM-3","SEM-4"},""))</f>
        <v>SEM-3</v>
      </c>
      <c r="G986" s="3">
        <v>53</v>
      </c>
      <c r="H986" s="3">
        <v>48</v>
      </c>
      <c r="I986" s="3">
        <v>84</v>
      </c>
      <c r="J986" s="3">
        <f t="shared" si="45"/>
        <v>185</v>
      </c>
      <c r="K986" s="3" t="str">
        <f t="shared" si="46"/>
        <v>P</v>
      </c>
      <c r="L986" s="3" t="str">
        <f t="shared" si="47"/>
        <v>B</v>
      </c>
    </row>
    <row r="987" spans="1:12" ht="14.25" customHeight="1">
      <c r="A987" s="3">
        <v>986</v>
      </c>
      <c r="B987" s="3" t="s">
        <v>4358</v>
      </c>
      <c r="C987" s="3" t="s">
        <v>1437</v>
      </c>
      <c r="D987" s="3">
        <v>9876544657</v>
      </c>
      <c r="E987" s="3" t="s">
        <v>4418</v>
      </c>
      <c r="F987" s="3" t="str" cm="1">
        <f t="array" ref="F987">IF(E987="","",_xlfn.XLOOKUP(E987,{"FIRST","SECOND","THIRD","FOURTH"},{"SEM-1","SEM-2","SEM-3","SEM-4"},""))</f>
        <v>SEM-1</v>
      </c>
      <c r="G987" s="3">
        <v>87</v>
      </c>
      <c r="H987" s="3">
        <v>89</v>
      </c>
      <c r="I987" s="3">
        <v>51</v>
      </c>
      <c r="J987" s="3">
        <f t="shared" si="45"/>
        <v>227</v>
      </c>
      <c r="K987" s="3" t="str">
        <f t="shared" si="46"/>
        <v>P</v>
      </c>
      <c r="L987" s="3" t="str">
        <f t="shared" si="47"/>
        <v>A</v>
      </c>
    </row>
    <row r="988" spans="1:12" ht="14.25" customHeight="1">
      <c r="A988" s="3">
        <v>987</v>
      </c>
      <c r="B988" s="3" t="s">
        <v>4321</v>
      </c>
      <c r="C988" s="3" t="s">
        <v>1401</v>
      </c>
      <c r="D988" s="3">
        <v>9876544620</v>
      </c>
      <c r="E988" s="3" t="s">
        <v>4419</v>
      </c>
      <c r="F988" s="3" t="str" cm="1">
        <f t="array" ref="F988">IF(E988="","",_xlfn.XLOOKUP(E988,{"FIRST","SECOND","THIRD","FOURTH"},{"SEM-1","SEM-2","SEM-3","SEM-4"},""))</f>
        <v>SEM-2</v>
      </c>
      <c r="G988" s="3">
        <v>65</v>
      </c>
      <c r="H988" s="3">
        <v>45</v>
      </c>
      <c r="I988" s="3">
        <v>29</v>
      </c>
      <c r="J988" s="3">
        <f t="shared" si="45"/>
        <v>139</v>
      </c>
      <c r="K988" s="3" t="str">
        <f t="shared" si="46"/>
        <v>P</v>
      </c>
      <c r="L988" s="3" t="str">
        <f t="shared" si="47"/>
        <v>C</v>
      </c>
    </row>
    <row r="989" spans="1:12" ht="14.25" customHeight="1">
      <c r="A989" s="3">
        <v>988</v>
      </c>
      <c r="B989" s="3" t="s">
        <v>2994</v>
      </c>
      <c r="C989" s="3" t="s">
        <v>92</v>
      </c>
      <c r="D989" s="3">
        <v>9876543293</v>
      </c>
      <c r="E989" s="3" t="s">
        <v>4420</v>
      </c>
      <c r="F989" s="3" t="str" cm="1">
        <f t="array" ref="F989">IF(E989="","",_xlfn.XLOOKUP(E989,{"FIRST","SECOND","THIRD","FOURTH"},{"SEM-1","SEM-2","SEM-3","SEM-4"},""))</f>
        <v>SEM-3</v>
      </c>
      <c r="G989" s="3">
        <v>0</v>
      </c>
      <c r="H989" s="3">
        <v>98</v>
      </c>
      <c r="I989" s="3">
        <v>74</v>
      </c>
      <c r="J989" s="3">
        <f t="shared" si="45"/>
        <v>172</v>
      </c>
      <c r="K989" s="3" t="str">
        <f t="shared" si="46"/>
        <v>P</v>
      </c>
      <c r="L989" s="3" t="str">
        <f t="shared" si="47"/>
        <v>B</v>
      </c>
    </row>
    <row r="990" spans="1:12" ht="14.25" customHeight="1">
      <c r="A990" s="3">
        <v>989</v>
      </c>
      <c r="B990" s="3" t="s">
        <v>3693</v>
      </c>
      <c r="C990" s="3" t="s">
        <v>786</v>
      </c>
      <c r="D990" s="3">
        <v>9876543992</v>
      </c>
      <c r="E990" s="3" t="s">
        <v>4418</v>
      </c>
      <c r="F990" s="3" t="str" cm="1">
        <f t="array" ref="F990">IF(E990="","",_xlfn.XLOOKUP(E990,{"FIRST","SECOND","THIRD","FOURTH"},{"SEM-1","SEM-2","SEM-3","SEM-4"},""))</f>
        <v>SEM-1</v>
      </c>
      <c r="G990" s="3">
        <v>32</v>
      </c>
      <c r="H990" s="3">
        <v>30</v>
      </c>
      <c r="I990" s="3">
        <v>73</v>
      </c>
      <c r="J990" s="3">
        <f t="shared" si="45"/>
        <v>135</v>
      </c>
      <c r="K990" s="3" t="str">
        <f t="shared" si="46"/>
        <v>P</v>
      </c>
      <c r="L990" s="3" t="str">
        <f t="shared" si="47"/>
        <v>C</v>
      </c>
    </row>
    <row r="991" spans="1:12" ht="14.25" customHeight="1">
      <c r="A991" s="3">
        <v>990</v>
      </c>
      <c r="B991" s="3" t="s">
        <v>4139</v>
      </c>
      <c r="C991" s="3" t="s">
        <v>1224</v>
      </c>
      <c r="D991" s="3">
        <v>9876544438</v>
      </c>
      <c r="E991" s="3" t="s">
        <v>4419</v>
      </c>
      <c r="F991" s="3" t="str" cm="1">
        <f t="array" ref="F991">IF(E991="","",_xlfn.XLOOKUP(E991,{"FIRST","SECOND","THIRD","FOURTH"},{"SEM-1","SEM-2","SEM-3","SEM-4"},""))</f>
        <v>SEM-2</v>
      </c>
      <c r="G991" s="3">
        <v>55</v>
      </c>
      <c r="H991" s="3">
        <v>26</v>
      </c>
      <c r="I991" s="3">
        <v>95</v>
      </c>
      <c r="J991" s="3">
        <f t="shared" si="45"/>
        <v>176</v>
      </c>
      <c r="K991" s="3" t="str">
        <f t="shared" si="46"/>
        <v>P</v>
      </c>
      <c r="L991" s="3" t="str">
        <f t="shared" si="47"/>
        <v>B</v>
      </c>
    </row>
    <row r="992" spans="1:12" ht="14.25" customHeight="1">
      <c r="A992" s="3">
        <v>991</v>
      </c>
      <c r="B992" s="3" t="s">
        <v>4397</v>
      </c>
      <c r="C992" s="3" t="s">
        <v>1476</v>
      </c>
      <c r="D992" s="3">
        <v>9876544696</v>
      </c>
      <c r="E992" s="3" t="s">
        <v>4418</v>
      </c>
      <c r="F992" s="3" t="str" cm="1">
        <f t="array" ref="F992">IF(E992="","",_xlfn.XLOOKUP(E992,{"FIRST","SECOND","THIRD","FOURTH"},{"SEM-1","SEM-2","SEM-3","SEM-4"},""))</f>
        <v>SEM-1</v>
      </c>
      <c r="G992" s="3">
        <v>3</v>
      </c>
      <c r="H992" s="3">
        <v>52</v>
      </c>
      <c r="I992" s="3">
        <v>49</v>
      </c>
      <c r="J992" s="3">
        <f t="shared" si="45"/>
        <v>104</v>
      </c>
      <c r="K992" s="3" t="str">
        <f t="shared" si="46"/>
        <v>F</v>
      </c>
      <c r="L992" s="3" t="str">
        <f t="shared" si="47"/>
        <v>FAIL</v>
      </c>
    </row>
    <row r="993" spans="1:12" ht="14.25" customHeight="1">
      <c r="A993" s="3">
        <v>992</v>
      </c>
      <c r="B993" s="3" t="s">
        <v>3160</v>
      </c>
      <c r="C993" s="3" t="s">
        <v>258</v>
      </c>
      <c r="D993" s="3">
        <v>9876543459</v>
      </c>
      <c r="E993" s="3" t="s">
        <v>4420</v>
      </c>
      <c r="F993" s="3" t="str" cm="1">
        <f t="array" ref="F993">IF(E993="","",_xlfn.XLOOKUP(E993,{"FIRST","SECOND","THIRD","FOURTH"},{"SEM-1","SEM-2","SEM-3","SEM-4"},""))</f>
        <v>SEM-3</v>
      </c>
      <c r="G993" s="3">
        <v>56</v>
      </c>
      <c r="H993" s="3">
        <v>87</v>
      </c>
      <c r="I993" s="3">
        <v>18</v>
      </c>
      <c r="J993" s="3">
        <f t="shared" si="45"/>
        <v>161</v>
      </c>
      <c r="K993" s="3" t="str">
        <f t="shared" si="46"/>
        <v>P</v>
      </c>
      <c r="L993" s="3" t="str">
        <f t="shared" si="47"/>
        <v>B</v>
      </c>
    </row>
    <row r="994" spans="1:12" ht="14.25" customHeight="1">
      <c r="A994" s="3">
        <v>993</v>
      </c>
      <c r="B994" s="3" t="s">
        <v>3543</v>
      </c>
      <c r="C994" s="3" t="s">
        <v>637</v>
      </c>
      <c r="D994" s="3">
        <v>9876543842</v>
      </c>
      <c r="E994" s="3" t="s">
        <v>4420</v>
      </c>
      <c r="F994" s="3" t="str" cm="1">
        <f t="array" ref="F994">IF(E994="","",_xlfn.XLOOKUP(E994,{"FIRST","SECOND","THIRD","FOURTH"},{"SEM-1","SEM-2","SEM-3","SEM-4"},""))</f>
        <v>SEM-3</v>
      </c>
      <c r="G994" s="3">
        <v>89</v>
      </c>
      <c r="H994" s="3">
        <v>42</v>
      </c>
      <c r="I994" s="3">
        <v>31</v>
      </c>
      <c r="J994" s="3">
        <f t="shared" si="45"/>
        <v>162</v>
      </c>
      <c r="K994" s="3" t="str">
        <f t="shared" si="46"/>
        <v>P</v>
      </c>
      <c r="L994" s="3" t="str">
        <f t="shared" si="47"/>
        <v>B</v>
      </c>
    </row>
    <row r="995" spans="1:12" ht="14.25" customHeight="1">
      <c r="A995" s="3">
        <v>994</v>
      </c>
      <c r="B995" s="3" t="s">
        <v>3714</v>
      </c>
      <c r="C995" s="3" t="s">
        <v>807</v>
      </c>
      <c r="D995" s="3">
        <v>9876544013</v>
      </c>
      <c r="E995" s="3" t="s">
        <v>4419</v>
      </c>
      <c r="F995" s="3" t="str" cm="1">
        <f t="array" ref="F995">IF(E995="","",_xlfn.XLOOKUP(E995,{"FIRST","SECOND","THIRD","FOURTH"},{"SEM-1","SEM-2","SEM-3","SEM-4"},""))</f>
        <v>SEM-2</v>
      </c>
      <c r="G995" s="3">
        <v>14</v>
      </c>
      <c r="H995" s="3">
        <v>79</v>
      </c>
      <c r="I995" s="3">
        <v>24</v>
      </c>
      <c r="J995" s="3">
        <f t="shared" si="45"/>
        <v>117</v>
      </c>
      <c r="K995" s="3" t="str">
        <f t="shared" si="46"/>
        <v>P</v>
      </c>
      <c r="L995" s="3" t="str">
        <f t="shared" si="47"/>
        <v>FAIL</v>
      </c>
    </row>
    <row r="996" spans="1:12" ht="14.25" customHeight="1">
      <c r="A996" s="3">
        <v>995</v>
      </c>
      <c r="B996" s="3" t="s">
        <v>3663</v>
      </c>
      <c r="C996" s="3" t="s">
        <v>756</v>
      </c>
      <c r="D996" s="3">
        <v>9876543962</v>
      </c>
      <c r="E996" s="3" t="s">
        <v>4419</v>
      </c>
      <c r="F996" s="3" t="str" cm="1">
        <f t="array" ref="F996">IF(E996="","",_xlfn.XLOOKUP(E996,{"FIRST","SECOND","THIRD","FOURTH"},{"SEM-1","SEM-2","SEM-3","SEM-4"},""))</f>
        <v>SEM-2</v>
      </c>
      <c r="G996" s="3">
        <v>19</v>
      </c>
      <c r="H996" s="3">
        <v>49</v>
      </c>
      <c r="I996" s="3">
        <v>67</v>
      </c>
      <c r="J996" s="3">
        <f t="shared" si="45"/>
        <v>135</v>
      </c>
      <c r="K996" s="3" t="str">
        <f t="shared" si="46"/>
        <v>P</v>
      </c>
      <c r="L996" s="3" t="str">
        <f t="shared" si="47"/>
        <v>C</v>
      </c>
    </row>
    <row r="997" spans="1:12" ht="14.25" customHeight="1">
      <c r="A997" s="3">
        <v>996</v>
      </c>
      <c r="B997" s="3" t="s">
        <v>4029</v>
      </c>
      <c r="C997" s="3" t="s">
        <v>1118</v>
      </c>
      <c r="D997" s="3">
        <v>9876544328</v>
      </c>
      <c r="E997" s="3" t="s">
        <v>4420</v>
      </c>
      <c r="F997" s="3" t="str" cm="1">
        <f t="array" ref="F997">IF(E997="","",_xlfn.XLOOKUP(E997,{"FIRST","SECOND","THIRD","FOURTH"},{"SEM-1","SEM-2","SEM-3","SEM-4"},""))</f>
        <v>SEM-3</v>
      </c>
      <c r="G997" s="3">
        <v>64</v>
      </c>
      <c r="H997" s="3">
        <v>28</v>
      </c>
      <c r="I997" s="3">
        <v>53</v>
      </c>
      <c r="J997" s="3">
        <f t="shared" si="45"/>
        <v>145</v>
      </c>
      <c r="K997" s="3" t="str">
        <f t="shared" si="46"/>
        <v>P</v>
      </c>
      <c r="L997" s="3" t="str">
        <f t="shared" si="47"/>
        <v>C</v>
      </c>
    </row>
    <row r="998" spans="1:12" ht="14.25" customHeight="1">
      <c r="A998" s="3">
        <v>997</v>
      </c>
      <c r="B998" s="3" t="s">
        <v>4382</v>
      </c>
      <c r="C998" s="3" t="s">
        <v>1461</v>
      </c>
      <c r="D998" s="3">
        <v>9876544681</v>
      </c>
      <c r="E998" s="3" t="s">
        <v>4418</v>
      </c>
      <c r="F998" s="3" t="str" cm="1">
        <f t="array" ref="F998">IF(E998="","",_xlfn.XLOOKUP(E998,{"FIRST","SECOND","THIRD","FOURTH"},{"SEM-1","SEM-2","SEM-3","SEM-4"},""))</f>
        <v>SEM-1</v>
      </c>
      <c r="G998" s="3">
        <v>45</v>
      </c>
      <c r="H998" s="3">
        <v>96</v>
      </c>
      <c r="I998" s="3">
        <v>45</v>
      </c>
      <c r="J998" s="3">
        <f t="shared" si="45"/>
        <v>186</v>
      </c>
      <c r="K998" s="3" t="str">
        <f t="shared" si="46"/>
        <v>P</v>
      </c>
      <c r="L998" s="3" t="str">
        <f t="shared" si="47"/>
        <v>B</v>
      </c>
    </row>
    <row r="999" spans="1:12" ht="14.25" customHeight="1">
      <c r="A999" s="3">
        <v>998</v>
      </c>
      <c r="B999" s="3" t="s">
        <v>3964</v>
      </c>
      <c r="C999" s="3" t="s">
        <v>1054</v>
      </c>
      <c r="D999" s="3">
        <v>9876544263</v>
      </c>
      <c r="E999" s="3" t="s">
        <v>4419</v>
      </c>
      <c r="F999" s="3" t="str" cm="1">
        <f t="array" ref="F999">IF(E999="","",_xlfn.XLOOKUP(E999,{"FIRST","SECOND","THIRD","FOURTH"},{"SEM-1","SEM-2","SEM-3","SEM-4"},""))</f>
        <v>SEM-2</v>
      </c>
      <c r="G999" s="3">
        <v>46</v>
      </c>
      <c r="H999" s="3">
        <v>85</v>
      </c>
      <c r="I999" s="3">
        <v>3</v>
      </c>
      <c r="J999" s="3">
        <f t="shared" si="45"/>
        <v>134</v>
      </c>
      <c r="K999" s="3" t="str">
        <f t="shared" si="46"/>
        <v>P</v>
      </c>
      <c r="L999" s="3" t="str">
        <f t="shared" si="47"/>
        <v>C</v>
      </c>
    </row>
    <row r="1000" spans="1:12" ht="14.25" customHeight="1">
      <c r="A1000" s="3">
        <v>999</v>
      </c>
      <c r="B1000" s="3" t="s">
        <v>3401</v>
      </c>
      <c r="C1000" s="3" t="s">
        <v>497</v>
      </c>
      <c r="D1000" s="3">
        <v>9876543700</v>
      </c>
      <c r="E1000" s="3" t="s">
        <v>4419</v>
      </c>
      <c r="F1000" s="3" t="str" cm="1">
        <f t="array" ref="F1000">IF(E1000="","",_xlfn.XLOOKUP(E1000,{"FIRST","SECOND","THIRD","FOURTH"},{"SEM-1","SEM-2","SEM-3","SEM-4"},""))</f>
        <v>SEM-2</v>
      </c>
      <c r="G1000" s="3">
        <v>7</v>
      </c>
      <c r="H1000" s="3">
        <v>96</v>
      </c>
      <c r="I1000" s="3">
        <v>69</v>
      </c>
      <c r="J1000" s="3">
        <f t="shared" si="45"/>
        <v>172</v>
      </c>
      <c r="K1000" s="3" t="str">
        <f t="shared" si="46"/>
        <v>P</v>
      </c>
      <c r="L1000" s="3" t="str">
        <f t="shared" si="47"/>
        <v>B</v>
      </c>
    </row>
    <row r="1001" spans="1:12" ht="14.25" customHeight="1">
      <c r="A1001" s="3">
        <v>1000</v>
      </c>
      <c r="B1001" s="3" t="s">
        <v>3598</v>
      </c>
      <c r="C1001" s="3" t="s">
        <v>692</v>
      </c>
      <c r="D1001" s="3">
        <v>9876543897</v>
      </c>
      <c r="E1001" s="3" t="s">
        <v>4418</v>
      </c>
      <c r="F1001" s="3" t="str" cm="1">
        <f t="array" ref="F1001">IF(E1001="","",_xlfn.XLOOKUP(E1001,{"FIRST","SECOND","THIRD","FOURTH"},{"SEM-1","SEM-2","SEM-3","SEM-4"},""))</f>
        <v>SEM-1</v>
      </c>
      <c r="G1001" s="3">
        <v>62</v>
      </c>
      <c r="H1001" s="3">
        <v>43</v>
      </c>
      <c r="I1001" s="3">
        <v>86</v>
      </c>
      <c r="J1001" s="3">
        <f t="shared" si="45"/>
        <v>191</v>
      </c>
      <c r="K1001" s="3" t="str">
        <f t="shared" si="46"/>
        <v>P</v>
      </c>
      <c r="L1001" s="3" t="str">
        <f t="shared" si="47"/>
        <v>A</v>
      </c>
    </row>
    <row r="1002" spans="1:12" ht="14.25" customHeight="1">
      <c r="A1002" s="3">
        <v>1001</v>
      </c>
      <c r="B1002" s="3" t="s">
        <v>4115</v>
      </c>
      <c r="C1002" s="3" t="s">
        <v>1200</v>
      </c>
      <c r="D1002" s="3">
        <v>9876544414</v>
      </c>
      <c r="E1002" s="3" t="s">
        <v>4418</v>
      </c>
      <c r="F1002" s="3" t="str" cm="1">
        <f t="array" ref="F1002">IF(E1002="","",_xlfn.XLOOKUP(E1002,{"FIRST","SECOND","THIRD","FOURTH"},{"SEM-1","SEM-2","SEM-3","SEM-4"},""))</f>
        <v>SEM-1</v>
      </c>
      <c r="G1002" s="3">
        <v>1</v>
      </c>
      <c r="H1002" s="3">
        <v>67</v>
      </c>
      <c r="I1002" s="3">
        <v>61</v>
      </c>
      <c r="J1002" s="3">
        <f t="shared" si="45"/>
        <v>129</v>
      </c>
      <c r="K1002" s="3" t="str">
        <f t="shared" si="46"/>
        <v>P</v>
      </c>
      <c r="L1002" s="3" t="str">
        <f t="shared" si="47"/>
        <v>C</v>
      </c>
    </row>
    <row r="1003" spans="1:12" ht="14.25" customHeight="1">
      <c r="A1003" s="3">
        <v>1002</v>
      </c>
      <c r="B1003" s="3" t="s">
        <v>3306</v>
      </c>
      <c r="C1003" s="3" t="s">
        <v>402</v>
      </c>
      <c r="D1003" s="3">
        <v>9876543605</v>
      </c>
      <c r="E1003" s="3" t="s">
        <v>4418</v>
      </c>
      <c r="F1003" s="3" t="str" cm="1">
        <f t="array" ref="F1003">IF(E1003="","",_xlfn.XLOOKUP(E1003,{"FIRST","SECOND","THIRD","FOURTH"},{"SEM-1","SEM-2","SEM-3","SEM-4"},""))</f>
        <v>SEM-1</v>
      </c>
      <c r="G1003" s="3">
        <v>25</v>
      </c>
      <c r="H1003" s="3">
        <v>60</v>
      </c>
      <c r="I1003" s="3">
        <v>97</v>
      </c>
      <c r="J1003" s="3">
        <f t="shared" si="45"/>
        <v>182</v>
      </c>
      <c r="K1003" s="3" t="str">
        <f t="shared" si="46"/>
        <v>P</v>
      </c>
      <c r="L1003" s="3" t="str">
        <f t="shared" si="47"/>
        <v>B</v>
      </c>
    </row>
    <row r="1004" spans="1:12" ht="14.25" customHeight="1">
      <c r="A1004" s="3">
        <v>1003</v>
      </c>
      <c r="B1004" s="3" t="s">
        <v>3360</v>
      </c>
      <c r="C1004" s="3" t="s">
        <v>456</v>
      </c>
      <c r="D1004" s="3">
        <v>9876543659</v>
      </c>
      <c r="E1004" s="3" t="s">
        <v>4418</v>
      </c>
      <c r="F1004" s="3" t="str" cm="1">
        <f t="array" ref="F1004">IF(E1004="","",_xlfn.XLOOKUP(E1004,{"FIRST","SECOND","THIRD","FOURTH"},{"SEM-1","SEM-2","SEM-3","SEM-4"},""))</f>
        <v>SEM-1</v>
      </c>
      <c r="G1004" s="3">
        <v>44</v>
      </c>
      <c r="H1004" s="3">
        <v>51</v>
      </c>
      <c r="I1004" s="3">
        <v>57</v>
      </c>
      <c r="J1004" s="3">
        <f t="shared" si="45"/>
        <v>152</v>
      </c>
      <c r="K1004" s="3" t="str">
        <f t="shared" si="46"/>
        <v>P</v>
      </c>
      <c r="L1004" s="3" t="str">
        <f t="shared" si="47"/>
        <v>B</v>
      </c>
    </row>
    <row r="1005" spans="1:12" ht="14.25" customHeight="1">
      <c r="A1005" s="3">
        <v>1004</v>
      </c>
      <c r="B1005" s="3" t="s">
        <v>3577</v>
      </c>
      <c r="C1005" s="3" t="s">
        <v>671</v>
      </c>
      <c r="D1005" s="3">
        <v>9876543876</v>
      </c>
      <c r="E1005" s="3" t="s">
        <v>4420</v>
      </c>
      <c r="F1005" s="3" t="str" cm="1">
        <f t="array" ref="F1005">IF(E1005="","",_xlfn.XLOOKUP(E1005,{"FIRST","SECOND","THIRD","FOURTH"},{"SEM-1","SEM-2","SEM-3","SEM-4"},""))</f>
        <v>SEM-3</v>
      </c>
      <c r="G1005" s="3">
        <v>95</v>
      </c>
      <c r="H1005" s="3">
        <v>38</v>
      </c>
      <c r="I1005" s="3">
        <v>25</v>
      </c>
      <c r="J1005" s="3">
        <f t="shared" si="45"/>
        <v>158</v>
      </c>
      <c r="K1005" s="3" t="str">
        <f t="shared" si="46"/>
        <v>P</v>
      </c>
      <c r="L1005" s="3" t="str">
        <f t="shared" si="47"/>
        <v>B</v>
      </c>
    </row>
    <row r="1006" spans="1:12" ht="14.25" customHeight="1">
      <c r="A1006" s="3">
        <v>1005</v>
      </c>
      <c r="B1006" s="3" t="s">
        <v>3008</v>
      </c>
      <c r="C1006" s="3" t="s">
        <v>106</v>
      </c>
      <c r="D1006" s="3">
        <v>9876543307</v>
      </c>
      <c r="E1006" s="3" t="s">
        <v>4418</v>
      </c>
      <c r="F1006" s="3" t="str" cm="1">
        <f t="array" ref="F1006">IF(E1006="","",_xlfn.XLOOKUP(E1006,{"FIRST","SECOND","THIRD","FOURTH"},{"SEM-1","SEM-2","SEM-3","SEM-4"},""))</f>
        <v>SEM-1</v>
      </c>
      <c r="G1006" s="3">
        <v>97</v>
      </c>
      <c r="H1006" s="3">
        <v>70</v>
      </c>
      <c r="I1006" s="3">
        <v>31</v>
      </c>
      <c r="J1006" s="3">
        <f t="shared" si="45"/>
        <v>198</v>
      </c>
      <c r="K1006" s="3" t="str">
        <f t="shared" si="46"/>
        <v>P</v>
      </c>
      <c r="L1006" s="3" t="str">
        <f t="shared" si="47"/>
        <v>A</v>
      </c>
    </row>
    <row r="1007" spans="1:12" ht="14.25" customHeight="1">
      <c r="A1007" s="3">
        <v>1006</v>
      </c>
      <c r="B1007" s="3" t="s">
        <v>4024</v>
      </c>
      <c r="C1007" s="3" t="s">
        <v>1113</v>
      </c>
      <c r="D1007" s="3">
        <v>9876544323</v>
      </c>
      <c r="E1007" s="3" t="s">
        <v>4418</v>
      </c>
      <c r="F1007" s="3" t="str" cm="1">
        <f t="array" ref="F1007">IF(E1007="","",_xlfn.XLOOKUP(E1007,{"FIRST","SECOND","THIRD","FOURTH"},{"SEM-1","SEM-2","SEM-3","SEM-4"},""))</f>
        <v>SEM-1</v>
      </c>
      <c r="G1007" s="3">
        <v>90</v>
      </c>
      <c r="H1007" s="3">
        <v>26</v>
      </c>
      <c r="I1007" s="3">
        <v>57</v>
      </c>
      <c r="J1007" s="3">
        <f t="shared" si="45"/>
        <v>173</v>
      </c>
      <c r="K1007" s="3" t="str">
        <f t="shared" si="46"/>
        <v>P</v>
      </c>
      <c r="L1007" s="3" t="str">
        <f t="shared" si="47"/>
        <v>B</v>
      </c>
    </row>
    <row r="1008" spans="1:12" ht="14.25" customHeight="1">
      <c r="A1008" s="3">
        <v>1007</v>
      </c>
      <c r="B1008" s="3" t="s">
        <v>2998</v>
      </c>
      <c r="C1008" s="3" t="s">
        <v>96</v>
      </c>
      <c r="D1008" s="3">
        <v>9876543297</v>
      </c>
      <c r="E1008" s="3" t="s">
        <v>4420</v>
      </c>
      <c r="F1008" s="3" t="str" cm="1">
        <f t="array" ref="F1008">IF(E1008="","",_xlfn.XLOOKUP(E1008,{"FIRST","SECOND","THIRD","FOURTH"},{"SEM-1","SEM-2","SEM-3","SEM-4"},""))</f>
        <v>SEM-3</v>
      </c>
      <c r="G1008" s="3">
        <v>85</v>
      </c>
      <c r="H1008" s="3">
        <v>50</v>
      </c>
      <c r="I1008" s="3">
        <v>19</v>
      </c>
      <c r="J1008" s="3">
        <f t="shared" si="45"/>
        <v>154</v>
      </c>
      <c r="K1008" s="3" t="str">
        <f t="shared" si="46"/>
        <v>P</v>
      </c>
      <c r="L1008" s="3" t="str">
        <f t="shared" si="47"/>
        <v>B</v>
      </c>
    </row>
    <row r="1009" spans="1:12" ht="14.25" customHeight="1">
      <c r="A1009" s="3">
        <v>1008</v>
      </c>
      <c r="B1009" s="3" t="s">
        <v>3104</v>
      </c>
      <c r="C1009" s="3" t="s">
        <v>202</v>
      </c>
      <c r="D1009" s="3">
        <v>9876543403</v>
      </c>
      <c r="E1009" s="3" t="s">
        <v>4418</v>
      </c>
      <c r="F1009" s="3" t="str" cm="1">
        <f t="array" ref="F1009">IF(E1009="","",_xlfn.XLOOKUP(E1009,{"FIRST","SECOND","THIRD","FOURTH"},{"SEM-1","SEM-2","SEM-3","SEM-4"},""))</f>
        <v>SEM-1</v>
      </c>
      <c r="G1009" s="3">
        <v>62</v>
      </c>
      <c r="H1009" s="3">
        <v>9</v>
      </c>
      <c r="I1009" s="3">
        <v>45</v>
      </c>
      <c r="J1009" s="3">
        <f t="shared" si="45"/>
        <v>116</v>
      </c>
      <c r="K1009" s="3" t="str">
        <f t="shared" si="46"/>
        <v>F</v>
      </c>
      <c r="L1009" s="3" t="str">
        <f t="shared" si="47"/>
        <v>FAIL</v>
      </c>
    </row>
    <row r="1010" spans="1:12" ht="14.25" customHeight="1">
      <c r="A1010" s="3">
        <v>1009</v>
      </c>
      <c r="B1010" s="3" t="s">
        <v>3536</v>
      </c>
      <c r="C1010" s="3" t="s">
        <v>202</v>
      </c>
      <c r="D1010" s="3">
        <v>9876543835</v>
      </c>
      <c r="E1010" s="3" t="s">
        <v>4418</v>
      </c>
      <c r="F1010" s="3" t="str" cm="1">
        <f t="array" ref="F1010">IF(E1010="","",_xlfn.XLOOKUP(E1010,{"FIRST","SECOND","THIRD","FOURTH"},{"SEM-1","SEM-2","SEM-3","SEM-4"},""))</f>
        <v>SEM-1</v>
      </c>
      <c r="G1010" s="3">
        <v>46</v>
      </c>
      <c r="H1010" s="3">
        <v>42</v>
      </c>
      <c r="I1010" s="3">
        <v>99</v>
      </c>
      <c r="J1010" s="3">
        <f t="shared" si="45"/>
        <v>187</v>
      </c>
      <c r="K1010" s="3" t="str">
        <f t="shared" si="46"/>
        <v>P</v>
      </c>
      <c r="L1010" s="3" t="str">
        <f t="shared" si="47"/>
        <v>B</v>
      </c>
    </row>
    <row r="1011" spans="1:12" ht="14.25" customHeight="1">
      <c r="A1011" s="3">
        <v>1010</v>
      </c>
      <c r="B1011" s="3" t="s">
        <v>2934</v>
      </c>
      <c r="C1011" s="3" t="s">
        <v>32</v>
      </c>
      <c r="D1011" s="3">
        <v>9876543233</v>
      </c>
      <c r="E1011" s="3" t="s">
        <v>4418</v>
      </c>
      <c r="F1011" s="3" t="str" cm="1">
        <f t="array" ref="F1011">IF(E1011="","",_xlfn.XLOOKUP(E1011,{"FIRST","SECOND","THIRD","FOURTH"},{"SEM-1","SEM-2","SEM-3","SEM-4"},""))</f>
        <v>SEM-1</v>
      </c>
      <c r="G1011" s="3">
        <v>45</v>
      </c>
      <c r="H1011" s="3">
        <v>25</v>
      </c>
      <c r="I1011" s="3">
        <v>61</v>
      </c>
      <c r="J1011" s="3">
        <f t="shared" si="45"/>
        <v>131</v>
      </c>
      <c r="K1011" s="3" t="str">
        <f t="shared" si="46"/>
        <v>P</v>
      </c>
      <c r="L1011" s="3" t="str">
        <f t="shared" si="47"/>
        <v>C</v>
      </c>
    </row>
    <row r="1012" spans="1:12" ht="14.25" customHeight="1">
      <c r="A1012" s="3">
        <v>1011</v>
      </c>
      <c r="B1012" s="3" t="s">
        <v>3741</v>
      </c>
      <c r="C1012" s="3" t="s">
        <v>834</v>
      </c>
      <c r="D1012" s="3">
        <v>9876544040</v>
      </c>
      <c r="E1012" s="3" t="s">
        <v>4418</v>
      </c>
      <c r="F1012" s="3" t="str" cm="1">
        <f t="array" ref="F1012">IF(E1012="","",_xlfn.XLOOKUP(E1012,{"FIRST","SECOND","THIRD","FOURTH"},{"SEM-1","SEM-2","SEM-3","SEM-4"},""))</f>
        <v>SEM-1</v>
      </c>
      <c r="G1012" s="3">
        <v>81</v>
      </c>
      <c r="H1012" s="3">
        <v>98</v>
      </c>
      <c r="I1012" s="3">
        <v>88</v>
      </c>
      <c r="J1012" s="3">
        <f t="shared" si="45"/>
        <v>267</v>
      </c>
      <c r="K1012" s="3" t="str">
        <f t="shared" si="46"/>
        <v>P</v>
      </c>
      <c r="L1012" s="3" t="str">
        <f t="shared" si="47"/>
        <v>A</v>
      </c>
    </row>
    <row r="1013" spans="1:12" ht="14.25" customHeight="1">
      <c r="A1013" s="3">
        <v>1012</v>
      </c>
      <c r="B1013" s="3" t="s">
        <v>4158</v>
      </c>
      <c r="C1013" s="3" t="s">
        <v>1243</v>
      </c>
      <c r="D1013" s="3">
        <v>9876544457</v>
      </c>
      <c r="E1013" s="3" t="s">
        <v>4419</v>
      </c>
      <c r="F1013" s="3" t="str" cm="1">
        <f t="array" ref="F1013">IF(E1013="","",_xlfn.XLOOKUP(E1013,{"FIRST","SECOND","THIRD","FOURTH"},{"SEM-1","SEM-2","SEM-3","SEM-4"},""))</f>
        <v>SEM-2</v>
      </c>
      <c r="G1013" s="3">
        <v>3</v>
      </c>
      <c r="H1013" s="3">
        <v>59</v>
      </c>
      <c r="I1013" s="3">
        <v>55</v>
      </c>
      <c r="J1013" s="3">
        <f t="shared" si="45"/>
        <v>117</v>
      </c>
      <c r="K1013" s="3" t="str">
        <f t="shared" si="46"/>
        <v>F</v>
      </c>
      <c r="L1013" s="3" t="str">
        <f t="shared" si="47"/>
        <v>FAIL</v>
      </c>
    </row>
    <row r="1014" spans="1:12" ht="14.25" customHeight="1">
      <c r="A1014" s="3">
        <v>1013</v>
      </c>
      <c r="B1014" s="3" t="s">
        <v>3570</v>
      </c>
      <c r="C1014" s="3" t="s">
        <v>664</v>
      </c>
      <c r="D1014" s="3">
        <v>9876543869</v>
      </c>
      <c r="E1014" s="3" t="s">
        <v>4418</v>
      </c>
      <c r="F1014" s="3" t="str" cm="1">
        <f t="array" ref="F1014">IF(E1014="","",_xlfn.XLOOKUP(E1014,{"FIRST","SECOND","THIRD","FOURTH"},{"SEM-1","SEM-2","SEM-3","SEM-4"},""))</f>
        <v>SEM-1</v>
      </c>
      <c r="G1014" s="3">
        <v>5</v>
      </c>
      <c r="H1014" s="3">
        <v>85</v>
      </c>
      <c r="I1014" s="3">
        <v>16</v>
      </c>
      <c r="J1014" s="3">
        <f t="shared" si="45"/>
        <v>106</v>
      </c>
      <c r="K1014" s="3" t="str">
        <f t="shared" si="46"/>
        <v>P</v>
      </c>
      <c r="L1014" s="3" t="str">
        <f t="shared" si="47"/>
        <v>FAIL</v>
      </c>
    </row>
    <row r="1015" spans="1:12" ht="14.25" customHeight="1">
      <c r="A1015" s="3">
        <v>1014</v>
      </c>
      <c r="B1015" s="3" t="s">
        <v>4340</v>
      </c>
      <c r="C1015" s="3" t="s">
        <v>1419</v>
      </c>
      <c r="D1015" s="3">
        <v>9876544639</v>
      </c>
      <c r="E1015" s="3" t="s">
        <v>4420</v>
      </c>
      <c r="F1015" s="3" t="str" cm="1">
        <f t="array" ref="F1015">IF(E1015="","",_xlfn.XLOOKUP(E1015,{"FIRST","SECOND","THIRD","FOURTH"},{"SEM-1","SEM-2","SEM-3","SEM-4"},""))</f>
        <v>SEM-3</v>
      </c>
      <c r="G1015" s="3">
        <v>47</v>
      </c>
      <c r="H1015" s="3">
        <v>54</v>
      </c>
      <c r="I1015" s="3">
        <v>19</v>
      </c>
      <c r="J1015" s="3">
        <f t="shared" si="45"/>
        <v>120</v>
      </c>
      <c r="K1015" s="3" t="str">
        <f t="shared" si="46"/>
        <v>P</v>
      </c>
      <c r="L1015" s="3" t="str">
        <f t="shared" si="47"/>
        <v>C</v>
      </c>
    </row>
    <row r="1016" spans="1:12" ht="14.25" customHeight="1">
      <c r="A1016" s="3">
        <v>1015</v>
      </c>
      <c r="B1016" s="3" t="s">
        <v>3590</v>
      </c>
      <c r="C1016" s="3" t="s">
        <v>684</v>
      </c>
      <c r="D1016" s="3">
        <v>9876543889</v>
      </c>
      <c r="E1016" s="3" t="s">
        <v>4420</v>
      </c>
      <c r="F1016" s="3" t="str" cm="1">
        <f t="array" ref="F1016">IF(E1016="","",_xlfn.XLOOKUP(E1016,{"FIRST","SECOND","THIRD","FOURTH"},{"SEM-1","SEM-2","SEM-3","SEM-4"},""))</f>
        <v>SEM-3</v>
      </c>
      <c r="G1016" s="3">
        <v>42</v>
      </c>
      <c r="H1016" s="3">
        <v>65</v>
      </c>
      <c r="I1016" s="3">
        <v>86</v>
      </c>
      <c r="J1016" s="3">
        <f t="shared" si="45"/>
        <v>193</v>
      </c>
      <c r="K1016" s="3" t="str">
        <f t="shared" si="46"/>
        <v>P</v>
      </c>
      <c r="L1016" s="3" t="str">
        <f t="shared" si="47"/>
        <v>A</v>
      </c>
    </row>
    <row r="1017" spans="1:12" ht="14.25" customHeight="1">
      <c r="A1017" s="3">
        <v>1016</v>
      </c>
      <c r="B1017" s="3" t="s">
        <v>3001</v>
      </c>
      <c r="C1017" s="3" t="s">
        <v>99</v>
      </c>
      <c r="D1017" s="3">
        <v>9876543300</v>
      </c>
      <c r="E1017" s="3" t="s">
        <v>4418</v>
      </c>
      <c r="F1017" s="3" t="str" cm="1">
        <f t="array" ref="F1017">IF(E1017="","",_xlfn.XLOOKUP(E1017,{"FIRST","SECOND","THIRD","FOURTH"},{"SEM-1","SEM-2","SEM-3","SEM-4"},""))</f>
        <v>SEM-1</v>
      </c>
      <c r="G1017" s="3">
        <v>81</v>
      </c>
      <c r="H1017" s="3">
        <v>99</v>
      </c>
      <c r="I1017" s="3">
        <v>67</v>
      </c>
      <c r="J1017" s="3">
        <f t="shared" si="45"/>
        <v>247</v>
      </c>
      <c r="K1017" s="3" t="str">
        <f t="shared" si="46"/>
        <v>P</v>
      </c>
      <c r="L1017" s="3" t="str">
        <f t="shared" si="47"/>
        <v>A</v>
      </c>
    </row>
    <row r="1018" spans="1:12" ht="14.25" customHeight="1">
      <c r="A1018" s="3">
        <v>1017</v>
      </c>
      <c r="B1018" s="3" t="s">
        <v>2918</v>
      </c>
      <c r="C1018" s="3" t="s">
        <v>16</v>
      </c>
      <c r="D1018" s="3">
        <v>9876543217</v>
      </c>
      <c r="E1018" s="3" t="s">
        <v>4420</v>
      </c>
      <c r="F1018" s="3" t="str" cm="1">
        <f t="array" ref="F1018">IF(E1018="","",_xlfn.XLOOKUP(E1018,{"FIRST","SECOND","THIRD","FOURTH"},{"SEM-1","SEM-2","SEM-3","SEM-4"},""))</f>
        <v>SEM-3</v>
      </c>
      <c r="G1018" s="3">
        <v>85</v>
      </c>
      <c r="H1018" s="3">
        <v>86</v>
      </c>
      <c r="I1018" s="3">
        <v>22</v>
      </c>
      <c r="J1018" s="3">
        <f t="shared" si="45"/>
        <v>193</v>
      </c>
      <c r="K1018" s="3" t="str">
        <f t="shared" si="46"/>
        <v>P</v>
      </c>
      <c r="L1018" s="3" t="str">
        <f t="shared" si="47"/>
        <v>A</v>
      </c>
    </row>
    <row r="1019" spans="1:12" ht="14.25" customHeight="1">
      <c r="A1019" s="3">
        <v>1018</v>
      </c>
      <c r="B1019" s="3" t="s">
        <v>4306</v>
      </c>
      <c r="C1019" s="3" t="s">
        <v>1386</v>
      </c>
      <c r="D1019" s="3">
        <v>9876544605</v>
      </c>
      <c r="E1019" s="3" t="s">
        <v>4420</v>
      </c>
      <c r="F1019" s="3" t="str" cm="1">
        <f t="array" ref="F1019">IF(E1019="","",_xlfn.XLOOKUP(E1019,{"FIRST","SECOND","THIRD","FOURTH"},{"SEM-1","SEM-2","SEM-3","SEM-4"},""))</f>
        <v>SEM-3</v>
      </c>
      <c r="G1019" s="3">
        <v>77</v>
      </c>
      <c r="H1019" s="3">
        <v>93</v>
      </c>
      <c r="I1019" s="3">
        <v>66</v>
      </c>
      <c r="J1019" s="3">
        <f t="shared" si="45"/>
        <v>236</v>
      </c>
      <c r="K1019" s="3" t="str">
        <f t="shared" si="46"/>
        <v>P</v>
      </c>
      <c r="L1019" s="3" t="str">
        <f t="shared" si="47"/>
        <v>A</v>
      </c>
    </row>
    <row r="1020" spans="1:12" ht="14.25" customHeight="1">
      <c r="A1020" s="3">
        <v>1019</v>
      </c>
      <c r="B1020" s="3" t="s">
        <v>4093</v>
      </c>
      <c r="C1020" s="3" t="s">
        <v>1178</v>
      </c>
      <c r="D1020" s="3">
        <v>9876544392</v>
      </c>
      <c r="E1020" s="3" t="s">
        <v>4420</v>
      </c>
      <c r="F1020" s="3" t="str" cm="1">
        <f t="array" ref="F1020">IF(E1020="","",_xlfn.XLOOKUP(E1020,{"FIRST","SECOND","THIRD","FOURTH"},{"SEM-1","SEM-2","SEM-3","SEM-4"},""))</f>
        <v>SEM-3</v>
      </c>
      <c r="G1020" s="3">
        <v>24</v>
      </c>
      <c r="H1020" s="3">
        <v>1</v>
      </c>
      <c r="I1020" s="3">
        <v>34</v>
      </c>
      <c r="J1020" s="3">
        <f t="shared" si="45"/>
        <v>59</v>
      </c>
      <c r="K1020" s="3" t="str">
        <f t="shared" si="46"/>
        <v>F</v>
      </c>
      <c r="L1020" s="3" t="str">
        <f t="shared" si="47"/>
        <v>FAIL</v>
      </c>
    </row>
    <row r="1021" spans="1:12" ht="14.25" customHeight="1">
      <c r="A1021" s="3">
        <v>1020</v>
      </c>
      <c r="B1021" s="3" t="s">
        <v>3573</v>
      </c>
      <c r="C1021" s="3" t="s">
        <v>667</v>
      </c>
      <c r="D1021" s="3">
        <v>9876543872</v>
      </c>
      <c r="E1021" s="3" t="s">
        <v>4420</v>
      </c>
      <c r="F1021" s="3" t="str" cm="1">
        <f t="array" ref="F1021">IF(E1021="","",_xlfn.XLOOKUP(E1021,{"FIRST","SECOND","THIRD","FOURTH"},{"SEM-1","SEM-2","SEM-3","SEM-4"},""))</f>
        <v>SEM-3</v>
      </c>
      <c r="G1021" s="3">
        <v>39</v>
      </c>
      <c r="H1021" s="3">
        <v>89</v>
      </c>
      <c r="I1021" s="3">
        <v>6</v>
      </c>
      <c r="J1021" s="3">
        <f t="shared" si="45"/>
        <v>134</v>
      </c>
      <c r="K1021" s="3" t="str">
        <f t="shared" si="46"/>
        <v>P</v>
      </c>
      <c r="L1021" s="3" t="str">
        <f t="shared" si="47"/>
        <v>C</v>
      </c>
    </row>
    <row r="1022" spans="1:12" ht="14.25" customHeight="1">
      <c r="A1022" s="3">
        <v>1021</v>
      </c>
      <c r="B1022" s="3" t="s">
        <v>4013</v>
      </c>
      <c r="C1022" s="3" t="s">
        <v>1102</v>
      </c>
      <c r="D1022" s="3">
        <v>9876544312</v>
      </c>
      <c r="E1022" s="3" t="s">
        <v>4418</v>
      </c>
      <c r="F1022" s="3" t="str" cm="1">
        <f t="array" ref="F1022">IF(E1022="","",_xlfn.XLOOKUP(E1022,{"FIRST","SECOND","THIRD","FOURTH"},{"SEM-1","SEM-2","SEM-3","SEM-4"},""))</f>
        <v>SEM-1</v>
      </c>
      <c r="G1022" s="3">
        <v>46</v>
      </c>
      <c r="H1022" s="3">
        <v>38</v>
      </c>
      <c r="I1022" s="3">
        <v>57</v>
      </c>
      <c r="J1022" s="3">
        <f t="shared" si="45"/>
        <v>141</v>
      </c>
      <c r="K1022" s="3" t="str">
        <f t="shared" si="46"/>
        <v>P</v>
      </c>
      <c r="L1022" s="3" t="str">
        <f t="shared" si="47"/>
        <v>C</v>
      </c>
    </row>
    <row r="1023" spans="1:12" ht="14.25" customHeight="1">
      <c r="A1023" s="3">
        <v>1022</v>
      </c>
      <c r="B1023" s="3" t="s">
        <v>4117</v>
      </c>
      <c r="C1023" s="3" t="s">
        <v>1202</v>
      </c>
      <c r="D1023" s="3">
        <v>9876544416</v>
      </c>
      <c r="E1023" s="3" t="s">
        <v>4419</v>
      </c>
      <c r="F1023" s="3" t="str" cm="1">
        <f t="array" ref="F1023">IF(E1023="","",_xlfn.XLOOKUP(E1023,{"FIRST","SECOND","THIRD","FOURTH"},{"SEM-1","SEM-2","SEM-3","SEM-4"},""))</f>
        <v>SEM-2</v>
      </c>
      <c r="G1023" s="3">
        <v>18</v>
      </c>
      <c r="H1023" s="3">
        <v>53</v>
      </c>
      <c r="I1023" s="3">
        <v>1</v>
      </c>
      <c r="J1023" s="3">
        <f t="shared" si="45"/>
        <v>72</v>
      </c>
      <c r="K1023" s="3" t="str">
        <f t="shared" si="46"/>
        <v>F</v>
      </c>
      <c r="L1023" s="3" t="str">
        <f t="shared" si="47"/>
        <v>FAIL</v>
      </c>
    </row>
    <row r="1024" spans="1:12" ht="14.25" customHeight="1">
      <c r="A1024" s="3">
        <v>1023</v>
      </c>
      <c r="B1024" s="3" t="s">
        <v>3786</v>
      </c>
      <c r="C1024" s="3" t="s">
        <v>878</v>
      </c>
      <c r="D1024" s="3">
        <v>9876544085</v>
      </c>
      <c r="E1024" s="3" t="s">
        <v>4418</v>
      </c>
      <c r="F1024" s="3" t="str" cm="1">
        <f t="array" ref="F1024">IF(E1024="","",_xlfn.XLOOKUP(E1024,{"FIRST","SECOND","THIRD","FOURTH"},{"SEM-1","SEM-2","SEM-3","SEM-4"},""))</f>
        <v>SEM-1</v>
      </c>
      <c r="G1024" s="3">
        <v>42</v>
      </c>
      <c r="H1024" s="3">
        <v>98</v>
      </c>
      <c r="I1024" s="3">
        <v>15</v>
      </c>
      <c r="J1024" s="3">
        <f t="shared" si="45"/>
        <v>155</v>
      </c>
      <c r="K1024" s="3" t="str">
        <f t="shared" si="46"/>
        <v>P</v>
      </c>
      <c r="L1024" s="3" t="str">
        <f t="shared" si="47"/>
        <v>B</v>
      </c>
    </row>
    <row r="1025" spans="1:12" ht="14.25" customHeight="1">
      <c r="A1025" s="3">
        <v>1024</v>
      </c>
      <c r="B1025" s="3" t="s">
        <v>3318</v>
      </c>
      <c r="C1025" s="3" t="s">
        <v>414</v>
      </c>
      <c r="D1025" s="3">
        <v>9876543617</v>
      </c>
      <c r="E1025" s="3" t="s">
        <v>4418</v>
      </c>
      <c r="F1025" s="3" t="str" cm="1">
        <f t="array" ref="F1025">IF(E1025="","",_xlfn.XLOOKUP(E1025,{"FIRST","SECOND","THIRD","FOURTH"},{"SEM-1","SEM-2","SEM-3","SEM-4"},""))</f>
        <v>SEM-1</v>
      </c>
      <c r="G1025" s="3">
        <v>4</v>
      </c>
      <c r="H1025" s="3">
        <v>84</v>
      </c>
      <c r="I1025" s="3">
        <v>82</v>
      </c>
      <c r="J1025" s="3">
        <f t="shared" si="45"/>
        <v>170</v>
      </c>
      <c r="K1025" s="3" t="str">
        <f t="shared" si="46"/>
        <v>P</v>
      </c>
      <c r="L1025" s="3" t="str">
        <f t="shared" si="47"/>
        <v>B</v>
      </c>
    </row>
    <row r="1026" spans="1:12" ht="14.25" customHeight="1">
      <c r="A1026" s="3">
        <v>1025</v>
      </c>
      <c r="B1026" s="3" t="s">
        <v>2985</v>
      </c>
      <c r="C1026" s="3" t="s">
        <v>83</v>
      </c>
      <c r="D1026" s="3">
        <v>9876543284</v>
      </c>
      <c r="E1026" s="3" t="s">
        <v>4418</v>
      </c>
      <c r="F1026" s="3" t="str" cm="1">
        <f t="array" ref="F1026">IF(E1026="","",_xlfn.XLOOKUP(E1026,{"FIRST","SECOND","THIRD","FOURTH"},{"SEM-1","SEM-2","SEM-3","SEM-4"},""))</f>
        <v>SEM-1</v>
      </c>
      <c r="G1026" s="3">
        <v>58</v>
      </c>
      <c r="H1026" s="3">
        <v>5</v>
      </c>
      <c r="I1026" s="3">
        <v>91</v>
      </c>
      <c r="J1026" s="3">
        <f t="shared" ref="J1026:J1089" si="48">SUM(G1026:I1026)</f>
        <v>154</v>
      </c>
      <c r="K1026" s="3" t="str">
        <f t="shared" ref="K1026:K1089" si="49">IF(OR(G1026&gt;=70,H1026&gt;=70,I1026&gt;=70,J1026&gt;=120),"P","F")</f>
        <v>P</v>
      </c>
      <c r="L1026" s="3" t="str">
        <f t="shared" ref="L1026:L1089" si="50">IF(J1026&gt;=190,"A",IF(J1026&gt;=150,"B",IF(J1026&gt;=120,"C","FAIL")))</f>
        <v>B</v>
      </c>
    </row>
    <row r="1027" spans="1:12" ht="14.25" customHeight="1">
      <c r="A1027" s="3">
        <v>1026</v>
      </c>
      <c r="B1027" s="3" t="s">
        <v>3989</v>
      </c>
      <c r="C1027" s="3" t="s">
        <v>1079</v>
      </c>
      <c r="D1027" s="3">
        <v>9876544288</v>
      </c>
      <c r="E1027" s="3" t="s">
        <v>4418</v>
      </c>
      <c r="F1027" s="3" t="str" cm="1">
        <f t="array" ref="F1027">IF(E1027="","",_xlfn.XLOOKUP(E1027,{"FIRST","SECOND","THIRD","FOURTH"},{"SEM-1","SEM-2","SEM-3","SEM-4"},""))</f>
        <v>SEM-1</v>
      </c>
      <c r="G1027" s="3">
        <v>59</v>
      </c>
      <c r="H1027" s="3">
        <v>60</v>
      </c>
      <c r="I1027" s="3">
        <v>65</v>
      </c>
      <c r="J1027" s="3">
        <f t="shared" si="48"/>
        <v>184</v>
      </c>
      <c r="K1027" s="3" t="str">
        <f t="shared" si="49"/>
        <v>P</v>
      </c>
      <c r="L1027" s="3" t="str">
        <f t="shared" si="50"/>
        <v>B</v>
      </c>
    </row>
    <row r="1028" spans="1:12" ht="14.25" customHeight="1">
      <c r="A1028" s="3">
        <v>1027</v>
      </c>
      <c r="B1028" s="3" t="s">
        <v>3588</v>
      </c>
      <c r="C1028" s="3" t="s">
        <v>682</v>
      </c>
      <c r="D1028" s="3">
        <v>9876543887</v>
      </c>
      <c r="E1028" s="3" t="s">
        <v>4419</v>
      </c>
      <c r="F1028" s="3" t="str" cm="1">
        <f t="array" ref="F1028">IF(E1028="","",_xlfn.XLOOKUP(E1028,{"FIRST","SECOND","THIRD","FOURTH"},{"SEM-1","SEM-2","SEM-3","SEM-4"},""))</f>
        <v>SEM-2</v>
      </c>
      <c r="G1028" s="3">
        <v>52</v>
      </c>
      <c r="H1028" s="3">
        <v>97</v>
      </c>
      <c r="I1028" s="3">
        <v>84</v>
      </c>
      <c r="J1028" s="3">
        <f t="shared" si="48"/>
        <v>233</v>
      </c>
      <c r="K1028" s="3" t="str">
        <f t="shared" si="49"/>
        <v>P</v>
      </c>
      <c r="L1028" s="3" t="str">
        <f t="shared" si="50"/>
        <v>A</v>
      </c>
    </row>
    <row r="1029" spans="1:12" ht="14.25" customHeight="1">
      <c r="A1029" s="3">
        <v>1028</v>
      </c>
      <c r="B1029" s="3" t="s">
        <v>3736</v>
      </c>
      <c r="C1029" s="3" t="s">
        <v>829</v>
      </c>
      <c r="D1029" s="3">
        <v>9876544035</v>
      </c>
      <c r="E1029" s="3" t="s">
        <v>4420</v>
      </c>
      <c r="F1029" s="3" t="str" cm="1">
        <f t="array" ref="F1029">IF(E1029="","",_xlfn.XLOOKUP(E1029,{"FIRST","SECOND","THIRD","FOURTH"},{"SEM-1","SEM-2","SEM-3","SEM-4"},""))</f>
        <v>SEM-3</v>
      </c>
      <c r="G1029" s="3">
        <v>28</v>
      </c>
      <c r="H1029" s="3">
        <v>14</v>
      </c>
      <c r="I1029" s="3">
        <v>52</v>
      </c>
      <c r="J1029" s="3">
        <f t="shared" si="48"/>
        <v>94</v>
      </c>
      <c r="K1029" s="3" t="str">
        <f t="shared" si="49"/>
        <v>F</v>
      </c>
      <c r="L1029" s="3" t="str">
        <f t="shared" si="50"/>
        <v>FAIL</v>
      </c>
    </row>
    <row r="1030" spans="1:12" ht="14.25" customHeight="1">
      <c r="A1030" s="3">
        <v>1029</v>
      </c>
      <c r="B1030" s="3" t="s">
        <v>4103</v>
      </c>
      <c r="C1030" s="3" t="s">
        <v>1188</v>
      </c>
      <c r="D1030" s="3">
        <v>9876544402</v>
      </c>
      <c r="E1030" s="3" t="s">
        <v>4420</v>
      </c>
      <c r="F1030" s="3" t="str" cm="1">
        <f t="array" ref="F1030">IF(E1030="","",_xlfn.XLOOKUP(E1030,{"FIRST","SECOND","THIRD","FOURTH"},{"SEM-1","SEM-2","SEM-3","SEM-4"},""))</f>
        <v>SEM-3</v>
      </c>
      <c r="G1030" s="3">
        <v>49</v>
      </c>
      <c r="H1030" s="3">
        <v>31</v>
      </c>
      <c r="I1030" s="3">
        <v>3</v>
      </c>
      <c r="J1030" s="3">
        <f t="shared" si="48"/>
        <v>83</v>
      </c>
      <c r="K1030" s="3" t="str">
        <f t="shared" si="49"/>
        <v>F</v>
      </c>
      <c r="L1030" s="3" t="str">
        <f t="shared" si="50"/>
        <v>FAIL</v>
      </c>
    </row>
    <row r="1031" spans="1:12" ht="14.25" customHeight="1">
      <c r="A1031" s="3">
        <v>1030</v>
      </c>
      <c r="B1031" s="3" t="s">
        <v>4060</v>
      </c>
      <c r="C1031" s="3" t="s">
        <v>1148</v>
      </c>
      <c r="D1031" s="3">
        <v>9876544359</v>
      </c>
      <c r="E1031" s="3" t="s">
        <v>4418</v>
      </c>
      <c r="F1031" s="3" t="str" cm="1">
        <f t="array" ref="F1031">IF(E1031="","",_xlfn.XLOOKUP(E1031,{"FIRST","SECOND","THIRD","FOURTH"},{"SEM-1","SEM-2","SEM-3","SEM-4"},""))</f>
        <v>SEM-1</v>
      </c>
      <c r="G1031" s="3">
        <v>66</v>
      </c>
      <c r="H1031" s="3">
        <v>47</v>
      </c>
      <c r="I1031" s="3">
        <v>32</v>
      </c>
      <c r="J1031" s="3">
        <f t="shared" si="48"/>
        <v>145</v>
      </c>
      <c r="K1031" s="3" t="str">
        <f t="shared" si="49"/>
        <v>P</v>
      </c>
      <c r="L1031" s="3" t="str">
        <f t="shared" si="50"/>
        <v>C</v>
      </c>
    </row>
    <row r="1032" spans="1:12" ht="14.25" customHeight="1">
      <c r="A1032" s="3">
        <v>1031</v>
      </c>
      <c r="B1032" s="3" t="s">
        <v>4170</v>
      </c>
      <c r="C1032" s="3" t="s">
        <v>1255</v>
      </c>
      <c r="D1032" s="3">
        <v>9876544469</v>
      </c>
      <c r="E1032" s="3" t="s">
        <v>4420</v>
      </c>
      <c r="F1032" s="3" t="str" cm="1">
        <f t="array" ref="F1032">IF(E1032="","",_xlfn.XLOOKUP(E1032,{"FIRST","SECOND","THIRD","FOURTH"},{"SEM-1","SEM-2","SEM-3","SEM-4"},""))</f>
        <v>SEM-3</v>
      </c>
      <c r="G1032" s="3">
        <v>100</v>
      </c>
      <c r="H1032" s="3">
        <v>52</v>
      </c>
      <c r="I1032" s="3">
        <v>8</v>
      </c>
      <c r="J1032" s="3">
        <f t="shared" si="48"/>
        <v>160</v>
      </c>
      <c r="K1032" s="3" t="str">
        <f t="shared" si="49"/>
        <v>P</v>
      </c>
      <c r="L1032" s="3" t="str">
        <f t="shared" si="50"/>
        <v>B</v>
      </c>
    </row>
    <row r="1033" spans="1:12" ht="14.25" customHeight="1">
      <c r="A1033" s="3">
        <v>1032</v>
      </c>
      <c r="B1033" s="3" t="s">
        <v>3181</v>
      </c>
      <c r="C1033" s="3" t="s">
        <v>279</v>
      </c>
      <c r="D1033" s="3">
        <v>9876543480</v>
      </c>
      <c r="E1033" s="3" t="s">
        <v>4420</v>
      </c>
      <c r="F1033" s="3" t="str" cm="1">
        <f t="array" ref="F1033">IF(E1033="","",_xlfn.XLOOKUP(E1033,{"FIRST","SECOND","THIRD","FOURTH"},{"SEM-1","SEM-2","SEM-3","SEM-4"},""))</f>
        <v>SEM-3</v>
      </c>
      <c r="G1033" s="3">
        <v>65</v>
      </c>
      <c r="H1033" s="3">
        <v>33</v>
      </c>
      <c r="I1033" s="3">
        <v>53</v>
      </c>
      <c r="J1033" s="3">
        <f t="shared" si="48"/>
        <v>151</v>
      </c>
      <c r="K1033" s="3" t="str">
        <f t="shared" si="49"/>
        <v>P</v>
      </c>
      <c r="L1033" s="3" t="str">
        <f t="shared" si="50"/>
        <v>B</v>
      </c>
    </row>
    <row r="1034" spans="1:12" ht="14.25" customHeight="1">
      <c r="A1034" s="3">
        <v>1033</v>
      </c>
      <c r="B1034" s="3" t="s">
        <v>3263</v>
      </c>
      <c r="C1034" s="3" t="s">
        <v>360</v>
      </c>
      <c r="D1034" s="3">
        <v>9876543562</v>
      </c>
      <c r="E1034" s="3" t="s">
        <v>4418</v>
      </c>
      <c r="F1034" s="3" t="str" cm="1">
        <f t="array" ref="F1034">IF(E1034="","",_xlfn.XLOOKUP(E1034,{"FIRST","SECOND","THIRD","FOURTH"},{"SEM-1","SEM-2","SEM-3","SEM-4"},""))</f>
        <v>SEM-1</v>
      </c>
      <c r="G1034" s="3">
        <v>99</v>
      </c>
      <c r="H1034" s="3">
        <v>62</v>
      </c>
      <c r="I1034" s="3">
        <v>67</v>
      </c>
      <c r="J1034" s="3">
        <f t="shared" si="48"/>
        <v>228</v>
      </c>
      <c r="K1034" s="3" t="str">
        <f t="shared" si="49"/>
        <v>P</v>
      </c>
      <c r="L1034" s="3" t="str">
        <f t="shared" si="50"/>
        <v>A</v>
      </c>
    </row>
    <row r="1035" spans="1:12" ht="14.25" customHeight="1">
      <c r="A1035" s="3">
        <v>1034</v>
      </c>
      <c r="B1035" s="3" t="s">
        <v>3966</v>
      </c>
      <c r="C1035" s="3" t="s">
        <v>1056</v>
      </c>
      <c r="D1035" s="3">
        <v>9876544265</v>
      </c>
      <c r="E1035" s="3" t="s">
        <v>4418</v>
      </c>
      <c r="F1035" s="3" t="str" cm="1">
        <f t="array" ref="F1035">IF(E1035="","",_xlfn.XLOOKUP(E1035,{"FIRST","SECOND","THIRD","FOURTH"},{"SEM-1","SEM-2","SEM-3","SEM-4"},""))</f>
        <v>SEM-1</v>
      </c>
      <c r="G1035" s="3">
        <v>30</v>
      </c>
      <c r="H1035" s="3">
        <v>85</v>
      </c>
      <c r="I1035" s="3">
        <v>64</v>
      </c>
      <c r="J1035" s="3">
        <f t="shared" si="48"/>
        <v>179</v>
      </c>
      <c r="K1035" s="3" t="str">
        <f t="shared" si="49"/>
        <v>P</v>
      </c>
      <c r="L1035" s="3" t="str">
        <f t="shared" si="50"/>
        <v>B</v>
      </c>
    </row>
    <row r="1036" spans="1:12" ht="14.25" customHeight="1">
      <c r="A1036" s="3">
        <v>1035</v>
      </c>
      <c r="B1036" s="3" t="s">
        <v>4019</v>
      </c>
      <c r="C1036" s="3" t="s">
        <v>1108</v>
      </c>
      <c r="D1036" s="3">
        <v>9876544318</v>
      </c>
      <c r="E1036" s="3" t="s">
        <v>4419</v>
      </c>
      <c r="F1036" s="3" t="str" cm="1">
        <f t="array" ref="F1036">IF(E1036="","",_xlfn.XLOOKUP(E1036,{"FIRST","SECOND","THIRD","FOURTH"},{"SEM-1","SEM-2","SEM-3","SEM-4"},""))</f>
        <v>SEM-2</v>
      </c>
      <c r="G1036" s="3">
        <v>83</v>
      </c>
      <c r="H1036" s="3">
        <v>12</v>
      </c>
      <c r="I1036" s="3">
        <v>33</v>
      </c>
      <c r="J1036" s="3">
        <f t="shared" si="48"/>
        <v>128</v>
      </c>
      <c r="K1036" s="3" t="str">
        <f t="shared" si="49"/>
        <v>P</v>
      </c>
      <c r="L1036" s="3" t="str">
        <f t="shared" si="50"/>
        <v>C</v>
      </c>
    </row>
    <row r="1037" spans="1:12" ht="14.25" customHeight="1">
      <c r="A1037" s="3">
        <v>1036</v>
      </c>
      <c r="B1037" s="3" t="s">
        <v>3831</v>
      </c>
      <c r="C1037" s="3" t="s">
        <v>923</v>
      </c>
      <c r="D1037" s="3">
        <v>9876544130</v>
      </c>
      <c r="E1037" s="3" t="s">
        <v>4420</v>
      </c>
      <c r="F1037" s="3" t="str" cm="1">
        <f t="array" ref="F1037">IF(E1037="","",_xlfn.XLOOKUP(E1037,{"FIRST","SECOND","THIRD","FOURTH"},{"SEM-1","SEM-2","SEM-3","SEM-4"},""))</f>
        <v>SEM-3</v>
      </c>
      <c r="G1037" s="3">
        <v>12</v>
      </c>
      <c r="H1037" s="3">
        <v>51</v>
      </c>
      <c r="I1037" s="3">
        <v>59</v>
      </c>
      <c r="J1037" s="3">
        <f t="shared" si="48"/>
        <v>122</v>
      </c>
      <c r="K1037" s="3" t="str">
        <f t="shared" si="49"/>
        <v>P</v>
      </c>
      <c r="L1037" s="3" t="str">
        <f t="shared" si="50"/>
        <v>C</v>
      </c>
    </row>
    <row r="1038" spans="1:12" ht="14.25" customHeight="1">
      <c r="A1038" s="3">
        <v>1037</v>
      </c>
      <c r="B1038" s="3" t="s">
        <v>3558</v>
      </c>
      <c r="C1038" s="3" t="s">
        <v>652</v>
      </c>
      <c r="D1038" s="3">
        <v>9876543857</v>
      </c>
      <c r="E1038" s="3" t="s">
        <v>4420</v>
      </c>
      <c r="F1038" s="3" t="str" cm="1">
        <f t="array" ref="F1038">IF(E1038="","",_xlfn.XLOOKUP(E1038,{"FIRST","SECOND","THIRD","FOURTH"},{"SEM-1","SEM-2","SEM-3","SEM-4"},""))</f>
        <v>SEM-3</v>
      </c>
      <c r="G1038" s="3">
        <v>84</v>
      </c>
      <c r="H1038" s="3">
        <v>8</v>
      </c>
      <c r="I1038" s="3">
        <v>67</v>
      </c>
      <c r="J1038" s="3">
        <f t="shared" si="48"/>
        <v>159</v>
      </c>
      <c r="K1038" s="3" t="str">
        <f t="shared" si="49"/>
        <v>P</v>
      </c>
      <c r="L1038" s="3" t="str">
        <f t="shared" si="50"/>
        <v>B</v>
      </c>
    </row>
    <row r="1039" spans="1:12" ht="14.25" customHeight="1">
      <c r="A1039" s="3">
        <v>1038</v>
      </c>
      <c r="B1039" s="3" t="s">
        <v>3206</v>
      </c>
      <c r="C1039" s="3" t="s">
        <v>304</v>
      </c>
      <c r="D1039" s="3">
        <v>9876543505</v>
      </c>
      <c r="E1039" s="3" t="s">
        <v>4418</v>
      </c>
      <c r="F1039" s="3" t="str" cm="1">
        <f t="array" ref="F1039">IF(E1039="","",_xlfn.XLOOKUP(E1039,{"FIRST","SECOND","THIRD","FOURTH"},{"SEM-1","SEM-2","SEM-3","SEM-4"},""))</f>
        <v>SEM-1</v>
      </c>
      <c r="G1039" s="3">
        <v>57</v>
      </c>
      <c r="H1039" s="3">
        <v>24</v>
      </c>
      <c r="I1039" s="3">
        <v>48</v>
      </c>
      <c r="J1039" s="3">
        <f t="shared" si="48"/>
        <v>129</v>
      </c>
      <c r="K1039" s="3" t="str">
        <f t="shared" si="49"/>
        <v>P</v>
      </c>
      <c r="L1039" s="3" t="str">
        <f t="shared" si="50"/>
        <v>C</v>
      </c>
    </row>
    <row r="1040" spans="1:12" ht="14.25" customHeight="1">
      <c r="A1040" s="3">
        <v>1039</v>
      </c>
      <c r="B1040" s="3" t="s">
        <v>3655</v>
      </c>
      <c r="C1040" s="3" t="s">
        <v>749</v>
      </c>
      <c r="D1040" s="3">
        <v>9876543954</v>
      </c>
      <c r="E1040" s="3" t="s">
        <v>4418</v>
      </c>
      <c r="F1040" s="3" t="str" cm="1">
        <f t="array" ref="F1040">IF(E1040="","",_xlfn.XLOOKUP(E1040,{"FIRST","SECOND","THIRD","FOURTH"},{"SEM-1","SEM-2","SEM-3","SEM-4"},""))</f>
        <v>SEM-1</v>
      </c>
      <c r="G1040" s="3">
        <v>77</v>
      </c>
      <c r="H1040" s="3">
        <v>16</v>
      </c>
      <c r="I1040" s="3">
        <v>56</v>
      </c>
      <c r="J1040" s="3">
        <f t="shared" si="48"/>
        <v>149</v>
      </c>
      <c r="K1040" s="3" t="str">
        <f t="shared" si="49"/>
        <v>P</v>
      </c>
      <c r="L1040" s="3" t="str">
        <f t="shared" si="50"/>
        <v>C</v>
      </c>
    </row>
    <row r="1041" spans="1:12" ht="14.25" customHeight="1">
      <c r="A1041" s="3">
        <v>1040</v>
      </c>
      <c r="B1041" s="3" t="s">
        <v>4339</v>
      </c>
      <c r="C1041" s="3" t="s">
        <v>1418</v>
      </c>
      <c r="D1041" s="3">
        <v>9876544638</v>
      </c>
      <c r="E1041" s="3" t="s">
        <v>4419</v>
      </c>
      <c r="F1041" s="3" t="str" cm="1">
        <f t="array" ref="F1041">IF(E1041="","",_xlfn.XLOOKUP(E1041,{"FIRST","SECOND","THIRD","FOURTH"},{"SEM-1","SEM-2","SEM-3","SEM-4"},""))</f>
        <v>SEM-2</v>
      </c>
      <c r="G1041" s="3">
        <v>28</v>
      </c>
      <c r="H1041" s="3">
        <v>60</v>
      </c>
      <c r="I1041" s="3">
        <v>42</v>
      </c>
      <c r="J1041" s="3">
        <f t="shared" si="48"/>
        <v>130</v>
      </c>
      <c r="K1041" s="3" t="str">
        <f t="shared" si="49"/>
        <v>P</v>
      </c>
      <c r="L1041" s="3" t="str">
        <f t="shared" si="50"/>
        <v>C</v>
      </c>
    </row>
    <row r="1042" spans="1:12" ht="14.25" customHeight="1">
      <c r="A1042" s="3">
        <v>1041</v>
      </c>
      <c r="B1042" s="3" t="s">
        <v>3692</v>
      </c>
      <c r="C1042" s="3" t="s">
        <v>785</v>
      </c>
      <c r="D1042" s="3">
        <v>9876543991</v>
      </c>
      <c r="E1042" s="3" t="s">
        <v>4420</v>
      </c>
      <c r="F1042" s="3" t="str" cm="1">
        <f t="array" ref="F1042">IF(E1042="","",_xlfn.XLOOKUP(E1042,{"FIRST","SECOND","THIRD","FOURTH"},{"SEM-1","SEM-2","SEM-3","SEM-4"},""))</f>
        <v>SEM-3</v>
      </c>
      <c r="G1042" s="3">
        <v>95</v>
      </c>
      <c r="H1042" s="3">
        <v>93</v>
      </c>
      <c r="I1042" s="3">
        <v>65</v>
      </c>
      <c r="J1042" s="3">
        <f t="shared" si="48"/>
        <v>253</v>
      </c>
      <c r="K1042" s="3" t="str">
        <f t="shared" si="49"/>
        <v>P</v>
      </c>
      <c r="L1042" s="3" t="str">
        <f t="shared" si="50"/>
        <v>A</v>
      </c>
    </row>
    <row r="1043" spans="1:12" ht="14.25" customHeight="1">
      <c r="A1043" s="3">
        <v>1042</v>
      </c>
      <c r="B1043" s="3" t="s">
        <v>2945</v>
      </c>
      <c r="C1043" s="3" t="s">
        <v>43</v>
      </c>
      <c r="D1043" s="3">
        <v>9876543244</v>
      </c>
      <c r="E1043" s="3" t="s">
        <v>4420</v>
      </c>
      <c r="F1043" s="3" t="str" cm="1">
        <f t="array" ref="F1043">IF(E1043="","",_xlfn.XLOOKUP(E1043,{"FIRST","SECOND","THIRD","FOURTH"},{"SEM-1","SEM-2","SEM-3","SEM-4"},""))</f>
        <v>SEM-3</v>
      </c>
      <c r="G1043" s="3">
        <v>0</v>
      </c>
      <c r="H1043" s="3">
        <v>43</v>
      </c>
      <c r="I1043" s="3">
        <v>77</v>
      </c>
      <c r="J1043" s="3">
        <f t="shared" si="48"/>
        <v>120</v>
      </c>
      <c r="K1043" s="3" t="str">
        <f t="shared" si="49"/>
        <v>P</v>
      </c>
      <c r="L1043" s="3" t="str">
        <f t="shared" si="50"/>
        <v>C</v>
      </c>
    </row>
    <row r="1044" spans="1:12" ht="14.25" customHeight="1">
      <c r="A1044" s="3">
        <v>1043</v>
      </c>
      <c r="B1044" s="3" t="s">
        <v>3624</v>
      </c>
      <c r="C1044" s="3" t="s">
        <v>718</v>
      </c>
      <c r="D1044" s="3">
        <v>9876543923</v>
      </c>
      <c r="E1044" s="3" t="s">
        <v>4420</v>
      </c>
      <c r="F1044" s="3" t="str" cm="1">
        <f t="array" ref="F1044">IF(E1044="","",_xlfn.XLOOKUP(E1044,{"FIRST","SECOND","THIRD","FOURTH"},{"SEM-1","SEM-2","SEM-3","SEM-4"},""))</f>
        <v>SEM-3</v>
      </c>
      <c r="G1044" s="3">
        <v>76</v>
      </c>
      <c r="H1044" s="3">
        <v>7</v>
      </c>
      <c r="I1044" s="3">
        <v>82</v>
      </c>
      <c r="J1044" s="3">
        <f t="shared" si="48"/>
        <v>165</v>
      </c>
      <c r="K1044" s="3" t="str">
        <f t="shared" si="49"/>
        <v>P</v>
      </c>
      <c r="L1044" s="3" t="str">
        <f t="shared" si="50"/>
        <v>B</v>
      </c>
    </row>
    <row r="1045" spans="1:12" ht="14.25" customHeight="1">
      <c r="A1045" s="3">
        <v>1044</v>
      </c>
      <c r="B1045" s="3" t="s">
        <v>4039</v>
      </c>
      <c r="C1045" s="3" t="s">
        <v>1128</v>
      </c>
      <c r="D1045" s="3">
        <v>9876544338</v>
      </c>
      <c r="E1045" s="3" t="s">
        <v>4418</v>
      </c>
      <c r="F1045" s="3" t="str" cm="1">
        <f t="array" ref="F1045">IF(E1045="","",_xlfn.XLOOKUP(E1045,{"FIRST","SECOND","THIRD","FOURTH"},{"SEM-1","SEM-2","SEM-3","SEM-4"},""))</f>
        <v>SEM-1</v>
      </c>
      <c r="G1045" s="3">
        <v>74</v>
      </c>
      <c r="H1045" s="3">
        <v>53</v>
      </c>
      <c r="I1045" s="3">
        <v>51</v>
      </c>
      <c r="J1045" s="3">
        <f t="shared" si="48"/>
        <v>178</v>
      </c>
      <c r="K1045" s="3" t="str">
        <f t="shared" si="49"/>
        <v>P</v>
      </c>
      <c r="L1045" s="3" t="str">
        <f t="shared" si="50"/>
        <v>B</v>
      </c>
    </row>
    <row r="1046" spans="1:12" ht="14.25" customHeight="1">
      <c r="A1046" s="3">
        <v>1045</v>
      </c>
      <c r="B1046" s="3" t="s">
        <v>3877</v>
      </c>
      <c r="C1046" s="3" t="s">
        <v>968</v>
      </c>
      <c r="D1046" s="3">
        <v>9876544176</v>
      </c>
      <c r="E1046" s="3" t="s">
        <v>4418</v>
      </c>
      <c r="F1046" s="3" t="str" cm="1">
        <f t="array" ref="F1046">IF(E1046="","",_xlfn.XLOOKUP(E1046,{"FIRST","SECOND","THIRD","FOURTH"},{"SEM-1","SEM-2","SEM-3","SEM-4"},""))</f>
        <v>SEM-1</v>
      </c>
      <c r="G1046" s="3">
        <v>4</v>
      </c>
      <c r="H1046" s="3">
        <v>59</v>
      </c>
      <c r="I1046" s="3">
        <v>32</v>
      </c>
      <c r="J1046" s="3">
        <f t="shared" si="48"/>
        <v>95</v>
      </c>
      <c r="K1046" s="3" t="str">
        <f t="shared" si="49"/>
        <v>F</v>
      </c>
      <c r="L1046" s="3" t="str">
        <f t="shared" si="50"/>
        <v>FAIL</v>
      </c>
    </row>
    <row r="1047" spans="1:12" ht="14.25" customHeight="1">
      <c r="A1047" s="3">
        <v>1046</v>
      </c>
      <c r="B1047" s="3" t="s">
        <v>4361</v>
      </c>
      <c r="C1047" s="3" t="s">
        <v>1440</v>
      </c>
      <c r="D1047" s="3">
        <v>9876544660</v>
      </c>
      <c r="E1047" s="3" t="s">
        <v>4420</v>
      </c>
      <c r="F1047" s="3" t="str" cm="1">
        <f t="array" ref="F1047">IF(E1047="","",_xlfn.XLOOKUP(E1047,{"FIRST","SECOND","THIRD","FOURTH"},{"SEM-1","SEM-2","SEM-3","SEM-4"},""))</f>
        <v>SEM-3</v>
      </c>
      <c r="G1047" s="3">
        <v>4</v>
      </c>
      <c r="H1047" s="3">
        <v>98</v>
      </c>
      <c r="I1047" s="3">
        <v>57</v>
      </c>
      <c r="J1047" s="3">
        <f t="shared" si="48"/>
        <v>159</v>
      </c>
      <c r="K1047" s="3" t="str">
        <f t="shared" si="49"/>
        <v>P</v>
      </c>
      <c r="L1047" s="3" t="str">
        <f t="shared" si="50"/>
        <v>B</v>
      </c>
    </row>
    <row r="1048" spans="1:12" ht="14.25" customHeight="1">
      <c r="A1048" s="3">
        <v>1047</v>
      </c>
      <c r="B1048" s="3" t="s">
        <v>3568</v>
      </c>
      <c r="C1048" s="3" t="s">
        <v>662</v>
      </c>
      <c r="D1048" s="3">
        <v>9876543867</v>
      </c>
      <c r="E1048" s="3" t="s">
        <v>4420</v>
      </c>
      <c r="F1048" s="3" t="str" cm="1">
        <f t="array" ref="F1048">IF(E1048="","",_xlfn.XLOOKUP(E1048,{"FIRST","SECOND","THIRD","FOURTH"},{"SEM-1","SEM-2","SEM-3","SEM-4"},""))</f>
        <v>SEM-3</v>
      </c>
      <c r="G1048" s="3">
        <v>37</v>
      </c>
      <c r="H1048" s="3">
        <v>51</v>
      </c>
      <c r="I1048" s="3">
        <v>62</v>
      </c>
      <c r="J1048" s="3">
        <f t="shared" si="48"/>
        <v>150</v>
      </c>
      <c r="K1048" s="3" t="str">
        <f t="shared" si="49"/>
        <v>P</v>
      </c>
      <c r="L1048" s="3" t="str">
        <f t="shared" si="50"/>
        <v>B</v>
      </c>
    </row>
    <row r="1049" spans="1:12" ht="14.25" customHeight="1">
      <c r="A1049" s="3">
        <v>1048</v>
      </c>
      <c r="B1049" s="3" t="s">
        <v>4156</v>
      </c>
      <c r="C1049" s="3" t="s">
        <v>1241</v>
      </c>
      <c r="D1049" s="3">
        <v>9876544455</v>
      </c>
      <c r="E1049" s="3" t="s">
        <v>4419</v>
      </c>
      <c r="F1049" s="3" t="str" cm="1">
        <f t="array" ref="F1049">IF(E1049="","",_xlfn.XLOOKUP(E1049,{"FIRST","SECOND","THIRD","FOURTH"},{"SEM-1","SEM-2","SEM-3","SEM-4"},""))</f>
        <v>SEM-2</v>
      </c>
      <c r="G1049" s="3">
        <v>26</v>
      </c>
      <c r="H1049" s="3">
        <v>12</v>
      </c>
      <c r="I1049" s="3">
        <v>75</v>
      </c>
      <c r="J1049" s="3">
        <f t="shared" si="48"/>
        <v>113</v>
      </c>
      <c r="K1049" s="3" t="str">
        <f t="shared" si="49"/>
        <v>P</v>
      </c>
      <c r="L1049" s="3" t="str">
        <f t="shared" si="50"/>
        <v>FAIL</v>
      </c>
    </row>
    <row r="1050" spans="1:12" ht="14.25" customHeight="1">
      <c r="A1050" s="3">
        <v>1049</v>
      </c>
      <c r="B1050" s="3" t="s">
        <v>4045</v>
      </c>
      <c r="C1050" s="3" t="s">
        <v>1133</v>
      </c>
      <c r="D1050" s="3">
        <v>9876544344</v>
      </c>
      <c r="E1050" s="3" t="s">
        <v>4420</v>
      </c>
      <c r="F1050" s="3" t="str" cm="1">
        <f t="array" ref="F1050">IF(E1050="","",_xlfn.XLOOKUP(E1050,{"FIRST","SECOND","THIRD","FOURTH"},{"SEM-1","SEM-2","SEM-3","SEM-4"},""))</f>
        <v>SEM-3</v>
      </c>
      <c r="G1050" s="3">
        <v>15</v>
      </c>
      <c r="H1050" s="3">
        <v>6</v>
      </c>
      <c r="I1050" s="3">
        <v>97</v>
      </c>
      <c r="J1050" s="3">
        <f t="shared" si="48"/>
        <v>118</v>
      </c>
      <c r="K1050" s="3" t="str">
        <f t="shared" si="49"/>
        <v>P</v>
      </c>
      <c r="L1050" s="3" t="str">
        <f t="shared" si="50"/>
        <v>FAIL</v>
      </c>
    </row>
    <row r="1051" spans="1:12" ht="14.25" customHeight="1">
      <c r="A1051" s="3">
        <v>1050</v>
      </c>
      <c r="B1051" s="3" t="s">
        <v>3544</v>
      </c>
      <c r="C1051" s="3" t="s">
        <v>638</v>
      </c>
      <c r="D1051" s="3">
        <v>9876543843</v>
      </c>
      <c r="E1051" s="3" t="s">
        <v>4419</v>
      </c>
      <c r="F1051" s="3" t="str" cm="1">
        <f t="array" ref="F1051">IF(E1051="","",_xlfn.XLOOKUP(E1051,{"FIRST","SECOND","THIRD","FOURTH"},{"SEM-1","SEM-2","SEM-3","SEM-4"},""))</f>
        <v>SEM-2</v>
      </c>
      <c r="G1051" s="3">
        <v>32</v>
      </c>
      <c r="H1051" s="3">
        <v>36</v>
      </c>
      <c r="I1051" s="3">
        <v>0</v>
      </c>
      <c r="J1051" s="3">
        <f t="shared" si="48"/>
        <v>68</v>
      </c>
      <c r="K1051" s="3" t="str">
        <f t="shared" si="49"/>
        <v>F</v>
      </c>
      <c r="L1051" s="3" t="str">
        <f t="shared" si="50"/>
        <v>FAIL</v>
      </c>
    </row>
    <row r="1052" spans="1:12" ht="14.25" customHeight="1">
      <c r="A1052" s="3">
        <v>1051</v>
      </c>
      <c r="B1052" s="3" t="s">
        <v>3952</v>
      </c>
      <c r="C1052" s="3" t="s">
        <v>1042</v>
      </c>
      <c r="D1052" s="3">
        <v>9876544251</v>
      </c>
      <c r="E1052" s="3" t="s">
        <v>4420</v>
      </c>
      <c r="F1052" s="3" t="str" cm="1">
        <f t="array" ref="F1052">IF(E1052="","",_xlfn.XLOOKUP(E1052,{"FIRST","SECOND","THIRD","FOURTH"},{"SEM-1","SEM-2","SEM-3","SEM-4"},""))</f>
        <v>SEM-3</v>
      </c>
      <c r="G1052" s="3">
        <v>58</v>
      </c>
      <c r="H1052" s="3">
        <v>59</v>
      </c>
      <c r="I1052" s="3">
        <v>93</v>
      </c>
      <c r="J1052" s="3">
        <f t="shared" si="48"/>
        <v>210</v>
      </c>
      <c r="K1052" s="3" t="str">
        <f t="shared" si="49"/>
        <v>P</v>
      </c>
      <c r="L1052" s="3" t="str">
        <f t="shared" si="50"/>
        <v>A</v>
      </c>
    </row>
    <row r="1053" spans="1:12" ht="14.25" customHeight="1">
      <c r="A1053" s="3">
        <v>1052</v>
      </c>
      <c r="B1053" s="3" t="s">
        <v>4388</v>
      </c>
      <c r="C1053" s="3" t="s">
        <v>1467</v>
      </c>
      <c r="D1053" s="3">
        <v>9876544687</v>
      </c>
      <c r="E1053" s="3" t="s">
        <v>4418</v>
      </c>
      <c r="F1053" s="3" t="str" cm="1">
        <f t="array" ref="F1053">IF(E1053="","",_xlfn.XLOOKUP(E1053,{"FIRST","SECOND","THIRD","FOURTH"},{"SEM-1","SEM-2","SEM-3","SEM-4"},""))</f>
        <v>SEM-1</v>
      </c>
      <c r="G1053" s="3">
        <v>81</v>
      </c>
      <c r="H1053" s="3">
        <v>44</v>
      </c>
      <c r="I1053" s="3">
        <v>74</v>
      </c>
      <c r="J1053" s="3">
        <f t="shared" si="48"/>
        <v>199</v>
      </c>
      <c r="K1053" s="3" t="str">
        <f t="shared" si="49"/>
        <v>P</v>
      </c>
      <c r="L1053" s="3" t="str">
        <f t="shared" si="50"/>
        <v>A</v>
      </c>
    </row>
    <row r="1054" spans="1:12" ht="14.25" customHeight="1">
      <c r="A1054" s="3">
        <v>1053</v>
      </c>
      <c r="B1054" s="3" t="s">
        <v>4411</v>
      </c>
      <c r="C1054" s="3" t="s">
        <v>1490</v>
      </c>
      <c r="D1054" s="3">
        <v>9876544710</v>
      </c>
      <c r="E1054" s="3" t="s">
        <v>4419</v>
      </c>
      <c r="F1054" s="3" t="str" cm="1">
        <f t="array" ref="F1054">IF(E1054="","",_xlfn.XLOOKUP(E1054,{"FIRST","SECOND","THIRD","FOURTH"},{"SEM-1","SEM-2","SEM-3","SEM-4"},""))</f>
        <v>SEM-2</v>
      </c>
      <c r="G1054" s="3">
        <v>87</v>
      </c>
      <c r="H1054" s="3">
        <v>49</v>
      </c>
      <c r="I1054" s="3">
        <v>51</v>
      </c>
      <c r="J1054" s="3">
        <f t="shared" si="48"/>
        <v>187</v>
      </c>
      <c r="K1054" s="3" t="str">
        <f t="shared" si="49"/>
        <v>P</v>
      </c>
      <c r="L1054" s="3" t="str">
        <f t="shared" si="50"/>
        <v>B</v>
      </c>
    </row>
    <row r="1055" spans="1:12" ht="14.25" customHeight="1">
      <c r="A1055" s="3">
        <v>1054</v>
      </c>
      <c r="B1055" s="3" t="s">
        <v>4034</v>
      </c>
      <c r="C1055" s="3" t="s">
        <v>1123</v>
      </c>
      <c r="D1055" s="3">
        <v>9876544333</v>
      </c>
      <c r="E1055" s="3" t="s">
        <v>4418</v>
      </c>
      <c r="F1055" s="3" t="str" cm="1">
        <f t="array" ref="F1055">IF(E1055="","",_xlfn.XLOOKUP(E1055,{"FIRST","SECOND","THIRD","FOURTH"},{"SEM-1","SEM-2","SEM-3","SEM-4"},""))</f>
        <v>SEM-1</v>
      </c>
      <c r="G1055" s="3">
        <v>27</v>
      </c>
      <c r="H1055" s="3">
        <v>34</v>
      </c>
      <c r="I1055" s="3">
        <v>67</v>
      </c>
      <c r="J1055" s="3">
        <f t="shared" si="48"/>
        <v>128</v>
      </c>
      <c r="K1055" s="3" t="str">
        <f t="shared" si="49"/>
        <v>P</v>
      </c>
      <c r="L1055" s="3" t="str">
        <f t="shared" si="50"/>
        <v>C</v>
      </c>
    </row>
    <row r="1056" spans="1:12" ht="14.25" customHeight="1">
      <c r="A1056" s="3">
        <v>1055</v>
      </c>
      <c r="B1056" s="3" t="s">
        <v>2997</v>
      </c>
      <c r="C1056" s="3" t="s">
        <v>95</v>
      </c>
      <c r="D1056" s="3">
        <v>9876543296</v>
      </c>
      <c r="E1056" s="3" t="s">
        <v>4419</v>
      </c>
      <c r="F1056" s="3" t="str" cm="1">
        <f t="array" ref="F1056">IF(E1056="","",_xlfn.XLOOKUP(E1056,{"FIRST","SECOND","THIRD","FOURTH"},{"SEM-1","SEM-2","SEM-3","SEM-4"},""))</f>
        <v>SEM-2</v>
      </c>
      <c r="G1056" s="3">
        <v>84</v>
      </c>
      <c r="H1056" s="3">
        <v>48</v>
      </c>
      <c r="I1056" s="3">
        <v>94</v>
      </c>
      <c r="J1056" s="3">
        <f t="shared" si="48"/>
        <v>226</v>
      </c>
      <c r="K1056" s="3" t="str">
        <f t="shared" si="49"/>
        <v>P</v>
      </c>
      <c r="L1056" s="3" t="str">
        <f t="shared" si="50"/>
        <v>A</v>
      </c>
    </row>
    <row r="1057" spans="1:12" ht="14.25" customHeight="1">
      <c r="A1057" s="3">
        <v>1056</v>
      </c>
      <c r="B1057" s="3" t="s">
        <v>2943</v>
      </c>
      <c r="C1057" s="3" t="s">
        <v>41</v>
      </c>
      <c r="D1057" s="3">
        <v>9876543242</v>
      </c>
      <c r="E1057" s="3" t="s">
        <v>4420</v>
      </c>
      <c r="F1057" s="3" t="str" cm="1">
        <f t="array" ref="F1057">IF(E1057="","",_xlfn.XLOOKUP(E1057,{"FIRST","SECOND","THIRD","FOURTH"},{"SEM-1","SEM-2","SEM-3","SEM-4"},""))</f>
        <v>SEM-3</v>
      </c>
      <c r="G1057" s="3">
        <v>69</v>
      </c>
      <c r="H1057" s="3">
        <v>56</v>
      </c>
      <c r="I1057" s="3">
        <v>5</v>
      </c>
      <c r="J1057" s="3">
        <f t="shared" si="48"/>
        <v>130</v>
      </c>
      <c r="K1057" s="3" t="str">
        <f t="shared" si="49"/>
        <v>P</v>
      </c>
      <c r="L1057" s="3" t="str">
        <f t="shared" si="50"/>
        <v>C</v>
      </c>
    </row>
    <row r="1058" spans="1:12" ht="14.25" customHeight="1">
      <c r="A1058" s="3">
        <v>1057</v>
      </c>
      <c r="B1058" s="3" t="s">
        <v>4171</v>
      </c>
      <c r="C1058" s="3" t="s">
        <v>1256</v>
      </c>
      <c r="D1058" s="3">
        <v>9876544470</v>
      </c>
      <c r="E1058" s="3" t="s">
        <v>4418</v>
      </c>
      <c r="F1058" s="3" t="str" cm="1">
        <f t="array" ref="F1058">IF(E1058="","",_xlfn.XLOOKUP(E1058,{"FIRST","SECOND","THIRD","FOURTH"},{"SEM-1","SEM-2","SEM-3","SEM-4"},""))</f>
        <v>SEM-1</v>
      </c>
      <c r="G1058" s="3">
        <v>31</v>
      </c>
      <c r="H1058" s="3">
        <v>0</v>
      </c>
      <c r="I1058" s="3">
        <v>75</v>
      </c>
      <c r="J1058" s="3">
        <f t="shared" si="48"/>
        <v>106</v>
      </c>
      <c r="K1058" s="3" t="str">
        <f t="shared" si="49"/>
        <v>P</v>
      </c>
      <c r="L1058" s="3" t="str">
        <f t="shared" si="50"/>
        <v>FAIL</v>
      </c>
    </row>
    <row r="1059" spans="1:12" ht="14.25" customHeight="1">
      <c r="A1059" s="3">
        <v>1058</v>
      </c>
      <c r="B1059" s="3" t="s">
        <v>3708</v>
      </c>
      <c r="C1059" s="3" t="s">
        <v>801</v>
      </c>
      <c r="D1059" s="3">
        <v>9876544007</v>
      </c>
      <c r="E1059" s="3" t="s">
        <v>4419</v>
      </c>
      <c r="F1059" s="3" t="str" cm="1">
        <f t="array" ref="F1059">IF(E1059="","",_xlfn.XLOOKUP(E1059,{"FIRST","SECOND","THIRD","FOURTH"},{"SEM-1","SEM-2","SEM-3","SEM-4"},""))</f>
        <v>SEM-2</v>
      </c>
      <c r="G1059" s="3">
        <v>77</v>
      </c>
      <c r="H1059" s="3">
        <v>54</v>
      </c>
      <c r="I1059" s="3">
        <v>22</v>
      </c>
      <c r="J1059" s="3">
        <f t="shared" si="48"/>
        <v>153</v>
      </c>
      <c r="K1059" s="3" t="str">
        <f t="shared" si="49"/>
        <v>P</v>
      </c>
      <c r="L1059" s="3" t="str">
        <f t="shared" si="50"/>
        <v>B</v>
      </c>
    </row>
    <row r="1060" spans="1:12" ht="14.25" customHeight="1">
      <c r="A1060" s="3">
        <v>1059</v>
      </c>
      <c r="B1060" s="3" t="s">
        <v>3066</v>
      </c>
      <c r="C1060" s="3" t="s">
        <v>164</v>
      </c>
      <c r="D1060" s="3">
        <v>9876543365</v>
      </c>
      <c r="E1060" s="3" t="s">
        <v>4420</v>
      </c>
      <c r="F1060" s="3" t="str" cm="1">
        <f t="array" ref="F1060">IF(E1060="","",_xlfn.XLOOKUP(E1060,{"FIRST","SECOND","THIRD","FOURTH"},{"SEM-1","SEM-2","SEM-3","SEM-4"},""))</f>
        <v>SEM-3</v>
      </c>
      <c r="G1060" s="3">
        <v>55</v>
      </c>
      <c r="H1060" s="3">
        <v>18</v>
      </c>
      <c r="I1060" s="3">
        <v>61</v>
      </c>
      <c r="J1060" s="3">
        <f t="shared" si="48"/>
        <v>134</v>
      </c>
      <c r="K1060" s="3" t="str">
        <f t="shared" si="49"/>
        <v>P</v>
      </c>
      <c r="L1060" s="3" t="str">
        <f t="shared" si="50"/>
        <v>C</v>
      </c>
    </row>
    <row r="1061" spans="1:12" ht="14.25" customHeight="1">
      <c r="A1061" s="3">
        <v>1060</v>
      </c>
      <c r="B1061" s="3" t="s">
        <v>3490</v>
      </c>
      <c r="C1061" s="3" t="s">
        <v>585</v>
      </c>
      <c r="D1061" s="3">
        <v>9876543789</v>
      </c>
      <c r="E1061" s="3" t="s">
        <v>4420</v>
      </c>
      <c r="F1061" s="3" t="str" cm="1">
        <f t="array" ref="F1061">IF(E1061="","",_xlfn.XLOOKUP(E1061,{"FIRST","SECOND","THIRD","FOURTH"},{"SEM-1","SEM-2","SEM-3","SEM-4"},""))</f>
        <v>SEM-3</v>
      </c>
      <c r="G1061" s="3">
        <v>28</v>
      </c>
      <c r="H1061" s="3">
        <v>33</v>
      </c>
      <c r="I1061" s="3">
        <v>48</v>
      </c>
      <c r="J1061" s="3">
        <f t="shared" si="48"/>
        <v>109</v>
      </c>
      <c r="K1061" s="3" t="str">
        <f t="shared" si="49"/>
        <v>F</v>
      </c>
      <c r="L1061" s="3" t="str">
        <f t="shared" si="50"/>
        <v>FAIL</v>
      </c>
    </row>
    <row r="1062" spans="1:12" ht="14.25" customHeight="1">
      <c r="A1062" s="3">
        <v>1061</v>
      </c>
      <c r="B1062" s="3" t="s">
        <v>3919</v>
      </c>
      <c r="C1062" s="3" t="s">
        <v>1009</v>
      </c>
      <c r="D1062" s="3">
        <v>9876544218</v>
      </c>
      <c r="E1062" s="3" t="s">
        <v>4419</v>
      </c>
      <c r="F1062" s="3" t="str" cm="1">
        <f t="array" ref="F1062">IF(E1062="","",_xlfn.XLOOKUP(E1062,{"FIRST","SECOND","THIRD","FOURTH"},{"SEM-1","SEM-2","SEM-3","SEM-4"},""))</f>
        <v>SEM-2</v>
      </c>
      <c r="G1062" s="3">
        <v>32</v>
      </c>
      <c r="H1062" s="3">
        <v>51</v>
      </c>
      <c r="I1062" s="3">
        <v>58</v>
      </c>
      <c r="J1062" s="3">
        <f t="shared" si="48"/>
        <v>141</v>
      </c>
      <c r="K1062" s="3" t="str">
        <f t="shared" si="49"/>
        <v>P</v>
      </c>
      <c r="L1062" s="3" t="str">
        <f t="shared" si="50"/>
        <v>C</v>
      </c>
    </row>
    <row r="1063" spans="1:12" ht="14.25" customHeight="1">
      <c r="A1063" s="3">
        <v>1062</v>
      </c>
      <c r="B1063" s="3" t="s">
        <v>3519</v>
      </c>
      <c r="C1063" s="3" t="s">
        <v>614</v>
      </c>
      <c r="D1063" s="3">
        <v>9876543818</v>
      </c>
      <c r="E1063" s="3" t="s">
        <v>4418</v>
      </c>
      <c r="F1063" s="3" t="str" cm="1">
        <f t="array" ref="F1063">IF(E1063="","",_xlfn.XLOOKUP(E1063,{"FIRST","SECOND","THIRD","FOURTH"},{"SEM-1","SEM-2","SEM-3","SEM-4"},""))</f>
        <v>SEM-1</v>
      </c>
      <c r="G1063" s="3">
        <v>96</v>
      </c>
      <c r="H1063" s="3">
        <v>33</v>
      </c>
      <c r="I1063" s="3">
        <v>12</v>
      </c>
      <c r="J1063" s="3">
        <f t="shared" si="48"/>
        <v>141</v>
      </c>
      <c r="K1063" s="3" t="str">
        <f t="shared" si="49"/>
        <v>P</v>
      </c>
      <c r="L1063" s="3" t="str">
        <f t="shared" si="50"/>
        <v>C</v>
      </c>
    </row>
    <row r="1064" spans="1:12" ht="14.25" customHeight="1">
      <c r="A1064" s="3">
        <v>1063</v>
      </c>
      <c r="B1064" s="3" t="s">
        <v>2979</v>
      </c>
      <c r="C1064" s="3" t="s">
        <v>77</v>
      </c>
      <c r="D1064" s="3">
        <v>9876543278</v>
      </c>
      <c r="E1064" s="3" t="s">
        <v>4420</v>
      </c>
      <c r="F1064" s="3" t="str" cm="1">
        <f t="array" ref="F1064">IF(E1064="","",_xlfn.XLOOKUP(E1064,{"FIRST","SECOND","THIRD","FOURTH"},{"SEM-1","SEM-2","SEM-3","SEM-4"},""))</f>
        <v>SEM-3</v>
      </c>
      <c r="G1064" s="3">
        <v>82</v>
      </c>
      <c r="H1064" s="3">
        <v>88</v>
      </c>
      <c r="I1064" s="3">
        <v>10</v>
      </c>
      <c r="J1064" s="3">
        <f t="shared" si="48"/>
        <v>180</v>
      </c>
      <c r="K1064" s="3" t="str">
        <f t="shared" si="49"/>
        <v>P</v>
      </c>
      <c r="L1064" s="3" t="str">
        <f t="shared" si="50"/>
        <v>B</v>
      </c>
    </row>
    <row r="1065" spans="1:12" ht="14.25" customHeight="1">
      <c r="A1065" s="3">
        <v>1064</v>
      </c>
      <c r="B1065" s="3" t="s">
        <v>4136</v>
      </c>
      <c r="C1065" s="3" t="s">
        <v>1221</v>
      </c>
      <c r="D1065" s="3">
        <v>9876544435</v>
      </c>
      <c r="E1065" s="3" t="s">
        <v>4418</v>
      </c>
      <c r="F1065" s="3" t="str" cm="1">
        <f t="array" ref="F1065">IF(E1065="","",_xlfn.XLOOKUP(E1065,{"FIRST","SECOND","THIRD","FOURTH"},{"SEM-1","SEM-2","SEM-3","SEM-4"},""))</f>
        <v>SEM-1</v>
      </c>
      <c r="G1065" s="3">
        <v>56</v>
      </c>
      <c r="H1065" s="3">
        <v>38</v>
      </c>
      <c r="I1065" s="3">
        <v>5</v>
      </c>
      <c r="J1065" s="3">
        <f t="shared" si="48"/>
        <v>99</v>
      </c>
      <c r="K1065" s="3" t="str">
        <f t="shared" si="49"/>
        <v>F</v>
      </c>
      <c r="L1065" s="3" t="str">
        <f t="shared" si="50"/>
        <v>FAIL</v>
      </c>
    </row>
    <row r="1066" spans="1:12" ht="14.25" customHeight="1">
      <c r="A1066" s="3">
        <v>1065</v>
      </c>
      <c r="B1066" s="3" t="s">
        <v>4150</v>
      </c>
      <c r="C1066" s="3" t="s">
        <v>1235</v>
      </c>
      <c r="D1066" s="3">
        <v>9876544449</v>
      </c>
      <c r="E1066" s="3" t="s">
        <v>4418</v>
      </c>
      <c r="F1066" s="3" t="str" cm="1">
        <f t="array" ref="F1066">IF(E1066="","",_xlfn.XLOOKUP(E1066,{"FIRST","SECOND","THIRD","FOURTH"},{"SEM-1","SEM-2","SEM-3","SEM-4"},""))</f>
        <v>SEM-1</v>
      </c>
      <c r="G1066" s="3">
        <v>30</v>
      </c>
      <c r="H1066" s="3">
        <v>3</v>
      </c>
      <c r="I1066" s="3">
        <v>30</v>
      </c>
      <c r="J1066" s="3">
        <f t="shared" si="48"/>
        <v>63</v>
      </c>
      <c r="K1066" s="3" t="str">
        <f t="shared" si="49"/>
        <v>F</v>
      </c>
      <c r="L1066" s="3" t="str">
        <f t="shared" si="50"/>
        <v>FAIL</v>
      </c>
    </row>
    <row r="1067" spans="1:12" ht="14.25" customHeight="1">
      <c r="A1067" s="3">
        <v>1066</v>
      </c>
      <c r="B1067" s="3" t="s">
        <v>3385</v>
      </c>
      <c r="C1067" s="3" t="s">
        <v>481</v>
      </c>
      <c r="D1067" s="3">
        <v>9876543684</v>
      </c>
      <c r="E1067" s="3" t="s">
        <v>4419</v>
      </c>
      <c r="F1067" s="3" t="str" cm="1">
        <f t="array" ref="F1067">IF(E1067="","",_xlfn.XLOOKUP(E1067,{"FIRST","SECOND","THIRD","FOURTH"},{"SEM-1","SEM-2","SEM-3","SEM-4"},""))</f>
        <v>SEM-2</v>
      </c>
      <c r="G1067" s="3">
        <v>64</v>
      </c>
      <c r="H1067" s="3">
        <v>74</v>
      </c>
      <c r="I1067" s="3">
        <v>24</v>
      </c>
      <c r="J1067" s="3">
        <f t="shared" si="48"/>
        <v>162</v>
      </c>
      <c r="K1067" s="3" t="str">
        <f t="shared" si="49"/>
        <v>P</v>
      </c>
      <c r="L1067" s="3" t="str">
        <f t="shared" si="50"/>
        <v>B</v>
      </c>
    </row>
    <row r="1068" spans="1:12" ht="14.25" customHeight="1">
      <c r="A1068" s="3">
        <v>1067</v>
      </c>
      <c r="B1068" s="3" t="s">
        <v>3147</v>
      </c>
      <c r="C1068" s="3" t="s">
        <v>245</v>
      </c>
      <c r="D1068" s="3">
        <v>9876543446</v>
      </c>
      <c r="E1068" s="3" t="s">
        <v>4420</v>
      </c>
      <c r="F1068" s="3" t="str" cm="1">
        <f t="array" ref="F1068">IF(E1068="","",_xlfn.XLOOKUP(E1068,{"FIRST","SECOND","THIRD","FOURTH"},{"SEM-1","SEM-2","SEM-3","SEM-4"},""))</f>
        <v>SEM-3</v>
      </c>
      <c r="G1068" s="3">
        <v>56</v>
      </c>
      <c r="H1068" s="3">
        <v>17</v>
      </c>
      <c r="I1068" s="3">
        <v>100</v>
      </c>
      <c r="J1068" s="3">
        <f t="shared" si="48"/>
        <v>173</v>
      </c>
      <c r="K1068" s="3" t="str">
        <f t="shared" si="49"/>
        <v>P</v>
      </c>
      <c r="L1068" s="3" t="str">
        <f t="shared" si="50"/>
        <v>B</v>
      </c>
    </row>
    <row r="1069" spans="1:12" ht="14.25" customHeight="1">
      <c r="A1069" s="3">
        <v>1068</v>
      </c>
      <c r="B1069" s="3" t="s">
        <v>3606</v>
      </c>
      <c r="C1069" s="3" t="s">
        <v>700</v>
      </c>
      <c r="D1069" s="3">
        <v>9876543905</v>
      </c>
      <c r="E1069" s="3" t="s">
        <v>4419</v>
      </c>
      <c r="F1069" s="3" t="str" cm="1">
        <f t="array" ref="F1069">IF(E1069="","",_xlfn.XLOOKUP(E1069,{"FIRST","SECOND","THIRD","FOURTH"},{"SEM-1","SEM-2","SEM-3","SEM-4"},""))</f>
        <v>SEM-2</v>
      </c>
      <c r="G1069" s="3">
        <v>18</v>
      </c>
      <c r="H1069" s="3">
        <v>97</v>
      </c>
      <c r="I1069" s="3">
        <v>8</v>
      </c>
      <c r="J1069" s="3">
        <f t="shared" si="48"/>
        <v>123</v>
      </c>
      <c r="K1069" s="3" t="str">
        <f t="shared" si="49"/>
        <v>P</v>
      </c>
      <c r="L1069" s="3" t="str">
        <f t="shared" si="50"/>
        <v>C</v>
      </c>
    </row>
    <row r="1070" spans="1:12" ht="14.25" customHeight="1">
      <c r="A1070" s="3">
        <v>1069</v>
      </c>
      <c r="B1070" s="3" t="s">
        <v>3282</v>
      </c>
      <c r="C1070" s="3" t="s">
        <v>379</v>
      </c>
      <c r="D1070" s="3">
        <v>9876543581</v>
      </c>
      <c r="E1070" s="3" t="s">
        <v>4419</v>
      </c>
      <c r="F1070" s="3" t="str" cm="1">
        <f t="array" ref="F1070">IF(E1070="","",_xlfn.XLOOKUP(E1070,{"FIRST","SECOND","THIRD","FOURTH"},{"SEM-1","SEM-2","SEM-3","SEM-4"},""))</f>
        <v>SEM-2</v>
      </c>
      <c r="G1070" s="3">
        <v>42</v>
      </c>
      <c r="H1070" s="3">
        <v>40</v>
      </c>
      <c r="I1070" s="3">
        <v>0</v>
      </c>
      <c r="J1070" s="3">
        <f t="shared" si="48"/>
        <v>82</v>
      </c>
      <c r="K1070" s="3" t="str">
        <f t="shared" si="49"/>
        <v>F</v>
      </c>
      <c r="L1070" s="3" t="str">
        <f t="shared" si="50"/>
        <v>FAIL</v>
      </c>
    </row>
    <row r="1071" spans="1:12" ht="14.25" customHeight="1">
      <c r="A1071" s="3">
        <v>1070</v>
      </c>
      <c r="B1071" s="3" t="s">
        <v>2978</v>
      </c>
      <c r="C1071" s="3" t="s">
        <v>76</v>
      </c>
      <c r="D1071" s="3">
        <v>9876543277</v>
      </c>
      <c r="E1071" s="3" t="s">
        <v>4418</v>
      </c>
      <c r="F1071" s="3" t="str" cm="1">
        <f t="array" ref="F1071">IF(E1071="","",_xlfn.XLOOKUP(E1071,{"FIRST","SECOND","THIRD","FOURTH"},{"SEM-1","SEM-2","SEM-3","SEM-4"},""))</f>
        <v>SEM-1</v>
      </c>
      <c r="G1071" s="3">
        <v>29</v>
      </c>
      <c r="H1071" s="3">
        <v>52</v>
      </c>
      <c r="I1071" s="3">
        <v>44</v>
      </c>
      <c r="J1071" s="3">
        <f t="shared" si="48"/>
        <v>125</v>
      </c>
      <c r="K1071" s="3" t="str">
        <f t="shared" si="49"/>
        <v>P</v>
      </c>
      <c r="L1071" s="3" t="str">
        <f t="shared" si="50"/>
        <v>C</v>
      </c>
    </row>
    <row r="1072" spans="1:12" ht="14.25" customHeight="1">
      <c r="A1072" s="3">
        <v>1071</v>
      </c>
      <c r="B1072" s="3" t="s">
        <v>4173</v>
      </c>
      <c r="C1072" s="3" t="s">
        <v>1258</v>
      </c>
      <c r="D1072" s="3">
        <v>9876544472</v>
      </c>
      <c r="E1072" s="3" t="s">
        <v>4419</v>
      </c>
      <c r="F1072" s="3" t="str" cm="1">
        <f t="array" ref="F1072">IF(E1072="","",_xlfn.XLOOKUP(E1072,{"FIRST","SECOND","THIRD","FOURTH"},{"SEM-1","SEM-2","SEM-3","SEM-4"},""))</f>
        <v>SEM-2</v>
      </c>
      <c r="G1072" s="3">
        <v>77</v>
      </c>
      <c r="H1072" s="3">
        <v>54</v>
      </c>
      <c r="I1072" s="3">
        <v>53</v>
      </c>
      <c r="J1072" s="3">
        <f t="shared" si="48"/>
        <v>184</v>
      </c>
      <c r="K1072" s="3" t="str">
        <f t="shared" si="49"/>
        <v>P</v>
      </c>
      <c r="L1072" s="3" t="str">
        <f t="shared" si="50"/>
        <v>B</v>
      </c>
    </row>
    <row r="1073" spans="1:12" ht="14.25" customHeight="1">
      <c r="A1073" s="3">
        <v>1072</v>
      </c>
      <c r="B1073" s="3" t="s">
        <v>3016</v>
      </c>
      <c r="C1073" s="3" t="s">
        <v>114</v>
      </c>
      <c r="D1073" s="3">
        <v>9876543315</v>
      </c>
      <c r="E1073" s="3" t="s">
        <v>4418</v>
      </c>
      <c r="F1073" s="3" t="str" cm="1">
        <f t="array" ref="F1073">IF(E1073="","",_xlfn.XLOOKUP(E1073,{"FIRST","SECOND","THIRD","FOURTH"},{"SEM-1","SEM-2","SEM-3","SEM-4"},""))</f>
        <v>SEM-1</v>
      </c>
      <c r="G1073" s="3">
        <v>62</v>
      </c>
      <c r="H1073" s="3">
        <v>39</v>
      </c>
      <c r="I1073" s="3">
        <v>58</v>
      </c>
      <c r="J1073" s="3">
        <f t="shared" si="48"/>
        <v>159</v>
      </c>
      <c r="K1073" s="3" t="str">
        <f t="shared" si="49"/>
        <v>P</v>
      </c>
      <c r="L1073" s="3" t="str">
        <f t="shared" si="50"/>
        <v>B</v>
      </c>
    </row>
    <row r="1074" spans="1:12" ht="14.25" customHeight="1">
      <c r="A1074" s="3">
        <v>1073</v>
      </c>
      <c r="B1074" s="3" t="s">
        <v>3845</v>
      </c>
      <c r="C1074" s="3" t="s">
        <v>937</v>
      </c>
      <c r="D1074" s="3">
        <v>9876544144</v>
      </c>
      <c r="E1074" s="3" t="s">
        <v>4419</v>
      </c>
      <c r="F1074" s="3" t="str" cm="1">
        <f t="array" ref="F1074">IF(E1074="","",_xlfn.XLOOKUP(E1074,{"FIRST","SECOND","THIRD","FOURTH"},{"SEM-1","SEM-2","SEM-3","SEM-4"},""))</f>
        <v>SEM-2</v>
      </c>
      <c r="G1074" s="3">
        <v>23</v>
      </c>
      <c r="H1074" s="3">
        <v>94</v>
      </c>
      <c r="I1074" s="3">
        <v>56</v>
      </c>
      <c r="J1074" s="3">
        <f t="shared" si="48"/>
        <v>173</v>
      </c>
      <c r="K1074" s="3" t="str">
        <f t="shared" si="49"/>
        <v>P</v>
      </c>
      <c r="L1074" s="3" t="str">
        <f t="shared" si="50"/>
        <v>B</v>
      </c>
    </row>
    <row r="1075" spans="1:12" ht="14.25" customHeight="1">
      <c r="A1075" s="3">
        <v>1074</v>
      </c>
      <c r="B1075" s="3" t="s">
        <v>3240</v>
      </c>
      <c r="C1075" s="3" t="s">
        <v>337</v>
      </c>
      <c r="D1075" s="3">
        <v>9876543539</v>
      </c>
      <c r="E1075" s="3" t="s">
        <v>4418</v>
      </c>
      <c r="F1075" s="3" t="str" cm="1">
        <f t="array" ref="F1075">IF(E1075="","",_xlfn.XLOOKUP(E1075,{"FIRST","SECOND","THIRD","FOURTH"},{"SEM-1","SEM-2","SEM-3","SEM-4"},""))</f>
        <v>SEM-1</v>
      </c>
      <c r="G1075" s="3">
        <v>0</v>
      </c>
      <c r="H1075" s="3">
        <v>38</v>
      </c>
      <c r="I1075" s="3">
        <v>16</v>
      </c>
      <c r="J1075" s="3">
        <f t="shared" si="48"/>
        <v>54</v>
      </c>
      <c r="K1075" s="3" t="str">
        <f t="shared" si="49"/>
        <v>F</v>
      </c>
      <c r="L1075" s="3" t="str">
        <f t="shared" si="50"/>
        <v>FAIL</v>
      </c>
    </row>
    <row r="1076" spans="1:12" ht="14.25" customHeight="1">
      <c r="A1076" s="3">
        <v>1075</v>
      </c>
      <c r="B1076" s="3" t="s">
        <v>3882</v>
      </c>
      <c r="C1076" s="3" t="s">
        <v>973</v>
      </c>
      <c r="D1076" s="3">
        <v>9876544181</v>
      </c>
      <c r="E1076" s="3" t="s">
        <v>4420</v>
      </c>
      <c r="F1076" s="3" t="str" cm="1">
        <f t="array" ref="F1076">IF(E1076="","",_xlfn.XLOOKUP(E1076,{"FIRST","SECOND","THIRD","FOURTH"},{"SEM-1","SEM-2","SEM-3","SEM-4"},""))</f>
        <v>SEM-3</v>
      </c>
      <c r="G1076" s="3">
        <v>65</v>
      </c>
      <c r="H1076" s="3">
        <v>27</v>
      </c>
      <c r="I1076" s="3">
        <v>58</v>
      </c>
      <c r="J1076" s="3">
        <f t="shared" si="48"/>
        <v>150</v>
      </c>
      <c r="K1076" s="3" t="str">
        <f t="shared" si="49"/>
        <v>P</v>
      </c>
      <c r="L1076" s="3" t="str">
        <f t="shared" si="50"/>
        <v>B</v>
      </c>
    </row>
    <row r="1077" spans="1:12" ht="14.25" customHeight="1">
      <c r="A1077" s="3">
        <v>1076</v>
      </c>
      <c r="B1077" s="3" t="s">
        <v>3286</v>
      </c>
      <c r="C1077" s="3" t="s">
        <v>383</v>
      </c>
      <c r="D1077" s="3">
        <v>9876543585</v>
      </c>
      <c r="E1077" s="3" t="s">
        <v>4419</v>
      </c>
      <c r="F1077" s="3" t="str" cm="1">
        <f t="array" ref="F1077">IF(E1077="","",_xlfn.XLOOKUP(E1077,{"FIRST","SECOND","THIRD","FOURTH"},{"SEM-1","SEM-2","SEM-3","SEM-4"},""))</f>
        <v>SEM-2</v>
      </c>
      <c r="G1077" s="3">
        <v>81</v>
      </c>
      <c r="H1077" s="3">
        <v>87</v>
      </c>
      <c r="I1077" s="3">
        <v>33</v>
      </c>
      <c r="J1077" s="3">
        <f t="shared" si="48"/>
        <v>201</v>
      </c>
      <c r="K1077" s="3" t="str">
        <f t="shared" si="49"/>
        <v>P</v>
      </c>
      <c r="L1077" s="3" t="str">
        <f t="shared" si="50"/>
        <v>A</v>
      </c>
    </row>
    <row r="1078" spans="1:12" ht="14.25" customHeight="1">
      <c r="A1078" s="3">
        <v>1077</v>
      </c>
      <c r="B1078" s="3" t="s">
        <v>4412</v>
      </c>
      <c r="C1078" s="3" t="s">
        <v>1491</v>
      </c>
      <c r="D1078" s="3">
        <v>9876544711</v>
      </c>
      <c r="E1078" s="3" t="s">
        <v>4419</v>
      </c>
      <c r="F1078" s="3" t="str" cm="1">
        <f t="array" ref="F1078">IF(E1078="","",_xlfn.XLOOKUP(E1078,{"FIRST","SECOND","THIRD","FOURTH"},{"SEM-1","SEM-2","SEM-3","SEM-4"},""))</f>
        <v>SEM-2</v>
      </c>
      <c r="G1078" s="3">
        <v>9</v>
      </c>
      <c r="H1078" s="3">
        <v>3</v>
      </c>
      <c r="I1078" s="3">
        <v>10</v>
      </c>
      <c r="J1078" s="3">
        <f t="shared" si="48"/>
        <v>22</v>
      </c>
      <c r="K1078" s="3" t="str">
        <f t="shared" si="49"/>
        <v>F</v>
      </c>
      <c r="L1078" s="3" t="str">
        <f t="shared" si="50"/>
        <v>FAIL</v>
      </c>
    </row>
    <row r="1079" spans="1:12" ht="14.25" customHeight="1">
      <c r="A1079" s="3">
        <v>1078</v>
      </c>
      <c r="B1079" s="3" t="s">
        <v>4070</v>
      </c>
      <c r="C1079" s="3" t="s">
        <v>1156</v>
      </c>
      <c r="D1079" s="3">
        <v>9876544369</v>
      </c>
      <c r="E1079" s="3" t="s">
        <v>4419</v>
      </c>
      <c r="F1079" s="3" t="str" cm="1">
        <f t="array" ref="F1079">IF(E1079="","",_xlfn.XLOOKUP(E1079,{"FIRST","SECOND","THIRD","FOURTH"},{"SEM-1","SEM-2","SEM-3","SEM-4"},""))</f>
        <v>SEM-2</v>
      </c>
      <c r="G1079" s="3">
        <v>25</v>
      </c>
      <c r="H1079" s="3">
        <v>91</v>
      </c>
      <c r="I1079" s="3">
        <v>74</v>
      </c>
      <c r="J1079" s="3">
        <f t="shared" si="48"/>
        <v>190</v>
      </c>
      <c r="K1079" s="3" t="str">
        <f t="shared" si="49"/>
        <v>P</v>
      </c>
      <c r="L1079" s="3" t="str">
        <f t="shared" si="50"/>
        <v>A</v>
      </c>
    </row>
    <row r="1080" spans="1:12" ht="14.25" customHeight="1">
      <c r="A1080" s="3">
        <v>1079</v>
      </c>
      <c r="B1080" s="3" t="s">
        <v>3595</v>
      </c>
      <c r="C1080" s="3" t="s">
        <v>689</v>
      </c>
      <c r="D1080" s="3">
        <v>9876543894</v>
      </c>
      <c r="E1080" s="3" t="s">
        <v>4419</v>
      </c>
      <c r="F1080" s="3" t="str" cm="1">
        <f t="array" ref="F1080">IF(E1080="","",_xlfn.XLOOKUP(E1080,{"FIRST","SECOND","THIRD","FOURTH"},{"SEM-1","SEM-2","SEM-3","SEM-4"},""))</f>
        <v>SEM-2</v>
      </c>
      <c r="G1080" s="3">
        <v>85</v>
      </c>
      <c r="H1080" s="3">
        <v>96</v>
      </c>
      <c r="I1080" s="3">
        <v>37</v>
      </c>
      <c r="J1080" s="3">
        <f t="shared" si="48"/>
        <v>218</v>
      </c>
      <c r="K1080" s="3" t="str">
        <f t="shared" si="49"/>
        <v>P</v>
      </c>
      <c r="L1080" s="3" t="str">
        <f t="shared" si="50"/>
        <v>A</v>
      </c>
    </row>
    <row r="1081" spans="1:12" ht="14.25" customHeight="1">
      <c r="A1081" s="3">
        <v>1080</v>
      </c>
      <c r="B1081" s="3" t="s">
        <v>3012</v>
      </c>
      <c r="C1081" s="3" t="s">
        <v>110</v>
      </c>
      <c r="D1081" s="3">
        <v>9876543311</v>
      </c>
      <c r="E1081" s="3" t="s">
        <v>4418</v>
      </c>
      <c r="F1081" s="3" t="str" cm="1">
        <f t="array" ref="F1081">IF(E1081="","",_xlfn.XLOOKUP(E1081,{"FIRST","SECOND","THIRD","FOURTH"},{"SEM-1","SEM-2","SEM-3","SEM-4"},""))</f>
        <v>SEM-1</v>
      </c>
      <c r="G1081" s="3">
        <v>68</v>
      </c>
      <c r="H1081" s="3">
        <v>91</v>
      </c>
      <c r="I1081" s="3">
        <v>12</v>
      </c>
      <c r="J1081" s="3">
        <f t="shared" si="48"/>
        <v>171</v>
      </c>
      <c r="K1081" s="3" t="str">
        <f t="shared" si="49"/>
        <v>P</v>
      </c>
      <c r="L1081" s="3" t="str">
        <f t="shared" si="50"/>
        <v>B</v>
      </c>
    </row>
    <row r="1082" spans="1:12" ht="14.25" customHeight="1">
      <c r="A1082" s="3">
        <v>1081</v>
      </c>
      <c r="B1082" s="3" t="s">
        <v>4062</v>
      </c>
      <c r="C1082" s="3" t="s">
        <v>1149</v>
      </c>
      <c r="D1082" s="3">
        <v>9876544361</v>
      </c>
      <c r="E1082" s="3" t="s">
        <v>4420</v>
      </c>
      <c r="F1082" s="3" t="str" cm="1">
        <f t="array" ref="F1082">IF(E1082="","",_xlfn.XLOOKUP(E1082,{"FIRST","SECOND","THIRD","FOURTH"},{"SEM-1","SEM-2","SEM-3","SEM-4"},""))</f>
        <v>SEM-3</v>
      </c>
      <c r="G1082" s="3">
        <v>12</v>
      </c>
      <c r="H1082" s="3">
        <v>99</v>
      </c>
      <c r="I1082" s="3">
        <v>35</v>
      </c>
      <c r="J1082" s="3">
        <f t="shared" si="48"/>
        <v>146</v>
      </c>
      <c r="K1082" s="3" t="str">
        <f t="shared" si="49"/>
        <v>P</v>
      </c>
      <c r="L1082" s="3" t="str">
        <f t="shared" si="50"/>
        <v>C</v>
      </c>
    </row>
    <row r="1083" spans="1:12" ht="14.25" customHeight="1">
      <c r="A1083" s="3">
        <v>1082</v>
      </c>
      <c r="B1083" s="3" t="s">
        <v>3434</v>
      </c>
      <c r="C1083" s="3" t="s">
        <v>530</v>
      </c>
      <c r="D1083" s="3">
        <v>9876543733</v>
      </c>
      <c r="E1083" s="3" t="s">
        <v>4418</v>
      </c>
      <c r="F1083" s="3" t="str" cm="1">
        <f t="array" ref="F1083">IF(E1083="","",_xlfn.XLOOKUP(E1083,{"FIRST","SECOND","THIRD","FOURTH"},{"SEM-1","SEM-2","SEM-3","SEM-4"},""))</f>
        <v>SEM-1</v>
      </c>
      <c r="G1083" s="3">
        <v>72</v>
      </c>
      <c r="H1083" s="3">
        <v>58</v>
      </c>
      <c r="I1083" s="3">
        <v>9</v>
      </c>
      <c r="J1083" s="3">
        <f t="shared" si="48"/>
        <v>139</v>
      </c>
      <c r="K1083" s="3" t="str">
        <f t="shared" si="49"/>
        <v>P</v>
      </c>
      <c r="L1083" s="3" t="str">
        <f t="shared" si="50"/>
        <v>C</v>
      </c>
    </row>
    <row r="1084" spans="1:12" ht="14.25" customHeight="1">
      <c r="A1084" s="3">
        <v>1083</v>
      </c>
      <c r="B1084" s="3" t="s">
        <v>3569</v>
      </c>
      <c r="C1084" s="3" t="s">
        <v>663</v>
      </c>
      <c r="D1084" s="3">
        <v>9876543868</v>
      </c>
      <c r="E1084" s="3" t="s">
        <v>4420</v>
      </c>
      <c r="F1084" s="3" t="str" cm="1">
        <f t="array" ref="F1084">IF(E1084="","",_xlfn.XLOOKUP(E1084,{"FIRST","SECOND","THIRD","FOURTH"},{"SEM-1","SEM-2","SEM-3","SEM-4"},""))</f>
        <v>SEM-3</v>
      </c>
      <c r="G1084" s="3">
        <v>0</v>
      </c>
      <c r="H1084" s="3">
        <v>20</v>
      </c>
      <c r="I1084" s="3">
        <v>54</v>
      </c>
      <c r="J1084" s="3">
        <f t="shared" si="48"/>
        <v>74</v>
      </c>
      <c r="K1084" s="3" t="str">
        <f t="shared" si="49"/>
        <v>F</v>
      </c>
      <c r="L1084" s="3" t="str">
        <f t="shared" si="50"/>
        <v>FAIL</v>
      </c>
    </row>
    <row r="1085" spans="1:12" ht="14.25" customHeight="1">
      <c r="A1085" s="3">
        <v>1084</v>
      </c>
      <c r="B1085" s="3" t="s">
        <v>3410</v>
      </c>
      <c r="C1085" s="3" t="s">
        <v>506</v>
      </c>
      <c r="D1085" s="3">
        <v>9876543709</v>
      </c>
      <c r="E1085" s="3" t="s">
        <v>4418</v>
      </c>
      <c r="F1085" s="3" t="str" cm="1">
        <f t="array" ref="F1085">IF(E1085="","",_xlfn.XLOOKUP(E1085,{"FIRST","SECOND","THIRD","FOURTH"},{"SEM-1","SEM-2","SEM-3","SEM-4"},""))</f>
        <v>SEM-1</v>
      </c>
      <c r="G1085" s="3">
        <v>85</v>
      </c>
      <c r="H1085" s="3">
        <v>47</v>
      </c>
      <c r="I1085" s="3">
        <v>79</v>
      </c>
      <c r="J1085" s="3">
        <f t="shared" si="48"/>
        <v>211</v>
      </c>
      <c r="K1085" s="3" t="str">
        <f t="shared" si="49"/>
        <v>P</v>
      </c>
      <c r="L1085" s="3" t="str">
        <f t="shared" si="50"/>
        <v>A</v>
      </c>
    </row>
    <row r="1086" spans="1:12" ht="14.25" customHeight="1">
      <c r="A1086" s="3">
        <v>1085</v>
      </c>
      <c r="B1086" s="3" t="s">
        <v>3303</v>
      </c>
      <c r="C1086" s="3" t="s">
        <v>399</v>
      </c>
      <c r="D1086" s="3">
        <v>9876543602</v>
      </c>
      <c r="E1086" s="3" t="s">
        <v>4419</v>
      </c>
      <c r="F1086" s="3" t="str" cm="1">
        <f t="array" ref="F1086">IF(E1086="","",_xlfn.XLOOKUP(E1086,{"FIRST","SECOND","THIRD","FOURTH"},{"SEM-1","SEM-2","SEM-3","SEM-4"},""))</f>
        <v>SEM-2</v>
      </c>
      <c r="G1086" s="3">
        <v>33</v>
      </c>
      <c r="H1086" s="3">
        <v>45</v>
      </c>
      <c r="I1086" s="3">
        <v>46</v>
      </c>
      <c r="J1086" s="3">
        <f t="shared" si="48"/>
        <v>124</v>
      </c>
      <c r="K1086" s="3" t="str">
        <f t="shared" si="49"/>
        <v>P</v>
      </c>
      <c r="L1086" s="3" t="str">
        <f t="shared" si="50"/>
        <v>C</v>
      </c>
    </row>
    <row r="1087" spans="1:12" ht="14.25" customHeight="1">
      <c r="A1087" s="3">
        <v>1086</v>
      </c>
      <c r="B1087" s="3" t="s">
        <v>3939</v>
      </c>
      <c r="C1087" s="3" t="s">
        <v>1029</v>
      </c>
      <c r="D1087" s="3">
        <v>9876544238</v>
      </c>
      <c r="E1087" s="3" t="s">
        <v>4418</v>
      </c>
      <c r="F1087" s="3" t="str" cm="1">
        <f t="array" ref="F1087">IF(E1087="","",_xlfn.XLOOKUP(E1087,{"FIRST","SECOND","THIRD","FOURTH"},{"SEM-1","SEM-2","SEM-3","SEM-4"},""))</f>
        <v>SEM-1</v>
      </c>
      <c r="G1087" s="3">
        <v>64</v>
      </c>
      <c r="H1087" s="3">
        <v>90</v>
      </c>
      <c r="I1087" s="3">
        <v>67</v>
      </c>
      <c r="J1087" s="3">
        <f t="shared" si="48"/>
        <v>221</v>
      </c>
      <c r="K1087" s="3" t="str">
        <f t="shared" si="49"/>
        <v>P</v>
      </c>
      <c r="L1087" s="3" t="str">
        <f t="shared" si="50"/>
        <v>A</v>
      </c>
    </row>
    <row r="1088" spans="1:12" ht="14.25" customHeight="1">
      <c r="A1088" s="3">
        <v>1087</v>
      </c>
      <c r="B1088" s="3" t="s">
        <v>4257</v>
      </c>
      <c r="C1088" s="3" t="s">
        <v>1340</v>
      </c>
      <c r="D1088" s="3">
        <v>9876544556</v>
      </c>
      <c r="E1088" s="3" t="s">
        <v>4420</v>
      </c>
      <c r="F1088" s="3" t="str" cm="1">
        <f t="array" ref="F1088">IF(E1088="","",_xlfn.XLOOKUP(E1088,{"FIRST","SECOND","THIRD","FOURTH"},{"SEM-1","SEM-2","SEM-3","SEM-4"},""))</f>
        <v>SEM-3</v>
      </c>
      <c r="G1088" s="3">
        <v>63</v>
      </c>
      <c r="H1088" s="3">
        <v>29</v>
      </c>
      <c r="I1088" s="3">
        <v>36</v>
      </c>
      <c r="J1088" s="3">
        <f t="shared" si="48"/>
        <v>128</v>
      </c>
      <c r="K1088" s="3" t="str">
        <f t="shared" si="49"/>
        <v>P</v>
      </c>
      <c r="L1088" s="3" t="str">
        <f t="shared" si="50"/>
        <v>C</v>
      </c>
    </row>
    <row r="1089" spans="1:12" ht="14.25" customHeight="1">
      <c r="A1089" s="3">
        <v>1088</v>
      </c>
      <c r="B1089" s="3" t="s">
        <v>4355</v>
      </c>
      <c r="C1089" s="3" t="s">
        <v>1434</v>
      </c>
      <c r="D1089" s="3">
        <v>9876544654</v>
      </c>
      <c r="E1089" s="3" t="s">
        <v>4419</v>
      </c>
      <c r="F1089" s="3" t="str" cm="1">
        <f t="array" ref="F1089">IF(E1089="","",_xlfn.XLOOKUP(E1089,{"FIRST","SECOND","THIRD","FOURTH"},{"SEM-1","SEM-2","SEM-3","SEM-4"},""))</f>
        <v>SEM-2</v>
      </c>
      <c r="G1089" s="3">
        <v>82</v>
      </c>
      <c r="H1089" s="3">
        <v>95</v>
      </c>
      <c r="I1089" s="3">
        <v>26</v>
      </c>
      <c r="J1089" s="3">
        <f t="shared" si="48"/>
        <v>203</v>
      </c>
      <c r="K1089" s="3" t="str">
        <f t="shared" si="49"/>
        <v>P</v>
      </c>
      <c r="L1089" s="3" t="str">
        <f t="shared" si="50"/>
        <v>A</v>
      </c>
    </row>
    <row r="1090" spans="1:12" ht="14.25" customHeight="1">
      <c r="A1090" s="3">
        <v>1089</v>
      </c>
      <c r="B1090" s="3" t="s">
        <v>3435</v>
      </c>
      <c r="C1090" s="3" t="s">
        <v>531</v>
      </c>
      <c r="D1090" s="3">
        <v>9876543734</v>
      </c>
      <c r="E1090" s="3" t="s">
        <v>4419</v>
      </c>
      <c r="F1090" s="3" t="str" cm="1">
        <f t="array" ref="F1090">IF(E1090="","",_xlfn.XLOOKUP(E1090,{"FIRST","SECOND","THIRD","FOURTH"},{"SEM-1","SEM-2","SEM-3","SEM-4"},""))</f>
        <v>SEM-2</v>
      </c>
      <c r="G1090" s="3">
        <v>70</v>
      </c>
      <c r="H1090" s="3">
        <v>12</v>
      </c>
      <c r="I1090" s="3">
        <v>8</v>
      </c>
      <c r="J1090" s="3">
        <f t="shared" ref="J1090:J1153" si="51">SUM(G1090:I1090)</f>
        <v>90</v>
      </c>
      <c r="K1090" s="3" t="str">
        <f t="shared" ref="K1090:K1153" si="52">IF(OR(G1090&gt;=70,H1090&gt;=70,I1090&gt;=70,J1090&gt;=120),"P","F")</f>
        <v>P</v>
      </c>
      <c r="L1090" s="3" t="str">
        <f t="shared" ref="L1090:L1153" si="53">IF(J1090&gt;=190,"A",IF(J1090&gt;=150,"B",IF(J1090&gt;=120,"C","FAIL")))</f>
        <v>FAIL</v>
      </c>
    </row>
    <row r="1091" spans="1:12" ht="14.25" customHeight="1">
      <c r="A1091" s="3">
        <v>1090</v>
      </c>
      <c r="B1091" s="3" t="s">
        <v>3197</v>
      </c>
      <c r="C1091" s="3" t="s">
        <v>295</v>
      </c>
      <c r="D1091" s="3">
        <v>9876543496</v>
      </c>
      <c r="E1091" s="3" t="s">
        <v>4419</v>
      </c>
      <c r="F1091" s="3" t="str" cm="1">
        <f t="array" ref="F1091">IF(E1091="","",_xlfn.XLOOKUP(E1091,{"FIRST","SECOND","THIRD","FOURTH"},{"SEM-1","SEM-2","SEM-3","SEM-4"},""))</f>
        <v>SEM-2</v>
      </c>
      <c r="G1091" s="3">
        <v>45</v>
      </c>
      <c r="H1091" s="3">
        <v>69</v>
      </c>
      <c r="I1091" s="3">
        <v>58</v>
      </c>
      <c r="J1091" s="3">
        <f t="shared" si="51"/>
        <v>172</v>
      </c>
      <c r="K1091" s="3" t="str">
        <f t="shared" si="52"/>
        <v>P</v>
      </c>
      <c r="L1091" s="3" t="str">
        <f t="shared" si="53"/>
        <v>B</v>
      </c>
    </row>
    <row r="1092" spans="1:12" ht="14.25" customHeight="1">
      <c r="A1092" s="3">
        <v>1091</v>
      </c>
      <c r="B1092" s="3" t="s">
        <v>3116</v>
      </c>
      <c r="C1092" s="3" t="s">
        <v>214</v>
      </c>
      <c r="D1092" s="3">
        <v>9876543415</v>
      </c>
      <c r="E1092" s="3" t="s">
        <v>4419</v>
      </c>
      <c r="F1092" s="3" t="str" cm="1">
        <f t="array" ref="F1092">IF(E1092="","",_xlfn.XLOOKUP(E1092,{"FIRST","SECOND","THIRD","FOURTH"},{"SEM-1","SEM-2","SEM-3","SEM-4"},""))</f>
        <v>SEM-2</v>
      </c>
      <c r="G1092" s="3">
        <v>82</v>
      </c>
      <c r="H1092" s="3">
        <v>51</v>
      </c>
      <c r="I1092" s="3">
        <v>15</v>
      </c>
      <c r="J1092" s="3">
        <f t="shared" si="51"/>
        <v>148</v>
      </c>
      <c r="K1092" s="3" t="str">
        <f t="shared" si="52"/>
        <v>P</v>
      </c>
      <c r="L1092" s="3" t="str">
        <f t="shared" si="53"/>
        <v>C</v>
      </c>
    </row>
    <row r="1093" spans="1:12" ht="14.25" customHeight="1">
      <c r="A1093" s="3">
        <v>1092</v>
      </c>
      <c r="B1093" s="3" t="s">
        <v>4213</v>
      </c>
      <c r="C1093" s="3" t="s">
        <v>1296</v>
      </c>
      <c r="D1093" s="3">
        <v>9876544512</v>
      </c>
      <c r="E1093" s="3" t="s">
        <v>4420</v>
      </c>
      <c r="F1093" s="3" t="str" cm="1">
        <f t="array" ref="F1093">IF(E1093="","",_xlfn.XLOOKUP(E1093,{"FIRST","SECOND","THIRD","FOURTH"},{"SEM-1","SEM-2","SEM-3","SEM-4"},""))</f>
        <v>SEM-3</v>
      </c>
      <c r="G1093" s="3">
        <v>6</v>
      </c>
      <c r="H1093" s="3">
        <v>90</v>
      </c>
      <c r="I1093" s="3">
        <v>16</v>
      </c>
      <c r="J1093" s="3">
        <f t="shared" si="51"/>
        <v>112</v>
      </c>
      <c r="K1093" s="3" t="str">
        <f t="shared" si="52"/>
        <v>P</v>
      </c>
      <c r="L1093" s="3" t="str">
        <f t="shared" si="53"/>
        <v>FAIL</v>
      </c>
    </row>
    <row r="1094" spans="1:12" ht="14.25" customHeight="1">
      <c r="A1094" s="3">
        <v>1093</v>
      </c>
      <c r="B1094" s="3" t="s">
        <v>3363</v>
      </c>
      <c r="C1094" s="3" t="s">
        <v>459</v>
      </c>
      <c r="D1094" s="3">
        <v>9876543662</v>
      </c>
      <c r="E1094" s="3" t="s">
        <v>4419</v>
      </c>
      <c r="F1094" s="3" t="str" cm="1">
        <f t="array" ref="F1094">IF(E1094="","",_xlfn.XLOOKUP(E1094,{"FIRST","SECOND","THIRD","FOURTH"},{"SEM-1","SEM-2","SEM-3","SEM-4"},""))</f>
        <v>SEM-2</v>
      </c>
      <c r="G1094" s="3">
        <v>95</v>
      </c>
      <c r="H1094" s="3">
        <v>28</v>
      </c>
      <c r="I1094" s="3">
        <v>17</v>
      </c>
      <c r="J1094" s="3">
        <f t="shared" si="51"/>
        <v>140</v>
      </c>
      <c r="K1094" s="3" t="str">
        <f t="shared" si="52"/>
        <v>P</v>
      </c>
      <c r="L1094" s="3" t="str">
        <f t="shared" si="53"/>
        <v>C</v>
      </c>
    </row>
    <row r="1095" spans="1:12" ht="14.25" customHeight="1">
      <c r="A1095" s="3">
        <v>1094</v>
      </c>
      <c r="B1095" s="3" t="s">
        <v>3731</v>
      </c>
      <c r="C1095" s="3" t="s">
        <v>824</v>
      </c>
      <c r="D1095" s="3">
        <v>9876544030</v>
      </c>
      <c r="E1095" s="3" t="s">
        <v>4419</v>
      </c>
      <c r="F1095" s="3" t="str" cm="1">
        <f t="array" ref="F1095">IF(E1095="","",_xlfn.XLOOKUP(E1095,{"FIRST","SECOND","THIRD","FOURTH"},{"SEM-1","SEM-2","SEM-3","SEM-4"},""))</f>
        <v>SEM-2</v>
      </c>
      <c r="G1095" s="3">
        <v>32</v>
      </c>
      <c r="H1095" s="3">
        <v>66</v>
      </c>
      <c r="I1095" s="3">
        <v>37</v>
      </c>
      <c r="J1095" s="3">
        <f t="shared" si="51"/>
        <v>135</v>
      </c>
      <c r="K1095" s="3" t="str">
        <f t="shared" si="52"/>
        <v>P</v>
      </c>
      <c r="L1095" s="3" t="str">
        <f t="shared" si="53"/>
        <v>C</v>
      </c>
    </row>
    <row r="1096" spans="1:12" ht="14.25" customHeight="1">
      <c r="A1096" s="3">
        <v>1095</v>
      </c>
      <c r="B1096" s="3" t="s">
        <v>3776</v>
      </c>
      <c r="C1096" s="3" t="s">
        <v>868</v>
      </c>
      <c r="D1096" s="3">
        <v>9876544075</v>
      </c>
      <c r="E1096" s="3" t="s">
        <v>4419</v>
      </c>
      <c r="F1096" s="3" t="str" cm="1">
        <f t="array" ref="F1096">IF(E1096="","",_xlfn.XLOOKUP(E1096,{"FIRST","SECOND","THIRD","FOURTH"},{"SEM-1","SEM-2","SEM-3","SEM-4"},""))</f>
        <v>SEM-2</v>
      </c>
      <c r="G1096" s="3">
        <v>87</v>
      </c>
      <c r="H1096" s="3">
        <v>88</v>
      </c>
      <c r="I1096" s="3">
        <v>37</v>
      </c>
      <c r="J1096" s="3">
        <f t="shared" si="51"/>
        <v>212</v>
      </c>
      <c r="K1096" s="3" t="str">
        <f t="shared" si="52"/>
        <v>P</v>
      </c>
      <c r="L1096" s="3" t="str">
        <f t="shared" si="53"/>
        <v>A</v>
      </c>
    </row>
    <row r="1097" spans="1:12" ht="14.25" customHeight="1">
      <c r="A1097" s="3">
        <v>1096</v>
      </c>
      <c r="B1097" s="3" t="s">
        <v>3138</v>
      </c>
      <c r="C1097" s="3" t="s">
        <v>236</v>
      </c>
      <c r="D1097" s="3">
        <v>9876543437</v>
      </c>
      <c r="E1097" s="3" t="s">
        <v>4418</v>
      </c>
      <c r="F1097" s="3" t="str" cm="1">
        <f t="array" ref="F1097">IF(E1097="","",_xlfn.XLOOKUP(E1097,{"FIRST","SECOND","THIRD","FOURTH"},{"SEM-1","SEM-2","SEM-3","SEM-4"},""))</f>
        <v>SEM-1</v>
      </c>
      <c r="G1097" s="3">
        <v>87</v>
      </c>
      <c r="H1097" s="3">
        <v>85</v>
      </c>
      <c r="I1097" s="3">
        <v>26</v>
      </c>
      <c r="J1097" s="3">
        <f t="shared" si="51"/>
        <v>198</v>
      </c>
      <c r="K1097" s="3" t="str">
        <f t="shared" si="52"/>
        <v>P</v>
      </c>
      <c r="L1097" s="3" t="str">
        <f t="shared" si="53"/>
        <v>A</v>
      </c>
    </row>
    <row r="1098" spans="1:12" ht="14.25" customHeight="1">
      <c r="A1098" s="3">
        <v>1097</v>
      </c>
      <c r="B1098" s="3" t="s">
        <v>2928</v>
      </c>
      <c r="C1098" s="3" t="s">
        <v>26</v>
      </c>
      <c r="D1098" s="3">
        <v>9876543227</v>
      </c>
      <c r="E1098" s="3" t="s">
        <v>4420</v>
      </c>
      <c r="F1098" s="3" t="str" cm="1">
        <f t="array" ref="F1098">IF(E1098="","",_xlfn.XLOOKUP(E1098,{"FIRST","SECOND","THIRD","FOURTH"},{"SEM-1","SEM-2","SEM-3","SEM-4"},""))</f>
        <v>SEM-3</v>
      </c>
      <c r="G1098" s="3">
        <v>17</v>
      </c>
      <c r="H1098" s="3">
        <v>83</v>
      </c>
      <c r="I1098" s="3">
        <v>61</v>
      </c>
      <c r="J1098" s="3">
        <f t="shared" si="51"/>
        <v>161</v>
      </c>
      <c r="K1098" s="3" t="str">
        <f t="shared" si="52"/>
        <v>P</v>
      </c>
      <c r="L1098" s="3" t="str">
        <f t="shared" si="53"/>
        <v>B</v>
      </c>
    </row>
    <row r="1099" spans="1:12" ht="14.25" customHeight="1">
      <c r="A1099" s="3">
        <v>1098</v>
      </c>
      <c r="B1099" s="3" t="s">
        <v>4225</v>
      </c>
      <c r="C1099" s="3" t="s">
        <v>1308</v>
      </c>
      <c r="D1099" s="3">
        <v>9876544524</v>
      </c>
      <c r="E1099" s="3" t="s">
        <v>4420</v>
      </c>
      <c r="F1099" s="3" t="str" cm="1">
        <f t="array" ref="F1099">IF(E1099="","",_xlfn.XLOOKUP(E1099,{"FIRST","SECOND","THIRD","FOURTH"},{"SEM-1","SEM-2","SEM-3","SEM-4"},""))</f>
        <v>SEM-3</v>
      </c>
      <c r="G1099" s="3">
        <v>83</v>
      </c>
      <c r="H1099" s="3">
        <v>42</v>
      </c>
      <c r="I1099" s="3">
        <v>11</v>
      </c>
      <c r="J1099" s="3">
        <f t="shared" si="51"/>
        <v>136</v>
      </c>
      <c r="K1099" s="3" t="str">
        <f t="shared" si="52"/>
        <v>P</v>
      </c>
      <c r="L1099" s="3" t="str">
        <f t="shared" si="53"/>
        <v>C</v>
      </c>
    </row>
    <row r="1100" spans="1:12" ht="14.25" customHeight="1">
      <c r="A1100" s="3">
        <v>1099</v>
      </c>
      <c r="B1100" s="3" t="s">
        <v>3173</v>
      </c>
      <c r="C1100" s="3" t="s">
        <v>271</v>
      </c>
      <c r="D1100" s="3">
        <v>9876543472</v>
      </c>
      <c r="E1100" s="3" t="s">
        <v>4420</v>
      </c>
      <c r="F1100" s="3" t="str" cm="1">
        <f t="array" ref="F1100">IF(E1100="","",_xlfn.XLOOKUP(E1100,{"FIRST","SECOND","THIRD","FOURTH"},{"SEM-1","SEM-2","SEM-3","SEM-4"},""))</f>
        <v>SEM-3</v>
      </c>
      <c r="G1100" s="3">
        <v>65</v>
      </c>
      <c r="H1100" s="3">
        <v>87</v>
      </c>
      <c r="I1100" s="3">
        <v>92</v>
      </c>
      <c r="J1100" s="3">
        <f t="shared" si="51"/>
        <v>244</v>
      </c>
      <c r="K1100" s="3" t="str">
        <f t="shared" si="52"/>
        <v>P</v>
      </c>
      <c r="L1100" s="3" t="str">
        <f t="shared" si="53"/>
        <v>A</v>
      </c>
    </row>
    <row r="1101" spans="1:12" ht="14.25" customHeight="1">
      <c r="A1101" s="3">
        <v>1100</v>
      </c>
      <c r="B1101" s="3" t="s">
        <v>2991</v>
      </c>
      <c r="C1101" s="3" t="s">
        <v>89</v>
      </c>
      <c r="D1101" s="3">
        <v>9876543290</v>
      </c>
      <c r="E1101" s="3" t="s">
        <v>4418</v>
      </c>
      <c r="F1101" s="3" t="str" cm="1">
        <f t="array" ref="F1101">IF(E1101="","",_xlfn.XLOOKUP(E1101,{"FIRST","SECOND","THIRD","FOURTH"},{"SEM-1","SEM-2","SEM-3","SEM-4"},""))</f>
        <v>SEM-1</v>
      </c>
      <c r="G1101" s="3">
        <v>72</v>
      </c>
      <c r="H1101" s="3">
        <v>97</v>
      </c>
      <c r="I1101" s="3">
        <v>82</v>
      </c>
      <c r="J1101" s="3">
        <f t="shared" si="51"/>
        <v>251</v>
      </c>
      <c r="K1101" s="3" t="str">
        <f t="shared" si="52"/>
        <v>P</v>
      </c>
      <c r="L1101" s="3" t="str">
        <f t="shared" si="53"/>
        <v>A</v>
      </c>
    </row>
    <row r="1102" spans="1:12" ht="14.25" customHeight="1">
      <c r="A1102" s="3">
        <v>1101</v>
      </c>
      <c r="B1102" s="3" t="s">
        <v>3171</v>
      </c>
      <c r="C1102" s="3" t="s">
        <v>269</v>
      </c>
      <c r="D1102" s="3">
        <v>9876543470</v>
      </c>
      <c r="E1102" s="3" t="s">
        <v>4418</v>
      </c>
      <c r="F1102" s="3" t="str" cm="1">
        <f t="array" ref="F1102">IF(E1102="","",_xlfn.XLOOKUP(E1102,{"FIRST","SECOND","THIRD","FOURTH"},{"SEM-1","SEM-2","SEM-3","SEM-4"},""))</f>
        <v>SEM-1</v>
      </c>
      <c r="G1102" s="3">
        <v>69</v>
      </c>
      <c r="H1102" s="3">
        <v>27</v>
      </c>
      <c r="I1102" s="3">
        <v>76</v>
      </c>
      <c r="J1102" s="3">
        <f t="shared" si="51"/>
        <v>172</v>
      </c>
      <c r="K1102" s="3" t="str">
        <f t="shared" si="52"/>
        <v>P</v>
      </c>
      <c r="L1102" s="3" t="str">
        <f t="shared" si="53"/>
        <v>B</v>
      </c>
    </row>
    <row r="1103" spans="1:12" ht="14.25" customHeight="1">
      <c r="A1103" s="3">
        <v>1102</v>
      </c>
      <c r="B1103" s="3" t="s">
        <v>3729</v>
      </c>
      <c r="C1103" s="3" t="s">
        <v>822</v>
      </c>
      <c r="D1103" s="3">
        <v>9876544028</v>
      </c>
      <c r="E1103" s="3" t="s">
        <v>4420</v>
      </c>
      <c r="F1103" s="3" t="str" cm="1">
        <f t="array" ref="F1103">IF(E1103="","",_xlfn.XLOOKUP(E1103,{"FIRST","SECOND","THIRD","FOURTH"},{"SEM-1","SEM-2","SEM-3","SEM-4"},""))</f>
        <v>SEM-3</v>
      </c>
      <c r="G1103" s="3">
        <v>95</v>
      </c>
      <c r="H1103" s="3">
        <v>51</v>
      </c>
      <c r="I1103" s="3">
        <v>4</v>
      </c>
      <c r="J1103" s="3">
        <f t="shared" si="51"/>
        <v>150</v>
      </c>
      <c r="K1103" s="3" t="str">
        <f t="shared" si="52"/>
        <v>P</v>
      </c>
      <c r="L1103" s="3" t="str">
        <f t="shared" si="53"/>
        <v>B</v>
      </c>
    </row>
    <row r="1104" spans="1:12" ht="14.25" customHeight="1">
      <c r="A1104" s="3">
        <v>1103</v>
      </c>
      <c r="B1104" s="3" t="s">
        <v>3711</v>
      </c>
      <c r="C1104" s="3" t="s">
        <v>804</v>
      </c>
      <c r="D1104" s="3">
        <v>9876544010</v>
      </c>
      <c r="E1104" s="3" t="s">
        <v>4420</v>
      </c>
      <c r="F1104" s="3" t="str" cm="1">
        <f t="array" ref="F1104">IF(E1104="","",_xlfn.XLOOKUP(E1104,{"FIRST","SECOND","THIRD","FOURTH"},{"SEM-1","SEM-2","SEM-3","SEM-4"},""))</f>
        <v>SEM-3</v>
      </c>
      <c r="G1104" s="3">
        <v>13</v>
      </c>
      <c r="H1104" s="3">
        <v>97</v>
      </c>
      <c r="I1104" s="3">
        <v>40</v>
      </c>
      <c r="J1104" s="3">
        <f t="shared" si="51"/>
        <v>150</v>
      </c>
      <c r="K1104" s="3" t="str">
        <f t="shared" si="52"/>
        <v>P</v>
      </c>
      <c r="L1104" s="3" t="str">
        <f t="shared" si="53"/>
        <v>B</v>
      </c>
    </row>
    <row r="1105" spans="1:12" ht="14.25" customHeight="1">
      <c r="A1105" s="3">
        <v>1104</v>
      </c>
      <c r="B1105" s="3" t="s">
        <v>3716</v>
      </c>
      <c r="C1105" s="3" t="s">
        <v>809</v>
      </c>
      <c r="D1105" s="3">
        <v>9876544015</v>
      </c>
      <c r="E1105" s="3" t="s">
        <v>4418</v>
      </c>
      <c r="F1105" s="3" t="str" cm="1">
        <f t="array" ref="F1105">IF(E1105="","",_xlfn.XLOOKUP(E1105,{"FIRST","SECOND","THIRD","FOURTH"},{"SEM-1","SEM-2","SEM-3","SEM-4"},""))</f>
        <v>SEM-1</v>
      </c>
      <c r="G1105" s="3">
        <v>32</v>
      </c>
      <c r="H1105" s="3">
        <v>72</v>
      </c>
      <c r="I1105" s="3">
        <v>59</v>
      </c>
      <c r="J1105" s="3">
        <f t="shared" si="51"/>
        <v>163</v>
      </c>
      <c r="K1105" s="3" t="str">
        <f t="shared" si="52"/>
        <v>P</v>
      </c>
      <c r="L1105" s="3" t="str">
        <f t="shared" si="53"/>
        <v>B</v>
      </c>
    </row>
    <row r="1106" spans="1:12" ht="14.25" customHeight="1">
      <c r="A1106" s="3">
        <v>1105</v>
      </c>
      <c r="B1106" s="3" t="s">
        <v>2953</v>
      </c>
      <c r="C1106" s="3" t="s">
        <v>51</v>
      </c>
      <c r="D1106" s="3">
        <v>9876543252</v>
      </c>
      <c r="E1106" s="3" t="s">
        <v>4418</v>
      </c>
      <c r="F1106" s="3" t="str" cm="1">
        <f t="array" ref="F1106">IF(E1106="","",_xlfn.XLOOKUP(E1106,{"FIRST","SECOND","THIRD","FOURTH"},{"SEM-1","SEM-2","SEM-3","SEM-4"},""))</f>
        <v>SEM-1</v>
      </c>
      <c r="G1106" s="3">
        <v>84</v>
      </c>
      <c r="H1106" s="3">
        <v>100</v>
      </c>
      <c r="I1106" s="3">
        <v>21</v>
      </c>
      <c r="J1106" s="3">
        <f t="shared" si="51"/>
        <v>205</v>
      </c>
      <c r="K1106" s="3" t="str">
        <f t="shared" si="52"/>
        <v>P</v>
      </c>
      <c r="L1106" s="3" t="str">
        <f t="shared" si="53"/>
        <v>A</v>
      </c>
    </row>
    <row r="1107" spans="1:12" ht="14.25" customHeight="1">
      <c r="A1107" s="3">
        <v>1106</v>
      </c>
      <c r="B1107" s="3" t="s">
        <v>3060</v>
      </c>
      <c r="C1107" s="3" t="s">
        <v>158</v>
      </c>
      <c r="D1107" s="3">
        <v>9876543359</v>
      </c>
      <c r="E1107" s="3" t="s">
        <v>4419</v>
      </c>
      <c r="F1107" s="3" t="str" cm="1">
        <f t="array" ref="F1107">IF(E1107="","",_xlfn.XLOOKUP(E1107,{"FIRST","SECOND","THIRD","FOURTH"},{"SEM-1","SEM-2","SEM-3","SEM-4"},""))</f>
        <v>SEM-2</v>
      </c>
      <c r="G1107" s="3">
        <v>75</v>
      </c>
      <c r="H1107" s="3">
        <v>89</v>
      </c>
      <c r="I1107" s="3">
        <v>17</v>
      </c>
      <c r="J1107" s="3">
        <f t="shared" si="51"/>
        <v>181</v>
      </c>
      <c r="K1107" s="3" t="str">
        <f t="shared" si="52"/>
        <v>P</v>
      </c>
      <c r="L1107" s="3" t="str">
        <f t="shared" si="53"/>
        <v>B</v>
      </c>
    </row>
    <row r="1108" spans="1:12" ht="14.25" customHeight="1">
      <c r="A1108" s="3">
        <v>1107</v>
      </c>
      <c r="B1108" s="3" t="s">
        <v>3397</v>
      </c>
      <c r="C1108" s="3" t="s">
        <v>493</v>
      </c>
      <c r="D1108" s="3">
        <v>9876543696</v>
      </c>
      <c r="E1108" s="3" t="s">
        <v>4419</v>
      </c>
      <c r="F1108" s="3" t="str" cm="1">
        <f t="array" ref="F1108">IF(E1108="","",_xlfn.XLOOKUP(E1108,{"FIRST","SECOND","THIRD","FOURTH"},{"SEM-1","SEM-2","SEM-3","SEM-4"},""))</f>
        <v>SEM-2</v>
      </c>
      <c r="G1108" s="3">
        <v>67</v>
      </c>
      <c r="H1108" s="3">
        <v>55</v>
      </c>
      <c r="I1108" s="3">
        <v>40</v>
      </c>
      <c r="J1108" s="3">
        <f t="shared" si="51"/>
        <v>162</v>
      </c>
      <c r="K1108" s="3" t="str">
        <f t="shared" si="52"/>
        <v>P</v>
      </c>
      <c r="L1108" s="3" t="str">
        <f t="shared" si="53"/>
        <v>B</v>
      </c>
    </row>
    <row r="1109" spans="1:12" ht="14.25" customHeight="1">
      <c r="A1109" s="3">
        <v>1108</v>
      </c>
      <c r="B1109" s="3" t="s">
        <v>2963</v>
      </c>
      <c r="C1109" s="3" t="s">
        <v>61</v>
      </c>
      <c r="D1109" s="3">
        <v>9876543262</v>
      </c>
      <c r="E1109" s="3" t="s">
        <v>4419</v>
      </c>
      <c r="F1109" s="3" t="str" cm="1">
        <f t="array" ref="F1109">IF(E1109="","",_xlfn.XLOOKUP(E1109,{"FIRST","SECOND","THIRD","FOURTH"},{"SEM-1","SEM-2","SEM-3","SEM-4"},""))</f>
        <v>SEM-2</v>
      </c>
      <c r="G1109" s="3">
        <v>5</v>
      </c>
      <c r="H1109" s="3">
        <v>46</v>
      </c>
      <c r="I1109" s="3">
        <v>30</v>
      </c>
      <c r="J1109" s="3">
        <f t="shared" si="51"/>
        <v>81</v>
      </c>
      <c r="K1109" s="3" t="str">
        <f t="shared" si="52"/>
        <v>F</v>
      </c>
      <c r="L1109" s="3" t="str">
        <f t="shared" si="53"/>
        <v>FAIL</v>
      </c>
    </row>
    <row r="1110" spans="1:12" ht="14.25" customHeight="1">
      <c r="A1110" s="3">
        <v>1109</v>
      </c>
      <c r="B1110" s="3" t="s">
        <v>3615</v>
      </c>
      <c r="C1110" s="3" t="s">
        <v>709</v>
      </c>
      <c r="D1110" s="3">
        <v>9876543914</v>
      </c>
      <c r="E1110" s="3" t="s">
        <v>4418</v>
      </c>
      <c r="F1110" s="3" t="str" cm="1">
        <f t="array" ref="F1110">IF(E1110="","",_xlfn.XLOOKUP(E1110,{"FIRST","SECOND","THIRD","FOURTH"},{"SEM-1","SEM-2","SEM-3","SEM-4"},""))</f>
        <v>SEM-1</v>
      </c>
      <c r="G1110" s="3">
        <v>73</v>
      </c>
      <c r="H1110" s="3">
        <v>89</v>
      </c>
      <c r="I1110" s="3">
        <v>41</v>
      </c>
      <c r="J1110" s="3">
        <f t="shared" si="51"/>
        <v>203</v>
      </c>
      <c r="K1110" s="3" t="str">
        <f t="shared" si="52"/>
        <v>P</v>
      </c>
      <c r="L1110" s="3" t="str">
        <f t="shared" si="53"/>
        <v>A</v>
      </c>
    </row>
    <row r="1111" spans="1:12" ht="14.25" customHeight="1">
      <c r="A1111" s="3">
        <v>1110</v>
      </c>
      <c r="B1111" s="3" t="s">
        <v>3494</v>
      </c>
      <c r="C1111" s="3" t="s">
        <v>589</v>
      </c>
      <c r="D1111" s="3">
        <v>9876543793</v>
      </c>
      <c r="E1111" s="3" t="s">
        <v>4418</v>
      </c>
      <c r="F1111" s="3" t="str" cm="1">
        <f t="array" ref="F1111">IF(E1111="","",_xlfn.XLOOKUP(E1111,{"FIRST","SECOND","THIRD","FOURTH"},{"SEM-1","SEM-2","SEM-3","SEM-4"},""))</f>
        <v>SEM-1</v>
      </c>
      <c r="G1111" s="3">
        <v>95</v>
      </c>
      <c r="H1111" s="3">
        <v>36</v>
      </c>
      <c r="I1111" s="3">
        <v>21</v>
      </c>
      <c r="J1111" s="3">
        <f t="shared" si="51"/>
        <v>152</v>
      </c>
      <c r="K1111" s="3" t="str">
        <f t="shared" si="52"/>
        <v>P</v>
      </c>
      <c r="L1111" s="3" t="str">
        <f t="shared" si="53"/>
        <v>B</v>
      </c>
    </row>
    <row r="1112" spans="1:12" ht="14.25" customHeight="1">
      <c r="A1112" s="3">
        <v>1111</v>
      </c>
      <c r="B1112" s="3" t="s">
        <v>4010</v>
      </c>
      <c r="C1112" s="3" t="s">
        <v>1099</v>
      </c>
      <c r="D1112" s="3">
        <v>9876544309</v>
      </c>
      <c r="E1112" s="3" t="s">
        <v>4419</v>
      </c>
      <c r="F1112" s="3" t="str" cm="1">
        <f t="array" ref="F1112">IF(E1112="","",_xlfn.XLOOKUP(E1112,{"FIRST","SECOND","THIRD","FOURTH"},{"SEM-1","SEM-2","SEM-3","SEM-4"},""))</f>
        <v>SEM-2</v>
      </c>
      <c r="G1112" s="3">
        <v>4</v>
      </c>
      <c r="H1112" s="3">
        <v>67</v>
      </c>
      <c r="I1112" s="3">
        <v>50</v>
      </c>
      <c r="J1112" s="3">
        <f t="shared" si="51"/>
        <v>121</v>
      </c>
      <c r="K1112" s="3" t="str">
        <f t="shared" si="52"/>
        <v>P</v>
      </c>
      <c r="L1112" s="3" t="str">
        <f t="shared" si="53"/>
        <v>C</v>
      </c>
    </row>
    <row r="1113" spans="1:12" ht="14.25" customHeight="1">
      <c r="A1113" s="3">
        <v>1112</v>
      </c>
      <c r="B1113" s="3" t="s">
        <v>3074</v>
      </c>
      <c r="C1113" s="3" t="s">
        <v>172</v>
      </c>
      <c r="D1113" s="3">
        <v>9876543373</v>
      </c>
      <c r="E1113" s="3" t="s">
        <v>4420</v>
      </c>
      <c r="F1113" s="3" t="str" cm="1">
        <f t="array" ref="F1113">IF(E1113="","",_xlfn.XLOOKUP(E1113,{"FIRST","SECOND","THIRD","FOURTH"},{"SEM-1","SEM-2","SEM-3","SEM-4"},""))</f>
        <v>SEM-3</v>
      </c>
      <c r="G1113" s="3">
        <v>30</v>
      </c>
      <c r="H1113" s="3">
        <v>82</v>
      </c>
      <c r="I1113" s="3">
        <v>39</v>
      </c>
      <c r="J1113" s="3">
        <f t="shared" si="51"/>
        <v>151</v>
      </c>
      <c r="K1113" s="3" t="str">
        <f t="shared" si="52"/>
        <v>P</v>
      </c>
      <c r="L1113" s="3" t="str">
        <f t="shared" si="53"/>
        <v>B</v>
      </c>
    </row>
    <row r="1114" spans="1:12" ht="14.25" customHeight="1">
      <c r="A1114" s="3">
        <v>1113</v>
      </c>
      <c r="B1114" s="3" t="s">
        <v>4336</v>
      </c>
      <c r="C1114" s="3" t="s">
        <v>1415</v>
      </c>
      <c r="D1114" s="3">
        <v>9876544635</v>
      </c>
      <c r="E1114" s="3" t="s">
        <v>4420</v>
      </c>
      <c r="F1114" s="3" t="str" cm="1">
        <f t="array" ref="F1114">IF(E1114="","",_xlfn.XLOOKUP(E1114,{"FIRST","SECOND","THIRD","FOURTH"},{"SEM-1","SEM-2","SEM-3","SEM-4"},""))</f>
        <v>SEM-3</v>
      </c>
      <c r="G1114" s="3">
        <v>67</v>
      </c>
      <c r="H1114" s="3">
        <v>59</v>
      </c>
      <c r="I1114" s="3">
        <v>94</v>
      </c>
      <c r="J1114" s="3">
        <f t="shared" si="51"/>
        <v>220</v>
      </c>
      <c r="K1114" s="3" t="str">
        <f t="shared" si="52"/>
        <v>P</v>
      </c>
      <c r="L1114" s="3" t="str">
        <f t="shared" si="53"/>
        <v>A</v>
      </c>
    </row>
    <row r="1115" spans="1:12" ht="14.25" customHeight="1">
      <c r="A1115" s="3">
        <v>1114</v>
      </c>
      <c r="B1115" s="3" t="s">
        <v>2959</v>
      </c>
      <c r="C1115" s="3" t="s">
        <v>57</v>
      </c>
      <c r="D1115" s="3">
        <v>9876543258</v>
      </c>
      <c r="E1115" s="3" t="s">
        <v>4419</v>
      </c>
      <c r="F1115" s="3" t="str" cm="1">
        <f t="array" ref="F1115">IF(E1115="","",_xlfn.XLOOKUP(E1115,{"FIRST","SECOND","THIRD","FOURTH"},{"SEM-1","SEM-2","SEM-3","SEM-4"},""))</f>
        <v>SEM-2</v>
      </c>
      <c r="G1115" s="3">
        <v>62</v>
      </c>
      <c r="H1115" s="3">
        <v>34</v>
      </c>
      <c r="I1115" s="3">
        <v>83</v>
      </c>
      <c r="J1115" s="3">
        <f t="shared" si="51"/>
        <v>179</v>
      </c>
      <c r="K1115" s="3" t="str">
        <f t="shared" si="52"/>
        <v>P</v>
      </c>
      <c r="L1115" s="3" t="str">
        <f t="shared" si="53"/>
        <v>B</v>
      </c>
    </row>
    <row r="1116" spans="1:12" ht="14.25" customHeight="1">
      <c r="A1116" s="3">
        <v>1115</v>
      </c>
      <c r="B1116" s="3" t="s">
        <v>4364</v>
      </c>
      <c r="C1116" s="3" t="s">
        <v>1443</v>
      </c>
      <c r="D1116" s="3">
        <v>9876544663</v>
      </c>
      <c r="E1116" s="3" t="s">
        <v>4418</v>
      </c>
      <c r="F1116" s="3" t="str" cm="1">
        <f t="array" ref="F1116">IF(E1116="","",_xlfn.XLOOKUP(E1116,{"FIRST","SECOND","THIRD","FOURTH"},{"SEM-1","SEM-2","SEM-3","SEM-4"},""))</f>
        <v>SEM-1</v>
      </c>
      <c r="G1116" s="3">
        <v>32</v>
      </c>
      <c r="H1116" s="3">
        <v>8</v>
      </c>
      <c r="I1116" s="3">
        <v>42</v>
      </c>
      <c r="J1116" s="3">
        <f t="shared" si="51"/>
        <v>82</v>
      </c>
      <c r="K1116" s="3" t="str">
        <f t="shared" si="52"/>
        <v>F</v>
      </c>
      <c r="L1116" s="3" t="str">
        <f t="shared" si="53"/>
        <v>FAIL</v>
      </c>
    </row>
    <row r="1117" spans="1:12" ht="14.25" customHeight="1">
      <c r="A1117" s="3">
        <v>1116</v>
      </c>
      <c r="B1117" s="3" t="s">
        <v>3634</v>
      </c>
      <c r="C1117" s="3" t="s">
        <v>728</v>
      </c>
      <c r="D1117" s="3">
        <v>9876543933</v>
      </c>
      <c r="E1117" s="3" t="s">
        <v>4418</v>
      </c>
      <c r="F1117" s="3" t="str" cm="1">
        <f t="array" ref="F1117">IF(E1117="","",_xlfn.XLOOKUP(E1117,{"FIRST","SECOND","THIRD","FOURTH"},{"SEM-1","SEM-2","SEM-3","SEM-4"},""))</f>
        <v>SEM-1</v>
      </c>
      <c r="G1117" s="3">
        <v>69</v>
      </c>
      <c r="H1117" s="3">
        <v>91</v>
      </c>
      <c r="I1117" s="3">
        <v>35</v>
      </c>
      <c r="J1117" s="3">
        <f t="shared" si="51"/>
        <v>195</v>
      </c>
      <c r="K1117" s="3" t="str">
        <f t="shared" si="52"/>
        <v>P</v>
      </c>
      <c r="L1117" s="3" t="str">
        <f t="shared" si="53"/>
        <v>A</v>
      </c>
    </row>
    <row r="1118" spans="1:12" ht="14.25" customHeight="1">
      <c r="A1118" s="3">
        <v>1117</v>
      </c>
      <c r="B1118" s="3" t="s">
        <v>3817</v>
      </c>
      <c r="C1118" s="3" t="s">
        <v>909</v>
      </c>
      <c r="D1118" s="3">
        <v>9876544116</v>
      </c>
      <c r="E1118" s="3" t="s">
        <v>4419</v>
      </c>
      <c r="F1118" s="3" t="str" cm="1">
        <f t="array" ref="F1118">IF(E1118="","",_xlfn.XLOOKUP(E1118,{"FIRST","SECOND","THIRD","FOURTH"},{"SEM-1","SEM-2","SEM-3","SEM-4"},""))</f>
        <v>SEM-2</v>
      </c>
      <c r="G1118" s="3">
        <v>57</v>
      </c>
      <c r="H1118" s="3">
        <v>64</v>
      </c>
      <c r="I1118" s="3">
        <v>32</v>
      </c>
      <c r="J1118" s="3">
        <f t="shared" si="51"/>
        <v>153</v>
      </c>
      <c r="K1118" s="3" t="str">
        <f t="shared" si="52"/>
        <v>P</v>
      </c>
      <c r="L1118" s="3" t="str">
        <f t="shared" si="53"/>
        <v>B</v>
      </c>
    </row>
    <row r="1119" spans="1:12" ht="14.25" customHeight="1">
      <c r="A1119" s="3">
        <v>1118</v>
      </c>
      <c r="B1119" s="3" t="s">
        <v>3828</v>
      </c>
      <c r="C1119" s="3" t="s">
        <v>920</v>
      </c>
      <c r="D1119" s="3">
        <v>9876544127</v>
      </c>
      <c r="E1119" s="3" t="s">
        <v>4419</v>
      </c>
      <c r="F1119" s="3" t="str" cm="1">
        <f t="array" ref="F1119">IF(E1119="","",_xlfn.XLOOKUP(E1119,{"FIRST","SECOND","THIRD","FOURTH"},{"SEM-1","SEM-2","SEM-3","SEM-4"},""))</f>
        <v>SEM-2</v>
      </c>
      <c r="G1119" s="3">
        <v>56</v>
      </c>
      <c r="H1119" s="3">
        <v>69</v>
      </c>
      <c r="I1119" s="3">
        <v>68</v>
      </c>
      <c r="J1119" s="3">
        <f t="shared" si="51"/>
        <v>193</v>
      </c>
      <c r="K1119" s="3" t="str">
        <f t="shared" si="52"/>
        <v>P</v>
      </c>
      <c r="L1119" s="3" t="str">
        <f t="shared" si="53"/>
        <v>A</v>
      </c>
    </row>
    <row r="1120" spans="1:12" ht="14.25" customHeight="1">
      <c r="A1120" s="3">
        <v>1119</v>
      </c>
      <c r="B1120" s="3" t="s">
        <v>3412</v>
      </c>
      <c r="C1120" s="3" t="s">
        <v>508</v>
      </c>
      <c r="D1120" s="3">
        <v>9876543711</v>
      </c>
      <c r="E1120" s="3" t="s">
        <v>4420</v>
      </c>
      <c r="F1120" s="3" t="str" cm="1">
        <f t="array" ref="F1120">IF(E1120="","",_xlfn.XLOOKUP(E1120,{"FIRST","SECOND","THIRD","FOURTH"},{"SEM-1","SEM-2","SEM-3","SEM-4"},""))</f>
        <v>SEM-3</v>
      </c>
      <c r="G1120" s="3">
        <v>42</v>
      </c>
      <c r="H1120" s="3">
        <v>29</v>
      </c>
      <c r="I1120" s="3">
        <v>5</v>
      </c>
      <c r="J1120" s="3">
        <f t="shared" si="51"/>
        <v>76</v>
      </c>
      <c r="K1120" s="3" t="str">
        <f t="shared" si="52"/>
        <v>F</v>
      </c>
      <c r="L1120" s="3" t="str">
        <f t="shared" si="53"/>
        <v>FAIL</v>
      </c>
    </row>
    <row r="1121" spans="1:12" ht="14.25" customHeight="1">
      <c r="A1121" s="3">
        <v>1120</v>
      </c>
      <c r="B1121" s="3" t="s">
        <v>3127</v>
      </c>
      <c r="C1121" s="3" t="s">
        <v>225</v>
      </c>
      <c r="D1121" s="3">
        <v>9876543426</v>
      </c>
      <c r="E1121" s="3" t="s">
        <v>4418</v>
      </c>
      <c r="F1121" s="3" t="str" cm="1">
        <f t="array" ref="F1121">IF(E1121="","",_xlfn.XLOOKUP(E1121,{"FIRST","SECOND","THIRD","FOURTH"},{"SEM-1","SEM-2","SEM-3","SEM-4"},""))</f>
        <v>SEM-1</v>
      </c>
      <c r="G1121" s="3">
        <v>81</v>
      </c>
      <c r="H1121" s="3">
        <v>9</v>
      </c>
      <c r="I1121" s="3">
        <v>91</v>
      </c>
      <c r="J1121" s="3">
        <f t="shared" si="51"/>
        <v>181</v>
      </c>
      <c r="K1121" s="3" t="str">
        <f t="shared" si="52"/>
        <v>P</v>
      </c>
      <c r="L1121" s="3" t="str">
        <f t="shared" si="53"/>
        <v>B</v>
      </c>
    </row>
    <row r="1122" spans="1:12" ht="14.25" customHeight="1">
      <c r="A1122" s="3">
        <v>1121</v>
      </c>
      <c r="B1122" s="3" t="s">
        <v>2995</v>
      </c>
      <c r="C1122" s="3" t="s">
        <v>93</v>
      </c>
      <c r="D1122" s="3">
        <v>9876543294</v>
      </c>
      <c r="E1122" s="3" t="s">
        <v>4418</v>
      </c>
      <c r="F1122" s="3" t="str" cm="1">
        <f t="array" ref="F1122">IF(E1122="","",_xlfn.XLOOKUP(E1122,{"FIRST","SECOND","THIRD","FOURTH"},{"SEM-1","SEM-2","SEM-3","SEM-4"},""))</f>
        <v>SEM-1</v>
      </c>
      <c r="G1122" s="3">
        <v>13</v>
      </c>
      <c r="H1122" s="3">
        <v>2</v>
      </c>
      <c r="I1122" s="3">
        <v>54</v>
      </c>
      <c r="J1122" s="3">
        <f t="shared" si="51"/>
        <v>69</v>
      </c>
      <c r="K1122" s="3" t="str">
        <f t="shared" si="52"/>
        <v>F</v>
      </c>
      <c r="L1122" s="3" t="str">
        <f t="shared" si="53"/>
        <v>FAIL</v>
      </c>
    </row>
    <row r="1123" spans="1:12" ht="14.25" customHeight="1">
      <c r="A1123" s="3">
        <v>1122</v>
      </c>
      <c r="B1123" s="3" t="s">
        <v>4207</v>
      </c>
      <c r="C1123" s="3" t="s">
        <v>1291</v>
      </c>
      <c r="D1123" s="3">
        <v>9876544506</v>
      </c>
      <c r="E1123" s="3" t="s">
        <v>4419</v>
      </c>
      <c r="F1123" s="3" t="str" cm="1">
        <f t="array" ref="F1123">IF(E1123="","",_xlfn.XLOOKUP(E1123,{"FIRST","SECOND","THIRD","FOURTH"},{"SEM-1","SEM-2","SEM-3","SEM-4"},""))</f>
        <v>SEM-2</v>
      </c>
      <c r="G1123" s="3">
        <v>4</v>
      </c>
      <c r="H1123" s="3">
        <v>57</v>
      </c>
      <c r="I1123" s="3">
        <v>24</v>
      </c>
      <c r="J1123" s="3">
        <f t="shared" si="51"/>
        <v>85</v>
      </c>
      <c r="K1123" s="3" t="str">
        <f t="shared" si="52"/>
        <v>F</v>
      </c>
      <c r="L1123" s="3" t="str">
        <f t="shared" si="53"/>
        <v>FAIL</v>
      </c>
    </row>
    <row r="1124" spans="1:12" ht="14.25" customHeight="1">
      <c r="A1124" s="3">
        <v>1123</v>
      </c>
      <c r="B1124" s="3" t="s">
        <v>3707</v>
      </c>
      <c r="C1124" s="3" t="s">
        <v>800</v>
      </c>
      <c r="D1124" s="3">
        <v>9876544006</v>
      </c>
      <c r="E1124" s="3" t="s">
        <v>4419</v>
      </c>
      <c r="F1124" s="3" t="str" cm="1">
        <f t="array" ref="F1124">IF(E1124="","",_xlfn.XLOOKUP(E1124,{"FIRST","SECOND","THIRD","FOURTH"},{"SEM-1","SEM-2","SEM-3","SEM-4"},""))</f>
        <v>SEM-2</v>
      </c>
      <c r="G1124" s="3">
        <v>24</v>
      </c>
      <c r="H1124" s="3">
        <v>24</v>
      </c>
      <c r="I1124" s="3">
        <v>34</v>
      </c>
      <c r="J1124" s="3">
        <f t="shared" si="51"/>
        <v>82</v>
      </c>
      <c r="K1124" s="3" t="str">
        <f t="shared" si="52"/>
        <v>F</v>
      </c>
      <c r="L1124" s="3" t="str">
        <f t="shared" si="53"/>
        <v>FAIL</v>
      </c>
    </row>
    <row r="1125" spans="1:12" ht="14.25" customHeight="1">
      <c r="A1125" s="3">
        <v>1124</v>
      </c>
      <c r="B1125" s="3" t="s">
        <v>3321</v>
      </c>
      <c r="C1125" s="3" t="s">
        <v>417</v>
      </c>
      <c r="D1125" s="3">
        <v>9876543620</v>
      </c>
      <c r="E1125" s="3" t="s">
        <v>4419</v>
      </c>
      <c r="F1125" s="3" t="str" cm="1">
        <f t="array" ref="F1125">IF(E1125="","",_xlfn.XLOOKUP(E1125,{"FIRST","SECOND","THIRD","FOURTH"},{"SEM-1","SEM-2","SEM-3","SEM-4"},""))</f>
        <v>SEM-2</v>
      </c>
      <c r="G1125" s="3">
        <v>42</v>
      </c>
      <c r="H1125" s="3">
        <v>30</v>
      </c>
      <c r="I1125" s="3">
        <v>34</v>
      </c>
      <c r="J1125" s="3">
        <f t="shared" si="51"/>
        <v>106</v>
      </c>
      <c r="K1125" s="3" t="str">
        <f t="shared" si="52"/>
        <v>F</v>
      </c>
      <c r="L1125" s="3" t="str">
        <f t="shared" si="53"/>
        <v>FAIL</v>
      </c>
    </row>
    <row r="1126" spans="1:12" ht="14.25" customHeight="1">
      <c r="A1126" s="3">
        <v>1125</v>
      </c>
      <c r="B1126" s="3" t="s">
        <v>3798</v>
      </c>
      <c r="C1126" s="3" t="s">
        <v>890</v>
      </c>
      <c r="D1126" s="3">
        <v>9876544097</v>
      </c>
      <c r="E1126" s="3" t="s">
        <v>4419</v>
      </c>
      <c r="F1126" s="3" t="str" cm="1">
        <f t="array" ref="F1126">IF(E1126="","",_xlfn.XLOOKUP(E1126,{"FIRST","SECOND","THIRD","FOURTH"},{"SEM-1","SEM-2","SEM-3","SEM-4"},""))</f>
        <v>SEM-2</v>
      </c>
      <c r="G1126" s="3">
        <v>66</v>
      </c>
      <c r="H1126" s="3">
        <v>29</v>
      </c>
      <c r="I1126" s="3">
        <v>17</v>
      </c>
      <c r="J1126" s="3">
        <f t="shared" si="51"/>
        <v>112</v>
      </c>
      <c r="K1126" s="3" t="str">
        <f t="shared" si="52"/>
        <v>F</v>
      </c>
      <c r="L1126" s="3" t="str">
        <f t="shared" si="53"/>
        <v>FAIL</v>
      </c>
    </row>
    <row r="1127" spans="1:12" ht="14.25" customHeight="1">
      <c r="A1127" s="3">
        <v>1126</v>
      </c>
      <c r="B1127" s="3" t="s">
        <v>2983</v>
      </c>
      <c r="C1127" s="3" t="s">
        <v>81</v>
      </c>
      <c r="D1127" s="3">
        <v>9876543282</v>
      </c>
      <c r="E1127" s="3" t="s">
        <v>4418</v>
      </c>
      <c r="F1127" s="3" t="str" cm="1">
        <f t="array" ref="F1127">IF(E1127="","",_xlfn.XLOOKUP(E1127,{"FIRST","SECOND","THIRD","FOURTH"},{"SEM-1","SEM-2","SEM-3","SEM-4"},""))</f>
        <v>SEM-1</v>
      </c>
      <c r="G1127" s="3">
        <v>0</v>
      </c>
      <c r="H1127" s="3">
        <v>78</v>
      </c>
      <c r="I1127" s="3">
        <v>85</v>
      </c>
      <c r="J1127" s="3">
        <f t="shared" si="51"/>
        <v>163</v>
      </c>
      <c r="K1127" s="3" t="str">
        <f t="shared" si="52"/>
        <v>P</v>
      </c>
      <c r="L1127" s="3" t="str">
        <f t="shared" si="53"/>
        <v>B</v>
      </c>
    </row>
    <row r="1128" spans="1:12" ht="14.25" customHeight="1">
      <c r="A1128" s="3">
        <v>1127</v>
      </c>
      <c r="B1128" s="3" t="s">
        <v>3816</v>
      </c>
      <c r="C1128" s="3" t="s">
        <v>908</v>
      </c>
      <c r="D1128" s="3">
        <v>9876544115</v>
      </c>
      <c r="E1128" s="3" t="s">
        <v>4420</v>
      </c>
      <c r="F1128" s="3" t="str" cm="1">
        <f t="array" ref="F1128">IF(E1128="","",_xlfn.XLOOKUP(E1128,{"FIRST","SECOND","THIRD","FOURTH"},{"SEM-1","SEM-2","SEM-3","SEM-4"},""))</f>
        <v>SEM-3</v>
      </c>
      <c r="G1128" s="3">
        <v>1</v>
      </c>
      <c r="H1128" s="3">
        <v>94</v>
      </c>
      <c r="I1128" s="3">
        <v>52</v>
      </c>
      <c r="J1128" s="3">
        <f t="shared" si="51"/>
        <v>147</v>
      </c>
      <c r="K1128" s="3" t="str">
        <f t="shared" si="52"/>
        <v>P</v>
      </c>
      <c r="L1128" s="3" t="str">
        <f t="shared" si="53"/>
        <v>C</v>
      </c>
    </row>
    <row r="1129" spans="1:12" ht="14.25" customHeight="1">
      <c r="A1129" s="3">
        <v>1128</v>
      </c>
      <c r="B1129" s="3" t="s">
        <v>4027</v>
      </c>
      <c r="C1129" s="3" t="s">
        <v>1116</v>
      </c>
      <c r="D1129" s="3">
        <v>9876544326</v>
      </c>
      <c r="E1129" s="3" t="s">
        <v>4419</v>
      </c>
      <c r="F1129" s="3" t="str" cm="1">
        <f t="array" ref="F1129">IF(E1129="","",_xlfn.XLOOKUP(E1129,{"FIRST","SECOND","THIRD","FOURTH"},{"SEM-1","SEM-2","SEM-3","SEM-4"},""))</f>
        <v>SEM-2</v>
      </c>
      <c r="G1129" s="3">
        <v>39</v>
      </c>
      <c r="H1129" s="3">
        <v>39</v>
      </c>
      <c r="I1129" s="3">
        <v>46</v>
      </c>
      <c r="J1129" s="3">
        <f t="shared" si="51"/>
        <v>124</v>
      </c>
      <c r="K1129" s="3" t="str">
        <f t="shared" si="52"/>
        <v>P</v>
      </c>
      <c r="L1129" s="3" t="str">
        <f t="shared" si="53"/>
        <v>C</v>
      </c>
    </row>
    <row r="1130" spans="1:12" ht="14.25" customHeight="1">
      <c r="A1130" s="3">
        <v>1129</v>
      </c>
      <c r="B1130" s="3" t="s">
        <v>3866</v>
      </c>
      <c r="C1130" s="3" t="s">
        <v>957</v>
      </c>
      <c r="D1130" s="3">
        <v>9876544165</v>
      </c>
      <c r="E1130" s="3" t="s">
        <v>4419</v>
      </c>
      <c r="F1130" s="3" t="str" cm="1">
        <f t="array" ref="F1130">IF(E1130="","",_xlfn.XLOOKUP(E1130,{"FIRST","SECOND","THIRD","FOURTH"},{"SEM-1","SEM-2","SEM-3","SEM-4"},""))</f>
        <v>SEM-2</v>
      </c>
      <c r="G1130" s="3">
        <v>32</v>
      </c>
      <c r="H1130" s="3">
        <v>51</v>
      </c>
      <c r="I1130" s="3">
        <v>14</v>
      </c>
      <c r="J1130" s="3">
        <f t="shared" si="51"/>
        <v>97</v>
      </c>
      <c r="K1130" s="3" t="str">
        <f t="shared" si="52"/>
        <v>F</v>
      </c>
      <c r="L1130" s="3" t="str">
        <f t="shared" si="53"/>
        <v>FAIL</v>
      </c>
    </row>
    <row r="1131" spans="1:12" ht="14.25" customHeight="1">
      <c r="A1131" s="3">
        <v>1130</v>
      </c>
      <c r="B1131" s="3" t="s">
        <v>3667</v>
      </c>
      <c r="C1131" s="3" t="s">
        <v>760</v>
      </c>
      <c r="D1131" s="3">
        <v>9876543966</v>
      </c>
      <c r="E1131" s="3" t="s">
        <v>4420</v>
      </c>
      <c r="F1131" s="3" t="str" cm="1">
        <f t="array" ref="F1131">IF(E1131="","",_xlfn.XLOOKUP(E1131,{"FIRST","SECOND","THIRD","FOURTH"},{"SEM-1","SEM-2","SEM-3","SEM-4"},""))</f>
        <v>SEM-3</v>
      </c>
      <c r="G1131" s="3">
        <v>61</v>
      </c>
      <c r="H1131" s="3">
        <v>26</v>
      </c>
      <c r="I1131" s="3">
        <v>65</v>
      </c>
      <c r="J1131" s="3">
        <f t="shared" si="51"/>
        <v>152</v>
      </c>
      <c r="K1131" s="3" t="str">
        <f t="shared" si="52"/>
        <v>P</v>
      </c>
      <c r="L1131" s="3" t="str">
        <f t="shared" si="53"/>
        <v>B</v>
      </c>
    </row>
    <row r="1132" spans="1:12" ht="14.25" customHeight="1">
      <c r="A1132" s="3">
        <v>1131</v>
      </c>
      <c r="B1132" s="3" t="s">
        <v>3930</v>
      </c>
      <c r="C1132" s="3" t="s">
        <v>1020</v>
      </c>
      <c r="D1132" s="3">
        <v>9876544229</v>
      </c>
      <c r="E1132" s="3" t="s">
        <v>4419</v>
      </c>
      <c r="F1132" s="3" t="str" cm="1">
        <f t="array" ref="F1132">IF(E1132="","",_xlfn.XLOOKUP(E1132,{"FIRST","SECOND","THIRD","FOURTH"},{"SEM-1","SEM-2","SEM-3","SEM-4"},""))</f>
        <v>SEM-2</v>
      </c>
      <c r="G1132" s="3">
        <v>95</v>
      </c>
      <c r="H1132" s="3">
        <v>11</v>
      </c>
      <c r="I1132" s="3">
        <v>16</v>
      </c>
      <c r="J1132" s="3">
        <f t="shared" si="51"/>
        <v>122</v>
      </c>
      <c r="K1132" s="3" t="str">
        <f t="shared" si="52"/>
        <v>P</v>
      </c>
      <c r="L1132" s="3" t="str">
        <f t="shared" si="53"/>
        <v>C</v>
      </c>
    </row>
    <row r="1133" spans="1:12" ht="14.25" customHeight="1">
      <c r="A1133" s="3">
        <v>1132</v>
      </c>
      <c r="B1133" s="3" t="s">
        <v>3862</v>
      </c>
      <c r="C1133" s="3" t="s">
        <v>954</v>
      </c>
      <c r="D1133" s="3">
        <v>9876544161</v>
      </c>
      <c r="E1133" s="3" t="s">
        <v>4419</v>
      </c>
      <c r="F1133" s="3" t="str" cm="1">
        <f t="array" ref="F1133">IF(E1133="","",_xlfn.XLOOKUP(E1133,{"FIRST","SECOND","THIRD","FOURTH"},{"SEM-1","SEM-2","SEM-3","SEM-4"},""))</f>
        <v>SEM-2</v>
      </c>
      <c r="G1133" s="3">
        <v>38</v>
      </c>
      <c r="H1133" s="3">
        <v>72</v>
      </c>
      <c r="I1133" s="3">
        <v>70</v>
      </c>
      <c r="J1133" s="3">
        <f t="shared" si="51"/>
        <v>180</v>
      </c>
      <c r="K1133" s="3" t="str">
        <f t="shared" si="52"/>
        <v>P</v>
      </c>
      <c r="L1133" s="3" t="str">
        <f t="shared" si="53"/>
        <v>B</v>
      </c>
    </row>
    <row r="1134" spans="1:12" ht="14.25" customHeight="1">
      <c r="A1134" s="3">
        <v>1133</v>
      </c>
      <c r="B1134" s="3" t="s">
        <v>4088</v>
      </c>
      <c r="C1134" s="3" t="s">
        <v>1174</v>
      </c>
      <c r="D1134" s="3">
        <v>9876544387</v>
      </c>
      <c r="E1134" s="3" t="s">
        <v>4420</v>
      </c>
      <c r="F1134" s="3" t="str" cm="1">
        <f t="array" ref="F1134">IF(E1134="","",_xlfn.XLOOKUP(E1134,{"FIRST","SECOND","THIRD","FOURTH"},{"SEM-1","SEM-2","SEM-3","SEM-4"},""))</f>
        <v>SEM-3</v>
      </c>
      <c r="G1134" s="3">
        <v>14</v>
      </c>
      <c r="H1134" s="3">
        <v>36</v>
      </c>
      <c r="I1134" s="3">
        <v>86</v>
      </c>
      <c r="J1134" s="3">
        <f t="shared" si="51"/>
        <v>136</v>
      </c>
      <c r="K1134" s="3" t="str">
        <f t="shared" si="52"/>
        <v>P</v>
      </c>
      <c r="L1134" s="3" t="str">
        <f t="shared" si="53"/>
        <v>C</v>
      </c>
    </row>
    <row r="1135" spans="1:12" ht="14.25" customHeight="1">
      <c r="A1135" s="3">
        <v>1134</v>
      </c>
      <c r="B1135" s="3" t="s">
        <v>3278</v>
      </c>
      <c r="C1135" s="3" t="s">
        <v>375</v>
      </c>
      <c r="D1135" s="3">
        <v>9876543577</v>
      </c>
      <c r="E1135" s="3" t="s">
        <v>4420</v>
      </c>
      <c r="F1135" s="3" t="str" cm="1">
        <f t="array" ref="F1135">IF(E1135="","",_xlfn.XLOOKUP(E1135,{"FIRST","SECOND","THIRD","FOURTH"},{"SEM-1","SEM-2","SEM-3","SEM-4"},""))</f>
        <v>SEM-3</v>
      </c>
      <c r="G1135" s="3">
        <v>14</v>
      </c>
      <c r="H1135" s="3">
        <v>49</v>
      </c>
      <c r="I1135" s="3">
        <v>53</v>
      </c>
      <c r="J1135" s="3">
        <f t="shared" si="51"/>
        <v>116</v>
      </c>
      <c r="K1135" s="3" t="str">
        <f t="shared" si="52"/>
        <v>F</v>
      </c>
      <c r="L1135" s="3" t="str">
        <f t="shared" si="53"/>
        <v>FAIL</v>
      </c>
    </row>
    <row r="1136" spans="1:12" ht="14.25" customHeight="1">
      <c r="A1136" s="3">
        <v>1135</v>
      </c>
      <c r="B1136" s="3" t="s">
        <v>3974</v>
      </c>
      <c r="C1136" s="3" t="s">
        <v>1064</v>
      </c>
      <c r="D1136" s="3">
        <v>9876544273</v>
      </c>
      <c r="E1136" s="3" t="s">
        <v>4420</v>
      </c>
      <c r="F1136" s="3" t="str" cm="1">
        <f t="array" ref="F1136">IF(E1136="","",_xlfn.XLOOKUP(E1136,{"FIRST","SECOND","THIRD","FOURTH"},{"SEM-1","SEM-2","SEM-3","SEM-4"},""))</f>
        <v>SEM-3</v>
      </c>
      <c r="G1136" s="3">
        <v>7</v>
      </c>
      <c r="H1136" s="3">
        <v>42</v>
      </c>
      <c r="I1136" s="3">
        <v>0</v>
      </c>
      <c r="J1136" s="3">
        <f t="shared" si="51"/>
        <v>49</v>
      </c>
      <c r="K1136" s="3" t="str">
        <f t="shared" si="52"/>
        <v>F</v>
      </c>
      <c r="L1136" s="3" t="str">
        <f t="shared" si="53"/>
        <v>FAIL</v>
      </c>
    </row>
    <row r="1137" spans="1:12" ht="14.25" customHeight="1">
      <c r="A1137" s="3">
        <v>1136</v>
      </c>
      <c r="B1137" s="3" t="s">
        <v>2916</v>
      </c>
      <c r="C1137" s="3" t="s">
        <v>14</v>
      </c>
      <c r="D1137" s="3">
        <v>9876543215</v>
      </c>
      <c r="E1137" s="3" t="s">
        <v>4419</v>
      </c>
      <c r="F1137" s="3" t="str" cm="1">
        <f t="array" ref="F1137">IF(E1137="","",_xlfn.XLOOKUP(E1137,{"FIRST","SECOND","THIRD","FOURTH"},{"SEM-1","SEM-2","SEM-3","SEM-4"},""))</f>
        <v>SEM-2</v>
      </c>
      <c r="G1137" s="3">
        <v>21</v>
      </c>
      <c r="H1137" s="3">
        <v>25</v>
      </c>
      <c r="I1137" s="3">
        <v>33</v>
      </c>
      <c r="J1137" s="3">
        <f t="shared" si="51"/>
        <v>79</v>
      </c>
      <c r="K1137" s="3" t="str">
        <f t="shared" si="52"/>
        <v>F</v>
      </c>
      <c r="L1137" s="3" t="str">
        <f t="shared" si="53"/>
        <v>FAIL</v>
      </c>
    </row>
    <row r="1138" spans="1:12" ht="14.25" customHeight="1">
      <c r="A1138" s="3">
        <v>1137</v>
      </c>
      <c r="B1138" s="3" t="s">
        <v>4230</v>
      </c>
      <c r="C1138" s="3" t="s">
        <v>1313</v>
      </c>
      <c r="D1138" s="3">
        <v>9876544529</v>
      </c>
      <c r="E1138" s="3" t="s">
        <v>4420</v>
      </c>
      <c r="F1138" s="3" t="str" cm="1">
        <f t="array" ref="F1138">IF(E1138="","",_xlfn.XLOOKUP(E1138,{"FIRST","SECOND","THIRD","FOURTH"},{"SEM-1","SEM-2","SEM-3","SEM-4"},""))</f>
        <v>SEM-3</v>
      </c>
      <c r="G1138" s="3">
        <v>49</v>
      </c>
      <c r="H1138" s="3">
        <v>5</v>
      </c>
      <c r="I1138" s="3">
        <v>63</v>
      </c>
      <c r="J1138" s="3">
        <f t="shared" si="51"/>
        <v>117</v>
      </c>
      <c r="K1138" s="3" t="str">
        <f t="shared" si="52"/>
        <v>F</v>
      </c>
      <c r="L1138" s="3" t="str">
        <f t="shared" si="53"/>
        <v>FAIL</v>
      </c>
    </row>
    <row r="1139" spans="1:12" ht="14.25" customHeight="1">
      <c r="A1139" s="3">
        <v>1138</v>
      </c>
      <c r="B1139" s="3" t="s">
        <v>3392</v>
      </c>
      <c r="C1139" s="3" t="s">
        <v>488</v>
      </c>
      <c r="D1139" s="3">
        <v>9876543691</v>
      </c>
      <c r="E1139" s="3" t="s">
        <v>4418</v>
      </c>
      <c r="F1139" s="3" t="str" cm="1">
        <f t="array" ref="F1139">IF(E1139="","",_xlfn.XLOOKUP(E1139,{"FIRST","SECOND","THIRD","FOURTH"},{"SEM-1","SEM-2","SEM-3","SEM-4"},""))</f>
        <v>SEM-1</v>
      </c>
      <c r="G1139" s="3">
        <v>32</v>
      </c>
      <c r="H1139" s="3">
        <v>68</v>
      </c>
      <c r="I1139" s="3">
        <v>56</v>
      </c>
      <c r="J1139" s="3">
        <f t="shared" si="51"/>
        <v>156</v>
      </c>
      <c r="K1139" s="3" t="str">
        <f t="shared" si="52"/>
        <v>P</v>
      </c>
      <c r="L1139" s="3" t="str">
        <f t="shared" si="53"/>
        <v>B</v>
      </c>
    </row>
    <row r="1140" spans="1:12" ht="14.25" customHeight="1">
      <c r="A1140" s="3">
        <v>1139</v>
      </c>
      <c r="B1140" s="3" t="s">
        <v>3740</v>
      </c>
      <c r="C1140" s="3" t="s">
        <v>833</v>
      </c>
      <c r="D1140" s="3">
        <v>9876544039</v>
      </c>
      <c r="E1140" s="3" t="s">
        <v>4420</v>
      </c>
      <c r="F1140" s="3" t="str" cm="1">
        <f t="array" ref="F1140">IF(E1140="","",_xlfn.XLOOKUP(E1140,{"FIRST","SECOND","THIRD","FOURTH"},{"SEM-1","SEM-2","SEM-3","SEM-4"},""))</f>
        <v>SEM-3</v>
      </c>
      <c r="G1140" s="3">
        <v>15</v>
      </c>
      <c r="H1140" s="3">
        <v>94</v>
      </c>
      <c r="I1140" s="3">
        <v>82</v>
      </c>
      <c r="J1140" s="3">
        <f t="shared" si="51"/>
        <v>191</v>
      </c>
      <c r="K1140" s="3" t="str">
        <f t="shared" si="52"/>
        <v>P</v>
      </c>
      <c r="L1140" s="3" t="str">
        <f t="shared" si="53"/>
        <v>A</v>
      </c>
    </row>
    <row r="1141" spans="1:12" ht="14.25" customHeight="1">
      <c r="A1141" s="3">
        <v>1140</v>
      </c>
      <c r="B1141" s="3" t="s">
        <v>3151</v>
      </c>
      <c r="C1141" s="3" t="s">
        <v>249</v>
      </c>
      <c r="D1141" s="3">
        <v>9876543450</v>
      </c>
      <c r="E1141" s="3" t="s">
        <v>4419</v>
      </c>
      <c r="F1141" s="3" t="str" cm="1">
        <f t="array" ref="F1141">IF(E1141="","",_xlfn.XLOOKUP(E1141,{"FIRST","SECOND","THIRD","FOURTH"},{"SEM-1","SEM-2","SEM-3","SEM-4"},""))</f>
        <v>SEM-2</v>
      </c>
      <c r="G1141" s="3">
        <v>57</v>
      </c>
      <c r="H1141" s="3">
        <v>15</v>
      </c>
      <c r="I1141" s="3">
        <v>91</v>
      </c>
      <c r="J1141" s="3">
        <f t="shared" si="51"/>
        <v>163</v>
      </c>
      <c r="K1141" s="3" t="str">
        <f t="shared" si="52"/>
        <v>P</v>
      </c>
      <c r="L1141" s="3" t="str">
        <f t="shared" si="53"/>
        <v>B</v>
      </c>
    </row>
    <row r="1142" spans="1:12" ht="14.25" customHeight="1">
      <c r="A1142" s="3">
        <v>1141</v>
      </c>
      <c r="B1142" s="3" t="s">
        <v>3371</v>
      </c>
      <c r="C1142" s="3" t="s">
        <v>467</v>
      </c>
      <c r="D1142" s="3">
        <v>9876543670</v>
      </c>
      <c r="E1142" s="3" t="s">
        <v>4420</v>
      </c>
      <c r="F1142" s="3" t="str" cm="1">
        <f t="array" ref="F1142">IF(E1142="","",_xlfn.XLOOKUP(E1142,{"FIRST","SECOND","THIRD","FOURTH"},{"SEM-1","SEM-2","SEM-3","SEM-4"},""))</f>
        <v>SEM-3</v>
      </c>
      <c r="G1142" s="3">
        <v>37</v>
      </c>
      <c r="H1142" s="3">
        <v>40</v>
      </c>
      <c r="I1142" s="3">
        <v>61</v>
      </c>
      <c r="J1142" s="3">
        <f t="shared" si="51"/>
        <v>138</v>
      </c>
      <c r="K1142" s="3" t="str">
        <f t="shared" si="52"/>
        <v>P</v>
      </c>
      <c r="L1142" s="3" t="str">
        <f t="shared" si="53"/>
        <v>C</v>
      </c>
    </row>
    <row r="1143" spans="1:12" ht="14.25" customHeight="1">
      <c r="A1143" s="3">
        <v>1142</v>
      </c>
      <c r="B1143" s="3" t="s">
        <v>3413</v>
      </c>
      <c r="C1143" s="3" t="s">
        <v>509</v>
      </c>
      <c r="D1143" s="3">
        <v>9876543712</v>
      </c>
      <c r="E1143" s="3" t="s">
        <v>4418</v>
      </c>
      <c r="F1143" s="3" t="str" cm="1">
        <f t="array" ref="F1143">IF(E1143="","",_xlfn.XLOOKUP(E1143,{"FIRST","SECOND","THIRD","FOURTH"},{"SEM-1","SEM-2","SEM-3","SEM-4"},""))</f>
        <v>SEM-1</v>
      </c>
      <c r="G1143" s="3">
        <v>62</v>
      </c>
      <c r="H1143" s="3">
        <v>8</v>
      </c>
      <c r="I1143" s="3">
        <v>62</v>
      </c>
      <c r="J1143" s="3">
        <f t="shared" si="51"/>
        <v>132</v>
      </c>
      <c r="K1143" s="3" t="str">
        <f t="shared" si="52"/>
        <v>P</v>
      </c>
      <c r="L1143" s="3" t="str">
        <f t="shared" si="53"/>
        <v>C</v>
      </c>
    </row>
    <row r="1144" spans="1:12" ht="14.25" customHeight="1">
      <c r="A1144" s="3">
        <v>1143</v>
      </c>
      <c r="B1144" s="3" t="s">
        <v>3388</v>
      </c>
      <c r="C1144" s="3" t="s">
        <v>484</v>
      </c>
      <c r="D1144" s="3">
        <v>9876543687</v>
      </c>
      <c r="E1144" s="3" t="s">
        <v>4420</v>
      </c>
      <c r="F1144" s="3" t="str" cm="1">
        <f t="array" ref="F1144">IF(E1144="","",_xlfn.XLOOKUP(E1144,{"FIRST","SECOND","THIRD","FOURTH"},{"SEM-1","SEM-2","SEM-3","SEM-4"},""))</f>
        <v>SEM-3</v>
      </c>
      <c r="G1144" s="3">
        <v>10</v>
      </c>
      <c r="H1144" s="3">
        <v>36</v>
      </c>
      <c r="I1144" s="3">
        <v>80</v>
      </c>
      <c r="J1144" s="3">
        <f t="shared" si="51"/>
        <v>126</v>
      </c>
      <c r="K1144" s="3" t="str">
        <f t="shared" si="52"/>
        <v>P</v>
      </c>
      <c r="L1144" s="3" t="str">
        <f t="shared" si="53"/>
        <v>C</v>
      </c>
    </row>
    <row r="1145" spans="1:12" ht="14.25" customHeight="1">
      <c r="A1145" s="3">
        <v>1144</v>
      </c>
      <c r="B1145" s="3" t="s">
        <v>3802</v>
      </c>
      <c r="C1145" s="3" t="s">
        <v>894</v>
      </c>
      <c r="D1145" s="3">
        <v>9876544101</v>
      </c>
      <c r="E1145" s="3" t="s">
        <v>4419</v>
      </c>
      <c r="F1145" s="3" t="str" cm="1">
        <f t="array" ref="F1145">IF(E1145="","",_xlfn.XLOOKUP(E1145,{"FIRST","SECOND","THIRD","FOURTH"},{"SEM-1","SEM-2","SEM-3","SEM-4"},""))</f>
        <v>SEM-2</v>
      </c>
      <c r="G1145" s="3">
        <v>71</v>
      </c>
      <c r="H1145" s="3">
        <v>31</v>
      </c>
      <c r="I1145" s="3">
        <v>97</v>
      </c>
      <c r="J1145" s="3">
        <f t="shared" si="51"/>
        <v>199</v>
      </c>
      <c r="K1145" s="3" t="str">
        <f t="shared" si="52"/>
        <v>P</v>
      </c>
      <c r="L1145" s="3" t="str">
        <f t="shared" si="53"/>
        <v>A</v>
      </c>
    </row>
    <row r="1146" spans="1:12" ht="14.25" customHeight="1">
      <c r="A1146" s="3">
        <v>1145</v>
      </c>
      <c r="B1146" s="3" t="s">
        <v>3203</v>
      </c>
      <c r="C1146" s="3" t="s">
        <v>301</v>
      </c>
      <c r="D1146" s="3">
        <v>9876543502</v>
      </c>
      <c r="E1146" s="3" t="s">
        <v>4419</v>
      </c>
      <c r="F1146" s="3" t="str" cm="1">
        <f t="array" ref="F1146">IF(E1146="","",_xlfn.XLOOKUP(E1146,{"FIRST","SECOND","THIRD","FOURTH"},{"SEM-1","SEM-2","SEM-3","SEM-4"},""))</f>
        <v>SEM-2</v>
      </c>
      <c r="G1146" s="3">
        <v>98</v>
      </c>
      <c r="H1146" s="3">
        <v>75</v>
      </c>
      <c r="I1146" s="3">
        <v>4</v>
      </c>
      <c r="J1146" s="3">
        <f t="shared" si="51"/>
        <v>177</v>
      </c>
      <c r="K1146" s="3" t="str">
        <f t="shared" si="52"/>
        <v>P</v>
      </c>
      <c r="L1146" s="3" t="str">
        <f t="shared" si="53"/>
        <v>B</v>
      </c>
    </row>
    <row r="1147" spans="1:12" ht="14.25" customHeight="1">
      <c r="A1147" s="3">
        <v>1146</v>
      </c>
      <c r="B1147" s="3" t="s">
        <v>3922</v>
      </c>
      <c r="C1147" s="3" t="s">
        <v>1012</v>
      </c>
      <c r="D1147" s="3">
        <v>9876544221</v>
      </c>
      <c r="E1147" s="3" t="s">
        <v>4418</v>
      </c>
      <c r="F1147" s="3" t="str" cm="1">
        <f t="array" ref="F1147">IF(E1147="","",_xlfn.XLOOKUP(E1147,{"FIRST","SECOND","THIRD","FOURTH"},{"SEM-1","SEM-2","SEM-3","SEM-4"},""))</f>
        <v>SEM-1</v>
      </c>
      <c r="G1147" s="3">
        <v>57</v>
      </c>
      <c r="H1147" s="3">
        <v>62</v>
      </c>
      <c r="I1147" s="3">
        <v>26</v>
      </c>
      <c r="J1147" s="3">
        <f t="shared" si="51"/>
        <v>145</v>
      </c>
      <c r="K1147" s="3" t="str">
        <f t="shared" si="52"/>
        <v>P</v>
      </c>
      <c r="L1147" s="3" t="str">
        <f t="shared" si="53"/>
        <v>C</v>
      </c>
    </row>
    <row r="1148" spans="1:12" ht="14.25" customHeight="1">
      <c r="A1148" s="3">
        <v>1147</v>
      </c>
      <c r="B1148" s="3" t="s">
        <v>3333</v>
      </c>
      <c r="C1148" s="3" t="s">
        <v>429</v>
      </c>
      <c r="D1148" s="3">
        <v>9876543632</v>
      </c>
      <c r="E1148" s="3" t="s">
        <v>4419</v>
      </c>
      <c r="F1148" s="3" t="str" cm="1">
        <f t="array" ref="F1148">IF(E1148="","",_xlfn.XLOOKUP(E1148,{"FIRST","SECOND","THIRD","FOURTH"},{"SEM-1","SEM-2","SEM-3","SEM-4"},""))</f>
        <v>SEM-2</v>
      </c>
      <c r="G1148" s="3">
        <v>88</v>
      </c>
      <c r="H1148" s="3">
        <v>76</v>
      </c>
      <c r="I1148" s="3">
        <v>33</v>
      </c>
      <c r="J1148" s="3">
        <f t="shared" si="51"/>
        <v>197</v>
      </c>
      <c r="K1148" s="3" t="str">
        <f t="shared" si="52"/>
        <v>P</v>
      </c>
      <c r="L1148" s="3" t="str">
        <f t="shared" si="53"/>
        <v>A</v>
      </c>
    </row>
    <row r="1149" spans="1:12" ht="14.25" customHeight="1">
      <c r="A1149" s="3">
        <v>1148</v>
      </c>
      <c r="B1149" s="3" t="s">
        <v>3045</v>
      </c>
      <c r="C1149" s="3" t="s">
        <v>143</v>
      </c>
      <c r="D1149" s="3">
        <v>9876543344</v>
      </c>
      <c r="E1149" s="3" t="s">
        <v>4420</v>
      </c>
      <c r="F1149" s="3" t="str" cm="1">
        <f t="array" ref="F1149">IF(E1149="","",_xlfn.XLOOKUP(E1149,{"FIRST","SECOND","THIRD","FOURTH"},{"SEM-1","SEM-2","SEM-3","SEM-4"},""))</f>
        <v>SEM-3</v>
      </c>
      <c r="G1149" s="3">
        <v>88</v>
      </c>
      <c r="H1149" s="3">
        <v>89</v>
      </c>
      <c r="I1149" s="3">
        <v>26</v>
      </c>
      <c r="J1149" s="3">
        <f t="shared" si="51"/>
        <v>203</v>
      </c>
      <c r="K1149" s="3" t="str">
        <f t="shared" si="52"/>
        <v>P</v>
      </c>
      <c r="L1149" s="3" t="str">
        <f t="shared" si="53"/>
        <v>A</v>
      </c>
    </row>
    <row r="1150" spans="1:12" ht="14.25" customHeight="1">
      <c r="A1150" s="3">
        <v>1149</v>
      </c>
      <c r="B1150" s="3" t="s">
        <v>3352</v>
      </c>
      <c r="C1150" s="3" t="s">
        <v>448</v>
      </c>
      <c r="D1150" s="3">
        <v>9876543651</v>
      </c>
      <c r="E1150" s="3" t="s">
        <v>4420</v>
      </c>
      <c r="F1150" s="3" t="str" cm="1">
        <f t="array" ref="F1150">IF(E1150="","",_xlfn.XLOOKUP(E1150,{"FIRST","SECOND","THIRD","FOURTH"},{"SEM-1","SEM-2","SEM-3","SEM-4"},""))</f>
        <v>SEM-3</v>
      </c>
      <c r="G1150" s="3">
        <v>18</v>
      </c>
      <c r="H1150" s="3">
        <v>35</v>
      </c>
      <c r="I1150" s="3">
        <v>3</v>
      </c>
      <c r="J1150" s="3">
        <f t="shared" si="51"/>
        <v>56</v>
      </c>
      <c r="K1150" s="3" t="str">
        <f t="shared" si="52"/>
        <v>F</v>
      </c>
      <c r="L1150" s="3" t="str">
        <f t="shared" si="53"/>
        <v>FAIL</v>
      </c>
    </row>
    <row r="1151" spans="1:12" ht="14.25" customHeight="1">
      <c r="A1151" s="3">
        <v>1150</v>
      </c>
      <c r="B1151" s="3" t="s">
        <v>4314</v>
      </c>
      <c r="C1151" s="3" t="s">
        <v>1394</v>
      </c>
      <c r="D1151" s="3">
        <v>9876544613</v>
      </c>
      <c r="E1151" s="3" t="s">
        <v>4418</v>
      </c>
      <c r="F1151" s="3" t="str" cm="1">
        <f t="array" ref="F1151">IF(E1151="","",_xlfn.XLOOKUP(E1151,{"FIRST","SECOND","THIRD","FOURTH"},{"SEM-1","SEM-2","SEM-3","SEM-4"},""))</f>
        <v>SEM-1</v>
      </c>
      <c r="G1151" s="3">
        <v>67</v>
      </c>
      <c r="H1151" s="3">
        <v>0</v>
      </c>
      <c r="I1151" s="3">
        <v>80</v>
      </c>
      <c r="J1151" s="3">
        <f t="shared" si="51"/>
        <v>147</v>
      </c>
      <c r="K1151" s="3" t="str">
        <f t="shared" si="52"/>
        <v>P</v>
      </c>
      <c r="L1151" s="3" t="str">
        <f t="shared" si="53"/>
        <v>C</v>
      </c>
    </row>
    <row r="1152" spans="1:12" ht="14.25" customHeight="1">
      <c r="A1152" s="3">
        <v>1151</v>
      </c>
      <c r="B1152" s="3" t="s">
        <v>3837</v>
      </c>
      <c r="C1152" s="3" t="s">
        <v>929</v>
      </c>
      <c r="D1152" s="3">
        <v>9876544136</v>
      </c>
      <c r="E1152" s="3" t="s">
        <v>4420</v>
      </c>
      <c r="F1152" s="3" t="str" cm="1">
        <f t="array" ref="F1152">IF(E1152="","",_xlfn.XLOOKUP(E1152,{"FIRST","SECOND","THIRD","FOURTH"},{"SEM-1","SEM-2","SEM-3","SEM-4"},""))</f>
        <v>SEM-3</v>
      </c>
      <c r="G1152" s="3">
        <v>78</v>
      </c>
      <c r="H1152" s="3">
        <v>29</v>
      </c>
      <c r="I1152" s="3">
        <v>97</v>
      </c>
      <c r="J1152" s="3">
        <f t="shared" si="51"/>
        <v>204</v>
      </c>
      <c r="K1152" s="3" t="str">
        <f t="shared" si="52"/>
        <v>P</v>
      </c>
      <c r="L1152" s="3" t="str">
        <f t="shared" si="53"/>
        <v>A</v>
      </c>
    </row>
    <row r="1153" spans="1:12" ht="14.25" customHeight="1">
      <c r="A1153" s="3">
        <v>1152</v>
      </c>
      <c r="B1153" s="3" t="s">
        <v>2982</v>
      </c>
      <c r="C1153" s="3" t="s">
        <v>80</v>
      </c>
      <c r="D1153" s="3">
        <v>9876543281</v>
      </c>
      <c r="E1153" s="3" t="s">
        <v>4419</v>
      </c>
      <c r="F1153" s="3" t="str" cm="1">
        <f t="array" ref="F1153">IF(E1153="","",_xlfn.XLOOKUP(E1153,{"FIRST","SECOND","THIRD","FOURTH"},{"SEM-1","SEM-2","SEM-3","SEM-4"},""))</f>
        <v>SEM-2</v>
      </c>
      <c r="G1153" s="3">
        <v>100</v>
      </c>
      <c r="H1153" s="3">
        <v>90</v>
      </c>
      <c r="I1153" s="3">
        <v>12</v>
      </c>
      <c r="J1153" s="3">
        <f t="shared" si="51"/>
        <v>202</v>
      </c>
      <c r="K1153" s="3" t="str">
        <f t="shared" si="52"/>
        <v>P</v>
      </c>
      <c r="L1153" s="3" t="str">
        <f t="shared" si="53"/>
        <v>A</v>
      </c>
    </row>
    <row r="1154" spans="1:12" ht="14.25" customHeight="1">
      <c r="A1154" s="3">
        <v>1153</v>
      </c>
      <c r="B1154" s="3" t="s">
        <v>4155</v>
      </c>
      <c r="C1154" s="3" t="s">
        <v>1240</v>
      </c>
      <c r="D1154" s="3">
        <v>9876544454</v>
      </c>
      <c r="E1154" s="3" t="s">
        <v>4420</v>
      </c>
      <c r="F1154" s="3" t="str" cm="1">
        <f t="array" ref="F1154">IF(E1154="","",_xlfn.XLOOKUP(E1154,{"FIRST","SECOND","THIRD","FOURTH"},{"SEM-1","SEM-2","SEM-3","SEM-4"},""))</f>
        <v>SEM-3</v>
      </c>
      <c r="G1154" s="3">
        <v>70</v>
      </c>
      <c r="H1154" s="3">
        <v>11</v>
      </c>
      <c r="I1154" s="3">
        <v>68</v>
      </c>
      <c r="J1154" s="3">
        <f t="shared" ref="J1154:J1217" si="54">SUM(G1154:I1154)</f>
        <v>149</v>
      </c>
      <c r="K1154" s="3" t="str">
        <f t="shared" ref="K1154:K1217" si="55">IF(OR(G1154&gt;=70,H1154&gt;=70,I1154&gt;=70,J1154&gt;=120),"P","F")</f>
        <v>P</v>
      </c>
      <c r="L1154" s="3" t="str">
        <f t="shared" ref="L1154:L1217" si="56">IF(J1154&gt;=190,"A",IF(J1154&gt;=150,"B",IF(J1154&gt;=120,"C","FAIL")))</f>
        <v>C</v>
      </c>
    </row>
    <row r="1155" spans="1:12" ht="14.25" customHeight="1">
      <c r="A1155" s="3">
        <v>1154</v>
      </c>
      <c r="B1155" s="3" t="s">
        <v>3228</v>
      </c>
      <c r="C1155" s="3" t="s">
        <v>325</v>
      </c>
      <c r="D1155" s="3">
        <v>9876543527</v>
      </c>
      <c r="E1155" s="3" t="s">
        <v>4420</v>
      </c>
      <c r="F1155" s="3" t="str" cm="1">
        <f t="array" ref="F1155">IF(E1155="","",_xlfn.XLOOKUP(E1155,{"FIRST","SECOND","THIRD","FOURTH"},{"SEM-1","SEM-2","SEM-3","SEM-4"},""))</f>
        <v>SEM-3</v>
      </c>
      <c r="G1155" s="3">
        <v>4</v>
      </c>
      <c r="H1155" s="3">
        <v>93</v>
      </c>
      <c r="I1155" s="3">
        <v>76</v>
      </c>
      <c r="J1155" s="3">
        <f t="shared" si="54"/>
        <v>173</v>
      </c>
      <c r="K1155" s="3" t="str">
        <f t="shared" si="55"/>
        <v>P</v>
      </c>
      <c r="L1155" s="3" t="str">
        <f t="shared" si="56"/>
        <v>B</v>
      </c>
    </row>
    <row r="1156" spans="1:12" ht="14.25" customHeight="1">
      <c r="A1156" s="3">
        <v>1155</v>
      </c>
      <c r="B1156" s="3" t="s">
        <v>4184</v>
      </c>
      <c r="C1156" s="3" t="s">
        <v>1269</v>
      </c>
      <c r="D1156" s="3">
        <v>9876544483</v>
      </c>
      <c r="E1156" s="3" t="s">
        <v>4418</v>
      </c>
      <c r="F1156" s="3" t="str" cm="1">
        <f t="array" ref="F1156">IF(E1156="","",_xlfn.XLOOKUP(E1156,{"FIRST","SECOND","THIRD","FOURTH"},{"SEM-1","SEM-2","SEM-3","SEM-4"},""))</f>
        <v>SEM-1</v>
      </c>
      <c r="G1156" s="3">
        <v>22</v>
      </c>
      <c r="H1156" s="3">
        <v>96</v>
      </c>
      <c r="I1156" s="3">
        <v>43</v>
      </c>
      <c r="J1156" s="3">
        <f t="shared" si="54"/>
        <v>161</v>
      </c>
      <c r="K1156" s="3" t="str">
        <f t="shared" si="55"/>
        <v>P</v>
      </c>
      <c r="L1156" s="3" t="str">
        <f t="shared" si="56"/>
        <v>B</v>
      </c>
    </row>
    <row r="1157" spans="1:12" ht="14.25" customHeight="1">
      <c r="A1157" s="3">
        <v>1156</v>
      </c>
      <c r="B1157" s="3" t="s">
        <v>3166</v>
      </c>
      <c r="C1157" s="3" t="s">
        <v>264</v>
      </c>
      <c r="D1157" s="3">
        <v>9876543465</v>
      </c>
      <c r="E1157" s="3" t="s">
        <v>4420</v>
      </c>
      <c r="F1157" s="3" t="str" cm="1">
        <f t="array" ref="F1157">IF(E1157="","",_xlfn.XLOOKUP(E1157,{"FIRST","SECOND","THIRD","FOURTH"},{"SEM-1","SEM-2","SEM-3","SEM-4"},""))</f>
        <v>SEM-3</v>
      </c>
      <c r="G1157" s="3">
        <v>65</v>
      </c>
      <c r="H1157" s="3">
        <v>1</v>
      </c>
      <c r="I1157" s="3">
        <v>10</v>
      </c>
      <c r="J1157" s="3">
        <f t="shared" si="54"/>
        <v>76</v>
      </c>
      <c r="K1157" s="3" t="str">
        <f t="shared" si="55"/>
        <v>F</v>
      </c>
      <c r="L1157" s="3" t="str">
        <f t="shared" si="56"/>
        <v>FAIL</v>
      </c>
    </row>
    <row r="1158" spans="1:12" ht="14.25" customHeight="1">
      <c r="A1158" s="3">
        <v>1157</v>
      </c>
      <c r="B1158" s="3" t="s">
        <v>4119</v>
      </c>
      <c r="C1158" s="3" t="s">
        <v>1204</v>
      </c>
      <c r="D1158" s="3">
        <v>9876544418</v>
      </c>
      <c r="E1158" s="3" t="s">
        <v>4418</v>
      </c>
      <c r="F1158" s="3" t="str" cm="1">
        <f t="array" ref="F1158">IF(E1158="","",_xlfn.XLOOKUP(E1158,{"FIRST","SECOND","THIRD","FOURTH"},{"SEM-1","SEM-2","SEM-3","SEM-4"},""))</f>
        <v>SEM-1</v>
      </c>
      <c r="G1158" s="3">
        <v>38</v>
      </c>
      <c r="H1158" s="3">
        <v>7</v>
      </c>
      <c r="I1158" s="3">
        <v>30</v>
      </c>
      <c r="J1158" s="3">
        <f t="shared" si="54"/>
        <v>75</v>
      </c>
      <c r="K1158" s="3" t="str">
        <f t="shared" si="55"/>
        <v>F</v>
      </c>
      <c r="L1158" s="3" t="str">
        <f t="shared" si="56"/>
        <v>FAIL</v>
      </c>
    </row>
    <row r="1159" spans="1:12" ht="14.25" customHeight="1">
      <c r="A1159" s="3">
        <v>1158</v>
      </c>
      <c r="B1159" s="3" t="s">
        <v>3938</v>
      </c>
      <c r="C1159" s="3" t="s">
        <v>1028</v>
      </c>
      <c r="D1159" s="3">
        <v>9876544237</v>
      </c>
      <c r="E1159" s="3" t="s">
        <v>4419</v>
      </c>
      <c r="F1159" s="3" t="str" cm="1">
        <f t="array" ref="F1159">IF(E1159="","",_xlfn.XLOOKUP(E1159,{"FIRST","SECOND","THIRD","FOURTH"},{"SEM-1","SEM-2","SEM-3","SEM-4"},""))</f>
        <v>SEM-2</v>
      </c>
      <c r="G1159" s="3">
        <v>14</v>
      </c>
      <c r="H1159" s="3">
        <v>23</v>
      </c>
      <c r="I1159" s="3">
        <v>37</v>
      </c>
      <c r="J1159" s="3">
        <f t="shared" si="54"/>
        <v>74</v>
      </c>
      <c r="K1159" s="3" t="str">
        <f t="shared" si="55"/>
        <v>F</v>
      </c>
      <c r="L1159" s="3" t="str">
        <f t="shared" si="56"/>
        <v>FAIL</v>
      </c>
    </row>
    <row r="1160" spans="1:12" ht="14.25" customHeight="1">
      <c r="A1160" s="3">
        <v>1159</v>
      </c>
      <c r="B1160" s="3" t="s">
        <v>3567</v>
      </c>
      <c r="C1160" s="3" t="s">
        <v>661</v>
      </c>
      <c r="D1160" s="3">
        <v>9876543866</v>
      </c>
      <c r="E1160" s="3" t="s">
        <v>4419</v>
      </c>
      <c r="F1160" s="3" t="str" cm="1">
        <f t="array" ref="F1160">IF(E1160="","",_xlfn.XLOOKUP(E1160,{"FIRST","SECOND","THIRD","FOURTH"},{"SEM-1","SEM-2","SEM-3","SEM-4"},""))</f>
        <v>SEM-2</v>
      </c>
      <c r="G1160" s="3">
        <v>97</v>
      </c>
      <c r="H1160" s="3">
        <v>11</v>
      </c>
      <c r="I1160" s="3">
        <v>23</v>
      </c>
      <c r="J1160" s="3">
        <f t="shared" si="54"/>
        <v>131</v>
      </c>
      <c r="K1160" s="3" t="str">
        <f t="shared" si="55"/>
        <v>P</v>
      </c>
      <c r="L1160" s="3" t="str">
        <f t="shared" si="56"/>
        <v>C</v>
      </c>
    </row>
    <row r="1161" spans="1:12" ht="14.25" customHeight="1">
      <c r="A1161" s="3">
        <v>1160</v>
      </c>
      <c r="B1161" s="3" t="s">
        <v>3622</v>
      </c>
      <c r="C1161" s="3" t="s">
        <v>716</v>
      </c>
      <c r="D1161" s="3">
        <v>9876543921</v>
      </c>
      <c r="E1161" s="3" t="s">
        <v>4419</v>
      </c>
      <c r="F1161" s="3" t="str" cm="1">
        <f t="array" ref="F1161">IF(E1161="","",_xlfn.XLOOKUP(E1161,{"FIRST","SECOND","THIRD","FOURTH"},{"SEM-1","SEM-2","SEM-3","SEM-4"},""))</f>
        <v>SEM-2</v>
      </c>
      <c r="G1161" s="3">
        <v>10</v>
      </c>
      <c r="H1161" s="3">
        <v>88</v>
      </c>
      <c r="I1161" s="3">
        <v>77</v>
      </c>
      <c r="J1161" s="3">
        <f t="shared" si="54"/>
        <v>175</v>
      </c>
      <c r="K1161" s="3" t="str">
        <f t="shared" si="55"/>
        <v>P</v>
      </c>
      <c r="L1161" s="3" t="str">
        <f t="shared" si="56"/>
        <v>B</v>
      </c>
    </row>
    <row r="1162" spans="1:12" ht="14.25" customHeight="1">
      <c r="A1162" s="3">
        <v>1161</v>
      </c>
      <c r="B1162" s="3" t="s">
        <v>3832</v>
      </c>
      <c r="C1162" s="3" t="s">
        <v>924</v>
      </c>
      <c r="D1162" s="3">
        <v>9876544131</v>
      </c>
      <c r="E1162" s="3" t="s">
        <v>4418</v>
      </c>
      <c r="F1162" s="3" t="str" cm="1">
        <f t="array" ref="F1162">IF(E1162="","",_xlfn.XLOOKUP(E1162,{"FIRST","SECOND","THIRD","FOURTH"},{"SEM-1","SEM-2","SEM-3","SEM-4"},""))</f>
        <v>SEM-1</v>
      </c>
      <c r="G1162" s="3">
        <v>82</v>
      </c>
      <c r="H1162" s="3">
        <v>18</v>
      </c>
      <c r="I1162" s="3">
        <v>38</v>
      </c>
      <c r="J1162" s="3">
        <f t="shared" si="54"/>
        <v>138</v>
      </c>
      <c r="K1162" s="3" t="str">
        <f t="shared" si="55"/>
        <v>P</v>
      </c>
      <c r="L1162" s="3" t="str">
        <f t="shared" si="56"/>
        <v>C</v>
      </c>
    </row>
    <row r="1163" spans="1:12" ht="14.25" customHeight="1">
      <c r="A1163" s="3">
        <v>1162</v>
      </c>
      <c r="B1163" s="3" t="s">
        <v>3652</v>
      </c>
      <c r="C1163" s="3" t="s">
        <v>746</v>
      </c>
      <c r="D1163" s="3">
        <v>9876543951</v>
      </c>
      <c r="E1163" s="3" t="s">
        <v>4419</v>
      </c>
      <c r="F1163" s="3" t="str" cm="1">
        <f t="array" ref="F1163">IF(E1163="","",_xlfn.XLOOKUP(E1163,{"FIRST","SECOND","THIRD","FOURTH"},{"SEM-1","SEM-2","SEM-3","SEM-4"},""))</f>
        <v>SEM-2</v>
      </c>
      <c r="G1163" s="3">
        <v>7</v>
      </c>
      <c r="H1163" s="3">
        <v>0</v>
      </c>
      <c r="I1163" s="3">
        <v>22</v>
      </c>
      <c r="J1163" s="3">
        <f t="shared" si="54"/>
        <v>29</v>
      </c>
      <c r="K1163" s="3" t="str">
        <f t="shared" si="55"/>
        <v>F</v>
      </c>
      <c r="L1163" s="3" t="str">
        <f t="shared" si="56"/>
        <v>FAIL</v>
      </c>
    </row>
    <row r="1164" spans="1:12" ht="14.25" customHeight="1">
      <c r="A1164" s="3">
        <v>1163</v>
      </c>
      <c r="B1164" s="3" t="s">
        <v>3961</v>
      </c>
      <c r="C1164" s="3" t="s">
        <v>1051</v>
      </c>
      <c r="D1164" s="3">
        <v>9876544260</v>
      </c>
      <c r="E1164" s="3" t="s">
        <v>4420</v>
      </c>
      <c r="F1164" s="3" t="str" cm="1">
        <f t="array" ref="F1164">IF(E1164="","",_xlfn.XLOOKUP(E1164,{"FIRST","SECOND","THIRD","FOURTH"},{"SEM-1","SEM-2","SEM-3","SEM-4"},""))</f>
        <v>SEM-3</v>
      </c>
      <c r="G1164" s="3">
        <v>75</v>
      </c>
      <c r="H1164" s="3">
        <v>22</v>
      </c>
      <c r="I1164" s="3">
        <v>61</v>
      </c>
      <c r="J1164" s="3">
        <f t="shared" si="54"/>
        <v>158</v>
      </c>
      <c r="K1164" s="3" t="str">
        <f t="shared" si="55"/>
        <v>P</v>
      </c>
      <c r="L1164" s="3" t="str">
        <f t="shared" si="56"/>
        <v>B</v>
      </c>
    </row>
    <row r="1165" spans="1:12" ht="14.25" customHeight="1">
      <c r="A1165" s="3">
        <v>1164</v>
      </c>
      <c r="B1165" s="3" t="s">
        <v>3319</v>
      </c>
      <c r="C1165" s="3" t="s">
        <v>415</v>
      </c>
      <c r="D1165" s="3">
        <v>9876543618</v>
      </c>
      <c r="E1165" s="3" t="s">
        <v>4</v>
      </c>
      <c r="F1165" s="3" t="str" cm="1">
        <f t="array" ref="F1165">IF(E1165="","",_xlfn.XLOOKUP(E1165,{"FIRST","SECOND","THIRD","FOURTH"},{"SEM-1","SEM-2","SEM-3","SEM-4"},""))</f>
        <v/>
      </c>
      <c r="G1165" s="3">
        <v>50</v>
      </c>
      <c r="H1165" s="3">
        <v>40</v>
      </c>
      <c r="I1165" s="3">
        <v>3</v>
      </c>
      <c r="J1165" s="3">
        <f t="shared" si="54"/>
        <v>93</v>
      </c>
      <c r="K1165" s="3" t="str">
        <f t="shared" si="55"/>
        <v>F</v>
      </c>
      <c r="L1165" s="3" t="str">
        <f t="shared" si="56"/>
        <v>FAIL</v>
      </c>
    </row>
    <row r="1166" spans="1:12" ht="14.25" customHeight="1">
      <c r="A1166" s="3">
        <v>1165</v>
      </c>
      <c r="B1166" s="3" t="s">
        <v>3337</v>
      </c>
      <c r="C1166" s="3" t="s">
        <v>433</v>
      </c>
      <c r="D1166" s="3">
        <v>9876543636</v>
      </c>
      <c r="E1166" s="3" t="s">
        <v>4420</v>
      </c>
      <c r="F1166" s="3" t="str" cm="1">
        <f t="array" ref="F1166">IF(E1166="","",_xlfn.XLOOKUP(E1166,{"FIRST","SECOND","THIRD","FOURTH"},{"SEM-1","SEM-2","SEM-3","SEM-4"},""))</f>
        <v>SEM-3</v>
      </c>
      <c r="G1166" s="3">
        <v>64</v>
      </c>
      <c r="H1166" s="3">
        <v>86</v>
      </c>
      <c r="I1166" s="3">
        <v>60</v>
      </c>
      <c r="J1166" s="3">
        <f t="shared" si="54"/>
        <v>210</v>
      </c>
      <c r="K1166" s="3" t="str">
        <f t="shared" si="55"/>
        <v>P</v>
      </c>
      <c r="L1166" s="3" t="str">
        <f t="shared" si="56"/>
        <v>A</v>
      </c>
    </row>
    <row r="1167" spans="1:12" ht="14.25" customHeight="1">
      <c r="A1167" s="3">
        <v>1166</v>
      </c>
      <c r="B1167" s="3" t="s">
        <v>3351</v>
      </c>
      <c r="C1167" s="3" t="s">
        <v>447</v>
      </c>
      <c r="D1167" s="3">
        <v>9876543650</v>
      </c>
      <c r="E1167" s="3" t="s">
        <v>4419</v>
      </c>
      <c r="F1167" s="3" t="str" cm="1">
        <f t="array" ref="F1167">IF(E1167="","",_xlfn.XLOOKUP(E1167,{"FIRST","SECOND","THIRD","FOURTH"},{"SEM-1","SEM-2","SEM-3","SEM-4"},""))</f>
        <v>SEM-2</v>
      </c>
      <c r="G1167" s="3">
        <v>33</v>
      </c>
      <c r="H1167" s="3">
        <v>100</v>
      </c>
      <c r="I1167" s="3">
        <v>69</v>
      </c>
      <c r="J1167" s="3">
        <f t="shared" si="54"/>
        <v>202</v>
      </c>
      <c r="K1167" s="3" t="str">
        <f t="shared" si="55"/>
        <v>P</v>
      </c>
      <c r="L1167" s="3" t="str">
        <f t="shared" si="56"/>
        <v>A</v>
      </c>
    </row>
    <row r="1168" spans="1:12" ht="14.25" customHeight="1">
      <c r="A1168" s="3">
        <v>1167</v>
      </c>
      <c r="B1168" s="3" t="s">
        <v>3528</v>
      </c>
      <c r="C1168" s="3" t="s">
        <v>623</v>
      </c>
      <c r="D1168" s="3">
        <v>9876543827</v>
      </c>
      <c r="E1168" s="3" t="s">
        <v>4418</v>
      </c>
      <c r="F1168" s="3" t="str" cm="1">
        <f t="array" ref="F1168">IF(E1168="","",_xlfn.XLOOKUP(E1168,{"FIRST","SECOND","THIRD","FOURTH"},{"SEM-1","SEM-2","SEM-3","SEM-4"},""))</f>
        <v>SEM-1</v>
      </c>
      <c r="G1168" s="3">
        <v>4</v>
      </c>
      <c r="H1168" s="3">
        <v>19</v>
      </c>
      <c r="I1168" s="3">
        <v>71</v>
      </c>
      <c r="J1168" s="3">
        <f t="shared" si="54"/>
        <v>94</v>
      </c>
      <c r="K1168" s="3" t="str">
        <f t="shared" si="55"/>
        <v>P</v>
      </c>
      <c r="L1168" s="3" t="str">
        <f t="shared" si="56"/>
        <v>FAIL</v>
      </c>
    </row>
    <row r="1169" spans="1:12" ht="14.25" customHeight="1">
      <c r="A1169" s="3">
        <v>1168</v>
      </c>
      <c r="B1169" s="3" t="s">
        <v>3584</v>
      </c>
      <c r="C1169" s="3" t="s">
        <v>678</v>
      </c>
      <c r="D1169" s="3">
        <v>9876543883</v>
      </c>
      <c r="E1169" s="3" t="s">
        <v>4419</v>
      </c>
      <c r="F1169" s="3" t="str" cm="1">
        <f t="array" ref="F1169">IF(E1169="","",_xlfn.XLOOKUP(E1169,{"FIRST","SECOND","THIRD","FOURTH"},{"SEM-1","SEM-2","SEM-3","SEM-4"},""))</f>
        <v>SEM-2</v>
      </c>
      <c r="G1169" s="3">
        <v>7</v>
      </c>
      <c r="H1169" s="3">
        <v>92</v>
      </c>
      <c r="I1169" s="3">
        <v>11</v>
      </c>
      <c r="J1169" s="3">
        <f t="shared" si="54"/>
        <v>110</v>
      </c>
      <c r="K1169" s="3" t="str">
        <f t="shared" si="55"/>
        <v>P</v>
      </c>
      <c r="L1169" s="3" t="str">
        <f t="shared" si="56"/>
        <v>FAIL</v>
      </c>
    </row>
    <row r="1170" spans="1:12" ht="14.25" customHeight="1">
      <c r="A1170" s="3">
        <v>1169</v>
      </c>
      <c r="B1170" s="3" t="s">
        <v>4109</v>
      </c>
      <c r="C1170" s="3" t="s">
        <v>1194</v>
      </c>
      <c r="D1170" s="3">
        <v>9876544408</v>
      </c>
      <c r="E1170" s="3" t="s">
        <v>4418</v>
      </c>
      <c r="F1170" s="3" t="str" cm="1">
        <f t="array" ref="F1170">IF(E1170="","",_xlfn.XLOOKUP(E1170,{"FIRST","SECOND","THIRD","FOURTH"},{"SEM-1","SEM-2","SEM-3","SEM-4"},""))</f>
        <v>SEM-1</v>
      </c>
      <c r="G1170" s="3">
        <v>34</v>
      </c>
      <c r="H1170" s="3">
        <v>60</v>
      </c>
      <c r="I1170" s="3">
        <v>66</v>
      </c>
      <c r="J1170" s="3">
        <f t="shared" si="54"/>
        <v>160</v>
      </c>
      <c r="K1170" s="3" t="str">
        <f t="shared" si="55"/>
        <v>P</v>
      </c>
      <c r="L1170" s="3" t="str">
        <f t="shared" si="56"/>
        <v>B</v>
      </c>
    </row>
    <row r="1171" spans="1:12" ht="14.25" customHeight="1">
      <c r="A1171" s="3">
        <v>1170</v>
      </c>
      <c r="B1171" s="3" t="s">
        <v>2935</v>
      </c>
      <c r="C1171" s="3" t="s">
        <v>33</v>
      </c>
      <c r="D1171" s="3">
        <v>9876543234</v>
      </c>
      <c r="E1171" s="3" t="s">
        <v>4420</v>
      </c>
      <c r="F1171" s="3" t="str" cm="1">
        <f t="array" ref="F1171">IF(E1171="","",_xlfn.XLOOKUP(E1171,{"FIRST","SECOND","THIRD","FOURTH"},{"SEM-1","SEM-2","SEM-3","SEM-4"},""))</f>
        <v>SEM-3</v>
      </c>
      <c r="G1171" s="3">
        <v>42</v>
      </c>
      <c r="H1171" s="3">
        <v>100</v>
      </c>
      <c r="I1171" s="3">
        <v>86</v>
      </c>
      <c r="J1171" s="3">
        <f t="shared" si="54"/>
        <v>228</v>
      </c>
      <c r="K1171" s="3" t="str">
        <f t="shared" si="55"/>
        <v>P</v>
      </c>
      <c r="L1171" s="3" t="str">
        <f t="shared" si="56"/>
        <v>A</v>
      </c>
    </row>
    <row r="1172" spans="1:12" ht="14.25" customHeight="1">
      <c r="A1172" s="3">
        <v>1171</v>
      </c>
      <c r="B1172" s="3" t="s">
        <v>4229</v>
      </c>
      <c r="C1172" s="3" t="s">
        <v>1312</v>
      </c>
      <c r="D1172" s="3">
        <v>9876544528</v>
      </c>
      <c r="E1172" s="3" t="s">
        <v>4418</v>
      </c>
      <c r="F1172" s="3" t="str" cm="1">
        <f t="array" ref="F1172">IF(E1172="","",_xlfn.XLOOKUP(E1172,{"FIRST","SECOND","THIRD","FOURTH"},{"SEM-1","SEM-2","SEM-3","SEM-4"},""))</f>
        <v>SEM-1</v>
      </c>
      <c r="G1172" s="3">
        <v>35</v>
      </c>
      <c r="H1172" s="3">
        <v>4</v>
      </c>
      <c r="I1172" s="3">
        <v>94</v>
      </c>
      <c r="J1172" s="3">
        <f t="shared" si="54"/>
        <v>133</v>
      </c>
      <c r="K1172" s="3" t="str">
        <f t="shared" si="55"/>
        <v>P</v>
      </c>
      <c r="L1172" s="3" t="str">
        <f t="shared" si="56"/>
        <v>C</v>
      </c>
    </row>
    <row r="1173" spans="1:12" ht="14.25" customHeight="1">
      <c r="A1173" s="3">
        <v>1172</v>
      </c>
      <c r="B1173" s="3" t="s">
        <v>3696</v>
      </c>
      <c r="C1173" s="3" t="s">
        <v>789</v>
      </c>
      <c r="D1173" s="3">
        <v>9876543995</v>
      </c>
      <c r="E1173" s="3" t="s">
        <v>4419</v>
      </c>
      <c r="F1173" s="3" t="str" cm="1">
        <f t="array" ref="F1173">IF(E1173="","",_xlfn.XLOOKUP(E1173,{"FIRST","SECOND","THIRD","FOURTH"},{"SEM-1","SEM-2","SEM-3","SEM-4"},""))</f>
        <v>SEM-2</v>
      </c>
      <c r="G1173" s="3">
        <v>28</v>
      </c>
      <c r="H1173" s="3">
        <v>35</v>
      </c>
      <c r="I1173" s="3">
        <v>13</v>
      </c>
      <c r="J1173" s="3">
        <f t="shared" si="54"/>
        <v>76</v>
      </c>
      <c r="K1173" s="3" t="str">
        <f t="shared" si="55"/>
        <v>F</v>
      </c>
      <c r="L1173" s="3" t="str">
        <f t="shared" si="56"/>
        <v>FAIL</v>
      </c>
    </row>
    <row r="1174" spans="1:12" ht="14.25" customHeight="1">
      <c r="A1174" s="3">
        <v>1173</v>
      </c>
      <c r="B1174" s="3" t="s">
        <v>3764</v>
      </c>
      <c r="C1174" s="3" t="s">
        <v>857</v>
      </c>
      <c r="D1174" s="3">
        <v>9876544063</v>
      </c>
      <c r="E1174" s="3" t="s">
        <v>4419</v>
      </c>
      <c r="F1174" s="3" t="str" cm="1">
        <f t="array" ref="F1174">IF(E1174="","",_xlfn.XLOOKUP(E1174,{"FIRST","SECOND","THIRD","FOURTH"},{"SEM-1","SEM-2","SEM-3","SEM-4"},""))</f>
        <v>SEM-2</v>
      </c>
      <c r="G1174" s="3">
        <v>8</v>
      </c>
      <c r="H1174" s="3">
        <v>29</v>
      </c>
      <c r="I1174" s="3">
        <v>7</v>
      </c>
      <c r="J1174" s="3">
        <f t="shared" si="54"/>
        <v>44</v>
      </c>
      <c r="K1174" s="3" t="str">
        <f t="shared" si="55"/>
        <v>F</v>
      </c>
      <c r="L1174" s="3" t="str">
        <f t="shared" si="56"/>
        <v>FAIL</v>
      </c>
    </row>
    <row r="1175" spans="1:12" ht="14.25" customHeight="1">
      <c r="A1175" s="3">
        <v>1174</v>
      </c>
      <c r="B1175" s="3" t="s">
        <v>4300</v>
      </c>
      <c r="C1175" s="3" t="s">
        <v>1381</v>
      </c>
      <c r="D1175" s="3">
        <v>9876544599</v>
      </c>
      <c r="E1175" s="3" t="s">
        <v>4419</v>
      </c>
      <c r="F1175" s="3" t="str" cm="1">
        <f t="array" ref="F1175">IF(E1175="","",_xlfn.XLOOKUP(E1175,{"FIRST","SECOND","THIRD","FOURTH"},{"SEM-1","SEM-2","SEM-3","SEM-4"},""))</f>
        <v>SEM-2</v>
      </c>
      <c r="G1175" s="3">
        <v>11</v>
      </c>
      <c r="H1175" s="3">
        <v>16</v>
      </c>
      <c r="I1175" s="3">
        <v>67</v>
      </c>
      <c r="J1175" s="3">
        <f t="shared" si="54"/>
        <v>94</v>
      </c>
      <c r="K1175" s="3" t="str">
        <f t="shared" si="55"/>
        <v>F</v>
      </c>
      <c r="L1175" s="3" t="str">
        <f t="shared" si="56"/>
        <v>FAIL</v>
      </c>
    </row>
    <row r="1176" spans="1:12" ht="14.25" customHeight="1">
      <c r="A1176" s="3">
        <v>1175</v>
      </c>
      <c r="B1176" s="3" t="s">
        <v>4038</v>
      </c>
      <c r="C1176" s="3" t="s">
        <v>1127</v>
      </c>
      <c r="D1176" s="3">
        <v>9876544337</v>
      </c>
      <c r="E1176" s="3" t="s">
        <v>4418</v>
      </c>
      <c r="F1176" s="3" t="str" cm="1">
        <f t="array" ref="F1176">IF(E1176="","",_xlfn.XLOOKUP(E1176,{"FIRST","SECOND","THIRD","FOURTH"},{"SEM-1","SEM-2","SEM-3","SEM-4"},""))</f>
        <v>SEM-1</v>
      </c>
      <c r="G1176" s="3">
        <v>2</v>
      </c>
      <c r="H1176" s="3">
        <v>26</v>
      </c>
      <c r="I1176" s="3">
        <v>57</v>
      </c>
      <c r="J1176" s="3">
        <f t="shared" si="54"/>
        <v>85</v>
      </c>
      <c r="K1176" s="3" t="str">
        <f t="shared" si="55"/>
        <v>F</v>
      </c>
      <c r="L1176" s="3" t="str">
        <f t="shared" si="56"/>
        <v>FAIL</v>
      </c>
    </row>
    <row r="1177" spans="1:12" ht="14.25" customHeight="1">
      <c r="A1177" s="3">
        <v>1176</v>
      </c>
      <c r="B1177" s="3" t="s">
        <v>3035</v>
      </c>
      <c r="C1177" s="3" t="s">
        <v>133</v>
      </c>
      <c r="D1177" s="3">
        <v>9876543334</v>
      </c>
      <c r="E1177" s="3" t="s">
        <v>4418</v>
      </c>
      <c r="F1177" s="3" t="str" cm="1">
        <f t="array" ref="F1177">IF(E1177="","",_xlfn.XLOOKUP(E1177,{"FIRST","SECOND","THIRD","FOURTH"},{"SEM-1","SEM-2","SEM-3","SEM-4"},""))</f>
        <v>SEM-1</v>
      </c>
      <c r="G1177" s="3">
        <v>72</v>
      </c>
      <c r="H1177" s="3">
        <v>87</v>
      </c>
      <c r="I1177" s="3">
        <v>44</v>
      </c>
      <c r="J1177" s="3">
        <f t="shared" si="54"/>
        <v>203</v>
      </c>
      <c r="K1177" s="3" t="str">
        <f t="shared" si="55"/>
        <v>P</v>
      </c>
      <c r="L1177" s="3" t="str">
        <f t="shared" si="56"/>
        <v>A</v>
      </c>
    </row>
    <row r="1178" spans="1:12" ht="14.25" customHeight="1">
      <c r="A1178" s="3">
        <v>1177</v>
      </c>
      <c r="B1178" s="3" t="s">
        <v>3402</v>
      </c>
      <c r="C1178" s="3" t="s">
        <v>498</v>
      </c>
      <c r="D1178" s="3">
        <v>9876543701</v>
      </c>
      <c r="E1178" s="3" t="s">
        <v>4419</v>
      </c>
      <c r="F1178" s="3" t="str" cm="1">
        <f t="array" ref="F1178">IF(E1178="","",_xlfn.XLOOKUP(E1178,{"FIRST","SECOND","THIRD","FOURTH"},{"SEM-1","SEM-2","SEM-3","SEM-4"},""))</f>
        <v>SEM-2</v>
      </c>
      <c r="G1178" s="3">
        <v>5</v>
      </c>
      <c r="H1178" s="3">
        <v>38</v>
      </c>
      <c r="I1178" s="3">
        <v>63</v>
      </c>
      <c r="J1178" s="3">
        <f t="shared" si="54"/>
        <v>106</v>
      </c>
      <c r="K1178" s="3" t="str">
        <f t="shared" si="55"/>
        <v>F</v>
      </c>
      <c r="L1178" s="3" t="str">
        <f t="shared" si="56"/>
        <v>FAIL</v>
      </c>
    </row>
    <row r="1179" spans="1:12" ht="14.25" customHeight="1">
      <c r="A1179" s="3">
        <v>1178</v>
      </c>
      <c r="B1179" s="3" t="s">
        <v>3491</v>
      </c>
      <c r="C1179" s="3" t="s">
        <v>586</v>
      </c>
      <c r="D1179" s="3">
        <v>9876543790</v>
      </c>
      <c r="E1179" s="3" t="s">
        <v>4419</v>
      </c>
      <c r="F1179" s="3" t="str" cm="1">
        <f t="array" ref="F1179">IF(E1179="","",_xlfn.XLOOKUP(E1179,{"FIRST","SECOND","THIRD","FOURTH"},{"SEM-1","SEM-2","SEM-3","SEM-4"},""))</f>
        <v>SEM-2</v>
      </c>
      <c r="G1179" s="3">
        <v>81</v>
      </c>
      <c r="H1179" s="3">
        <v>62</v>
      </c>
      <c r="I1179" s="3">
        <v>84</v>
      </c>
      <c r="J1179" s="3">
        <f t="shared" si="54"/>
        <v>227</v>
      </c>
      <c r="K1179" s="3" t="str">
        <f t="shared" si="55"/>
        <v>P</v>
      </c>
      <c r="L1179" s="3" t="str">
        <f t="shared" si="56"/>
        <v>A</v>
      </c>
    </row>
    <row r="1180" spans="1:12" ht="14.25" customHeight="1">
      <c r="A1180" s="3">
        <v>1179</v>
      </c>
      <c r="B1180" s="3" t="s">
        <v>3362</v>
      </c>
      <c r="C1180" s="3" t="s">
        <v>458</v>
      </c>
      <c r="D1180" s="3">
        <v>9876543661</v>
      </c>
      <c r="E1180" s="3" t="s">
        <v>4418</v>
      </c>
      <c r="F1180" s="3" t="str" cm="1">
        <f t="array" ref="F1180">IF(E1180="","",_xlfn.XLOOKUP(E1180,{"FIRST","SECOND","THIRD","FOURTH"},{"SEM-1","SEM-2","SEM-3","SEM-4"},""))</f>
        <v>SEM-1</v>
      </c>
      <c r="G1180" s="3">
        <v>90</v>
      </c>
      <c r="H1180" s="3">
        <v>98</v>
      </c>
      <c r="I1180" s="3">
        <v>8</v>
      </c>
      <c r="J1180" s="3">
        <f t="shared" si="54"/>
        <v>196</v>
      </c>
      <c r="K1180" s="3" t="str">
        <f t="shared" si="55"/>
        <v>P</v>
      </c>
      <c r="L1180" s="3" t="str">
        <f t="shared" si="56"/>
        <v>A</v>
      </c>
    </row>
    <row r="1181" spans="1:12" ht="14.25" customHeight="1">
      <c r="A1181" s="3">
        <v>1180</v>
      </c>
      <c r="B1181" s="3" t="s">
        <v>3246</v>
      </c>
      <c r="C1181" s="3" t="s">
        <v>343</v>
      </c>
      <c r="D1181" s="3">
        <v>9876543545</v>
      </c>
      <c r="E1181" s="3" t="s">
        <v>4418</v>
      </c>
      <c r="F1181" s="3" t="str" cm="1">
        <f t="array" ref="F1181">IF(E1181="","",_xlfn.XLOOKUP(E1181,{"FIRST","SECOND","THIRD","FOURTH"},{"SEM-1","SEM-2","SEM-3","SEM-4"},""))</f>
        <v>SEM-1</v>
      </c>
      <c r="G1181" s="3">
        <v>74</v>
      </c>
      <c r="H1181" s="3">
        <v>5</v>
      </c>
      <c r="I1181" s="3">
        <v>20</v>
      </c>
      <c r="J1181" s="3">
        <f t="shared" si="54"/>
        <v>99</v>
      </c>
      <c r="K1181" s="3" t="str">
        <f t="shared" si="55"/>
        <v>P</v>
      </c>
      <c r="L1181" s="3" t="str">
        <f t="shared" si="56"/>
        <v>FAIL</v>
      </c>
    </row>
    <row r="1182" spans="1:12" ht="14.25" customHeight="1">
      <c r="A1182" s="3">
        <v>1181</v>
      </c>
      <c r="B1182" s="3" t="s">
        <v>4175</v>
      </c>
      <c r="C1182" s="3" t="s">
        <v>1260</v>
      </c>
      <c r="D1182" s="3">
        <v>9876544474</v>
      </c>
      <c r="E1182" s="3" t="s">
        <v>4419</v>
      </c>
      <c r="F1182" s="3" t="str" cm="1">
        <f t="array" ref="F1182">IF(E1182="","",_xlfn.XLOOKUP(E1182,{"FIRST","SECOND","THIRD","FOURTH"},{"SEM-1","SEM-2","SEM-3","SEM-4"},""))</f>
        <v>SEM-2</v>
      </c>
      <c r="G1182" s="3">
        <v>84</v>
      </c>
      <c r="H1182" s="3">
        <v>58</v>
      </c>
      <c r="I1182" s="3">
        <v>52</v>
      </c>
      <c r="J1182" s="3">
        <f t="shared" si="54"/>
        <v>194</v>
      </c>
      <c r="K1182" s="3" t="str">
        <f t="shared" si="55"/>
        <v>P</v>
      </c>
      <c r="L1182" s="3" t="str">
        <f t="shared" si="56"/>
        <v>A</v>
      </c>
    </row>
    <row r="1183" spans="1:12" ht="14.25" customHeight="1">
      <c r="A1183" s="3">
        <v>1182</v>
      </c>
      <c r="B1183" s="3" t="s">
        <v>3406</v>
      </c>
      <c r="C1183" s="3" t="s">
        <v>502</v>
      </c>
      <c r="D1183" s="3">
        <v>9876543705</v>
      </c>
      <c r="E1183" s="3" t="s">
        <v>4419</v>
      </c>
      <c r="F1183" s="3" t="str" cm="1">
        <f t="array" ref="F1183">IF(E1183="","",_xlfn.XLOOKUP(E1183,{"FIRST","SECOND","THIRD","FOURTH"},{"SEM-1","SEM-2","SEM-3","SEM-4"},""))</f>
        <v>SEM-2</v>
      </c>
      <c r="G1183" s="3">
        <v>75</v>
      </c>
      <c r="H1183" s="3">
        <v>23</v>
      </c>
      <c r="I1183" s="3">
        <v>80</v>
      </c>
      <c r="J1183" s="3">
        <f t="shared" si="54"/>
        <v>178</v>
      </c>
      <c r="K1183" s="3" t="str">
        <f t="shared" si="55"/>
        <v>P</v>
      </c>
      <c r="L1183" s="3" t="str">
        <f t="shared" si="56"/>
        <v>B</v>
      </c>
    </row>
    <row r="1184" spans="1:12" ht="14.25" customHeight="1">
      <c r="A1184" s="3">
        <v>1183</v>
      </c>
      <c r="B1184" s="3" t="s">
        <v>3305</v>
      </c>
      <c r="C1184" s="3" t="s">
        <v>401</v>
      </c>
      <c r="D1184" s="3">
        <v>9876543604</v>
      </c>
      <c r="E1184" s="3" t="s">
        <v>4419</v>
      </c>
      <c r="F1184" s="3" t="str" cm="1">
        <f t="array" ref="F1184">IF(E1184="","",_xlfn.XLOOKUP(E1184,{"FIRST","SECOND","THIRD","FOURTH"},{"SEM-1","SEM-2","SEM-3","SEM-4"},""))</f>
        <v>SEM-2</v>
      </c>
      <c r="G1184" s="3">
        <v>80</v>
      </c>
      <c r="H1184" s="3">
        <v>2</v>
      </c>
      <c r="I1184" s="3">
        <v>38</v>
      </c>
      <c r="J1184" s="3">
        <f t="shared" si="54"/>
        <v>120</v>
      </c>
      <c r="K1184" s="3" t="str">
        <f t="shared" si="55"/>
        <v>P</v>
      </c>
      <c r="L1184" s="3" t="str">
        <f t="shared" si="56"/>
        <v>C</v>
      </c>
    </row>
    <row r="1185" spans="1:12" ht="14.25" customHeight="1">
      <c r="A1185" s="3">
        <v>1184</v>
      </c>
      <c r="B1185" s="3" t="s">
        <v>4112</v>
      </c>
      <c r="C1185" s="3" t="s">
        <v>1197</v>
      </c>
      <c r="D1185" s="3">
        <v>9876544411</v>
      </c>
      <c r="E1185" s="3" t="s">
        <v>4419</v>
      </c>
      <c r="F1185" s="3" t="str" cm="1">
        <f t="array" ref="F1185">IF(E1185="","",_xlfn.XLOOKUP(E1185,{"FIRST","SECOND","THIRD","FOURTH"},{"SEM-1","SEM-2","SEM-3","SEM-4"},""))</f>
        <v>SEM-2</v>
      </c>
      <c r="G1185" s="3">
        <v>30</v>
      </c>
      <c r="H1185" s="3">
        <v>82</v>
      </c>
      <c r="I1185" s="3">
        <v>52</v>
      </c>
      <c r="J1185" s="3">
        <f t="shared" si="54"/>
        <v>164</v>
      </c>
      <c r="K1185" s="3" t="str">
        <f t="shared" si="55"/>
        <v>P</v>
      </c>
      <c r="L1185" s="3" t="str">
        <f t="shared" si="56"/>
        <v>B</v>
      </c>
    </row>
    <row r="1186" spans="1:12" ht="14.25" customHeight="1">
      <c r="A1186" s="3">
        <v>1185</v>
      </c>
      <c r="B1186" s="3" t="s">
        <v>2956</v>
      </c>
      <c r="C1186" s="3" t="s">
        <v>54</v>
      </c>
      <c r="D1186" s="3">
        <v>9876543255</v>
      </c>
      <c r="E1186" s="3" t="s">
        <v>4420</v>
      </c>
      <c r="F1186" s="3" t="str" cm="1">
        <f t="array" ref="F1186">IF(E1186="","",_xlfn.XLOOKUP(E1186,{"FIRST","SECOND","THIRD","FOURTH"},{"SEM-1","SEM-2","SEM-3","SEM-4"},""))</f>
        <v>SEM-3</v>
      </c>
      <c r="G1186" s="3">
        <v>13</v>
      </c>
      <c r="H1186" s="3">
        <v>6</v>
      </c>
      <c r="I1186" s="3">
        <v>85</v>
      </c>
      <c r="J1186" s="3">
        <f t="shared" si="54"/>
        <v>104</v>
      </c>
      <c r="K1186" s="3" t="str">
        <f t="shared" si="55"/>
        <v>P</v>
      </c>
      <c r="L1186" s="3" t="str">
        <f t="shared" si="56"/>
        <v>FAIL</v>
      </c>
    </row>
    <row r="1187" spans="1:12" ht="14.25" customHeight="1">
      <c r="A1187" s="3">
        <v>1186</v>
      </c>
      <c r="B1187" s="3" t="s">
        <v>3623</v>
      </c>
      <c r="C1187" s="3" t="s">
        <v>717</v>
      </c>
      <c r="D1187" s="3">
        <v>9876543922</v>
      </c>
      <c r="E1187" s="3" t="s">
        <v>4419</v>
      </c>
      <c r="F1187" s="3" t="str" cm="1">
        <f t="array" ref="F1187">IF(E1187="","",_xlfn.XLOOKUP(E1187,{"FIRST","SECOND","THIRD","FOURTH"},{"SEM-1","SEM-2","SEM-3","SEM-4"},""))</f>
        <v>SEM-2</v>
      </c>
      <c r="G1187" s="3">
        <v>15</v>
      </c>
      <c r="H1187" s="3">
        <v>55</v>
      </c>
      <c r="I1187" s="3">
        <v>88</v>
      </c>
      <c r="J1187" s="3">
        <f t="shared" si="54"/>
        <v>158</v>
      </c>
      <c r="K1187" s="3" t="str">
        <f t="shared" si="55"/>
        <v>P</v>
      </c>
      <c r="L1187" s="3" t="str">
        <f t="shared" si="56"/>
        <v>B</v>
      </c>
    </row>
    <row r="1188" spans="1:12" ht="14.25" customHeight="1">
      <c r="A1188" s="3">
        <v>1187</v>
      </c>
      <c r="B1188" s="3" t="s">
        <v>3096</v>
      </c>
      <c r="C1188" s="3" t="s">
        <v>194</v>
      </c>
      <c r="D1188" s="3">
        <v>9876543395</v>
      </c>
      <c r="E1188" s="3" t="s">
        <v>4420</v>
      </c>
      <c r="F1188" s="3" t="str" cm="1">
        <f t="array" ref="F1188">IF(E1188="","",_xlfn.XLOOKUP(E1188,{"FIRST","SECOND","THIRD","FOURTH"},{"SEM-1","SEM-2","SEM-3","SEM-4"},""))</f>
        <v>SEM-3</v>
      </c>
      <c r="G1188" s="3">
        <v>81</v>
      </c>
      <c r="H1188" s="3">
        <v>76</v>
      </c>
      <c r="I1188" s="3">
        <v>27</v>
      </c>
      <c r="J1188" s="3">
        <f t="shared" si="54"/>
        <v>184</v>
      </c>
      <c r="K1188" s="3" t="str">
        <f t="shared" si="55"/>
        <v>P</v>
      </c>
      <c r="L1188" s="3" t="str">
        <f t="shared" si="56"/>
        <v>B</v>
      </c>
    </row>
    <row r="1189" spans="1:12" ht="14.25" customHeight="1">
      <c r="A1189" s="3">
        <v>1188</v>
      </c>
      <c r="B1189" s="3" t="s">
        <v>3117</v>
      </c>
      <c r="C1189" s="3" t="s">
        <v>215</v>
      </c>
      <c r="D1189" s="3">
        <v>9876543416</v>
      </c>
      <c r="E1189" s="3" t="s">
        <v>4419</v>
      </c>
      <c r="F1189" s="3" t="str" cm="1">
        <f t="array" ref="F1189">IF(E1189="","",_xlfn.XLOOKUP(E1189,{"FIRST","SECOND","THIRD","FOURTH"},{"SEM-1","SEM-2","SEM-3","SEM-4"},""))</f>
        <v>SEM-2</v>
      </c>
      <c r="G1189" s="3">
        <v>82</v>
      </c>
      <c r="H1189" s="3">
        <v>21</v>
      </c>
      <c r="I1189" s="3">
        <v>78</v>
      </c>
      <c r="J1189" s="3">
        <f t="shared" si="54"/>
        <v>181</v>
      </c>
      <c r="K1189" s="3" t="str">
        <f t="shared" si="55"/>
        <v>P</v>
      </c>
      <c r="L1189" s="3" t="str">
        <f t="shared" si="56"/>
        <v>B</v>
      </c>
    </row>
    <row r="1190" spans="1:12" ht="14.25" customHeight="1">
      <c r="A1190" s="3">
        <v>1189</v>
      </c>
      <c r="B1190" s="3" t="s">
        <v>3546</v>
      </c>
      <c r="C1190" s="3" t="s">
        <v>640</v>
      </c>
      <c r="D1190" s="3">
        <v>9876543845</v>
      </c>
      <c r="E1190" s="3" t="s">
        <v>4418</v>
      </c>
      <c r="F1190" s="3" t="str" cm="1">
        <f t="array" ref="F1190">IF(E1190="","",_xlfn.XLOOKUP(E1190,{"FIRST","SECOND","THIRD","FOURTH"},{"SEM-1","SEM-2","SEM-3","SEM-4"},""))</f>
        <v>SEM-1</v>
      </c>
      <c r="G1190" s="3">
        <v>91</v>
      </c>
      <c r="H1190" s="3">
        <v>72</v>
      </c>
      <c r="I1190" s="3">
        <v>51</v>
      </c>
      <c r="J1190" s="3">
        <f t="shared" si="54"/>
        <v>214</v>
      </c>
      <c r="K1190" s="3" t="str">
        <f t="shared" si="55"/>
        <v>P</v>
      </c>
      <c r="L1190" s="3" t="str">
        <f t="shared" si="56"/>
        <v>A</v>
      </c>
    </row>
    <row r="1191" spans="1:12" ht="14.25" customHeight="1">
      <c r="A1191" s="3">
        <v>1190</v>
      </c>
      <c r="B1191" s="3" t="s">
        <v>3659</v>
      </c>
      <c r="C1191" s="3" t="s">
        <v>640</v>
      </c>
      <c r="D1191" s="3">
        <v>9876543958</v>
      </c>
      <c r="E1191" s="3" t="s">
        <v>4418</v>
      </c>
      <c r="F1191" s="3" t="str" cm="1">
        <f t="array" ref="F1191">IF(E1191="","",_xlfn.XLOOKUP(E1191,{"FIRST","SECOND","THIRD","FOURTH"},{"SEM-1","SEM-2","SEM-3","SEM-4"},""))</f>
        <v>SEM-1</v>
      </c>
      <c r="G1191" s="3">
        <v>25</v>
      </c>
      <c r="H1191" s="3">
        <v>51</v>
      </c>
      <c r="I1191" s="3">
        <v>73</v>
      </c>
      <c r="J1191" s="3">
        <f t="shared" si="54"/>
        <v>149</v>
      </c>
      <c r="K1191" s="3" t="str">
        <f t="shared" si="55"/>
        <v>P</v>
      </c>
      <c r="L1191" s="3" t="str">
        <f t="shared" si="56"/>
        <v>C</v>
      </c>
    </row>
    <row r="1192" spans="1:12" ht="14.25" customHeight="1">
      <c r="A1192" s="3">
        <v>1191</v>
      </c>
      <c r="B1192" s="3" t="s">
        <v>3229</v>
      </c>
      <c r="C1192" s="3" t="s">
        <v>326</v>
      </c>
      <c r="D1192" s="3">
        <v>9876543528</v>
      </c>
      <c r="E1192" s="3" t="s">
        <v>4418</v>
      </c>
      <c r="F1192" s="3" t="str" cm="1">
        <f t="array" ref="F1192">IF(E1192="","",_xlfn.XLOOKUP(E1192,{"FIRST","SECOND","THIRD","FOURTH"},{"SEM-1","SEM-2","SEM-3","SEM-4"},""))</f>
        <v>SEM-1</v>
      </c>
      <c r="G1192" s="3">
        <v>90</v>
      </c>
      <c r="H1192" s="3">
        <v>1</v>
      </c>
      <c r="I1192" s="3">
        <v>73</v>
      </c>
      <c r="J1192" s="3">
        <f t="shared" si="54"/>
        <v>164</v>
      </c>
      <c r="K1192" s="3" t="str">
        <f t="shared" si="55"/>
        <v>P</v>
      </c>
      <c r="L1192" s="3" t="str">
        <f t="shared" si="56"/>
        <v>B</v>
      </c>
    </row>
    <row r="1193" spans="1:12" ht="14.25" customHeight="1">
      <c r="A1193" s="3">
        <v>1192</v>
      </c>
      <c r="B1193" s="3" t="s">
        <v>3905</v>
      </c>
      <c r="C1193" s="3" t="s">
        <v>996</v>
      </c>
      <c r="D1193" s="3">
        <v>9876544204</v>
      </c>
      <c r="E1193" s="3" t="s">
        <v>4418</v>
      </c>
      <c r="F1193" s="3" t="str" cm="1">
        <f t="array" ref="F1193">IF(E1193="","",_xlfn.XLOOKUP(E1193,{"FIRST","SECOND","THIRD","FOURTH"},{"SEM-1","SEM-2","SEM-3","SEM-4"},""))</f>
        <v>SEM-1</v>
      </c>
      <c r="G1193" s="3">
        <v>70</v>
      </c>
      <c r="H1193" s="3">
        <v>98</v>
      </c>
      <c r="I1193" s="3">
        <v>58</v>
      </c>
      <c r="J1193" s="3">
        <f t="shared" si="54"/>
        <v>226</v>
      </c>
      <c r="K1193" s="3" t="str">
        <f t="shared" si="55"/>
        <v>P</v>
      </c>
      <c r="L1193" s="3" t="str">
        <f t="shared" si="56"/>
        <v>A</v>
      </c>
    </row>
    <row r="1194" spans="1:12" ht="14.25" customHeight="1">
      <c r="A1194" s="3">
        <v>1193</v>
      </c>
      <c r="B1194" s="3" t="s">
        <v>4258</v>
      </c>
      <c r="C1194" s="3" t="s">
        <v>1341</v>
      </c>
      <c r="D1194" s="3">
        <v>9876544557</v>
      </c>
      <c r="E1194" s="3" t="s">
        <v>4419</v>
      </c>
      <c r="F1194" s="3" t="str" cm="1">
        <f t="array" ref="F1194">IF(E1194="","",_xlfn.XLOOKUP(E1194,{"FIRST","SECOND","THIRD","FOURTH"},{"SEM-1","SEM-2","SEM-3","SEM-4"},""))</f>
        <v>SEM-2</v>
      </c>
      <c r="G1194" s="3">
        <v>10</v>
      </c>
      <c r="H1194" s="3">
        <v>60</v>
      </c>
      <c r="I1194" s="3">
        <v>92</v>
      </c>
      <c r="J1194" s="3">
        <f t="shared" si="54"/>
        <v>162</v>
      </c>
      <c r="K1194" s="3" t="str">
        <f t="shared" si="55"/>
        <v>P</v>
      </c>
      <c r="L1194" s="3" t="str">
        <f t="shared" si="56"/>
        <v>B</v>
      </c>
    </row>
    <row r="1195" spans="1:12" ht="14.25" customHeight="1">
      <c r="A1195" s="3">
        <v>1194</v>
      </c>
      <c r="B1195" s="3" t="s">
        <v>3847</v>
      </c>
      <c r="C1195" s="3" t="s">
        <v>939</v>
      </c>
      <c r="D1195" s="3">
        <v>9876544146</v>
      </c>
      <c r="E1195" s="3" t="s">
        <v>4418</v>
      </c>
      <c r="F1195" s="3" t="str" cm="1">
        <f t="array" ref="F1195">IF(E1195="","",_xlfn.XLOOKUP(E1195,{"FIRST","SECOND","THIRD","FOURTH"},{"SEM-1","SEM-2","SEM-3","SEM-4"},""))</f>
        <v>SEM-1</v>
      </c>
      <c r="G1195" s="3">
        <v>14</v>
      </c>
      <c r="H1195" s="3">
        <v>65</v>
      </c>
      <c r="I1195" s="3">
        <v>98</v>
      </c>
      <c r="J1195" s="3">
        <f t="shared" si="54"/>
        <v>177</v>
      </c>
      <c r="K1195" s="3" t="str">
        <f t="shared" si="55"/>
        <v>P</v>
      </c>
      <c r="L1195" s="3" t="str">
        <f t="shared" si="56"/>
        <v>B</v>
      </c>
    </row>
    <row r="1196" spans="1:12" ht="14.25" customHeight="1">
      <c r="A1196" s="3">
        <v>1195</v>
      </c>
      <c r="B1196" s="3" t="s">
        <v>4092</v>
      </c>
      <c r="C1196" s="3" t="s">
        <v>1177</v>
      </c>
      <c r="D1196" s="3">
        <v>9876544391</v>
      </c>
      <c r="E1196" s="3" t="s">
        <v>4418</v>
      </c>
      <c r="F1196" s="3" t="str" cm="1">
        <f t="array" ref="F1196">IF(E1196="","",_xlfn.XLOOKUP(E1196,{"FIRST","SECOND","THIRD","FOURTH"},{"SEM-1","SEM-2","SEM-3","SEM-4"},""))</f>
        <v>SEM-1</v>
      </c>
      <c r="G1196" s="3">
        <v>38</v>
      </c>
      <c r="H1196" s="3">
        <v>35</v>
      </c>
      <c r="I1196" s="3">
        <v>86</v>
      </c>
      <c r="J1196" s="3">
        <f t="shared" si="54"/>
        <v>159</v>
      </c>
      <c r="K1196" s="3" t="str">
        <f t="shared" si="55"/>
        <v>P</v>
      </c>
      <c r="L1196" s="3" t="str">
        <f t="shared" si="56"/>
        <v>B</v>
      </c>
    </row>
    <row r="1197" spans="1:12" ht="14.25" customHeight="1">
      <c r="A1197" s="3">
        <v>1196</v>
      </c>
      <c r="B1197" s="3" t="s">
        <v>3473</v>
      </c>
      <c r="C1197" s="3" t="s">
        <v>569</v>
      </c>
      <c r="D1197" s="3">
        <v>9876543772</v>
      </c>
      <c r="E1197" s="3" t="s">
        <v>4420</v>
      </c>
      <c r="F1197" s="3" t="str" cm="1">
        <f t="array" ref="F1197">IF(E1197="","",_xlfn.XLOOKUP(E1197,{"FIRST","SECOND","THIRD","FOURTH"},{"SEM-1","SEM-2","SEM-3","SEM-4"},""))</f>
        <v>SEM-3</v>
      </c>
      <c r="G1197" s="3">
        <v>56</v>
      </c>
      <c r="H1197" s="3">
        <v>2</v>
      </c>
      <c r="I1197" s="3">
        <v>14</v>
      </c>
      <c r="J1197" s="3">
        <f t="shared" si="54"/>
        <v>72</v>
      </c>
      <c r="K1197" s="3" t="str">
        <f t="shared" si="55"/>
        <v>F</v>
      </c>
      <c r="L1197" s="3" t="str">
        <f t="shared" si="56"/>
        <v>FAIL</v>
      </c>
    </row>
    <row r="1198" spans="1:12" ht="14.25" customHeight="1">
      <c r="A1198" s="3">
        <v>1197</v>
      </c>
      <c r="B1198" s="3" t="s">
        <v>4398</v>
      </c>
      <c r="C1198" s="3" t="s">
        <v>1477</v>
      </c>
      <c r="D1198" s="3">
        <v>9876544697</v>
      </c>
      <c r="E1198" s="3" t="s">
        <v>4418</v>
      </c>
      <c r="F1198" s="3" t="str" cm="1">
        <f t="array" ref="F1198">IF(E1198="","",_xlfn.XLOOKUP(E1198,{"FIRST","SECOND","THIRD","FOURTH"},{"SEM-1","SEM-2","SEM-3","SEM-4"},""))</f>
        <v>SEM-1</v>
      </c>
      <c r="G1198" s="3">
        <v>67</v>
      </c>
      <c r="H1198" s="3">
        <v>97</v>
      </c>
      <c r="I1198" s="3">
        <v>68</v>
      </c>
      <c r="J1198" s="3">
        <f t="shared" si="54"/>
        <v>232</v>
      </c>
      <c r="K1198" s="3" t="str">
        <f t="shared" si="55"/>
        <v>P</v>
      </c>
      <c r="L1198" s="3" t="str">
        <f t="shared" si="56"/>
        <v>A</v>
      </c>
    </row>
    <row r="1199" spans="1:12" ht="14.25" customHeight="1">
      <c r="A1199" s="3">
        <v>1198</v>
      </c>
      <c r="B1199" s="3" t="s">
        <v>3686</v>
      </c>
      <c r="C1199" s="3" t="s">
        <v>779</v>
      </c>
      <c r="D1199" s="3">
        <v>9876543985</v>
      </c>
      <c r="E1199" s="3" t="s">
        <v>4419</v>
      </c>
      <c r="F1199" s="3" t="str" cm="1">
        <f t="array" ref="F1199">IF(E1199="","",_xlfn.XLOOKUP(E1199,{"FIRST","SECOND","THIRD","FOURTH"},{"SEM-1","SEM-2","SEM-3","SEM-4"},""))</f>
        <v>SEM-2</v>
      </c>
      <c r="G1199" s="3">
        <v>6</v>
      </c>
      <c r="H1199" s="3">
        <v>27</v>
      </c>
      <c r="I1199" s="3">
        <v>70</v>
      </c>
      <c r="J1199" s="3">
        <f t="shared" si="54"/>
        <v>103</v>
      </c>
      <c r="K1199" s="3" t="str">
        <f t="shared" si="55"/>
        <v>P</v>
      </c>
      <c r="L1199" s="3" t="str">
        <f t="shared" si="56"/>
        <v>FAIL</v>
      </c>
    </row>
    <row r="1200" spans="1:12" ht="14.25" customHeight="1">
      <c r="A1200" s="3">
        <v>1199</v>
      </c>
      <c r="B1200" s="3" t="s">
        <v>4134</v>
      </c>
      <c r="C1200" s="3" t="s">
        <v>1219</v>
      </c>
      <c r="D1200" s="3">
        <v>9876544433</v>
      </c>
      <c r="E1200" s="3" t="s">
        <v>4419</v>
      </c>
      <c r="F1200" s="3" t="str" cm="1">
        <f t="array" ref="F1200">IF(E1200="","",_xlfn.XLOOKUP(E1200,{"FIRST","SECOND","THIRD","FOURTH"},{"SEM-1","SEM-2","SEM-3","SEM-4"},""))</f>
        <v>SEM-2</v>
      </c>
      <c r="G1200" s="3">
        <v>33</v>
      </c>
      <c r="H1200" s="3">
        <v>24</v>
      </c>
      <c r="I1200" s="3">
        <v>56</v>
      </c>
      <c r="J1200" s="3">
        <f t="shared" si="54"/>
        <v>113</v>
      </c>
      <c r="K1200" s="3" t="str">
        <f t="shared" si="55"/>
        <v>F</v>
      </c>
      <c r="L1200" s="3" t="str">
        <f t="shared" si="56"/>
        <v>FAIL</v>
      </c>
    </row>
    <row r="1201" spans="1:12" ht="14.25" customHeight="1">
      <c r="A1201" s="3">
        <v>1200</v>
      </c>
      <c r="B1201" s="3" t="s">
        <v>3533</v>
      </c>
      <c r="C1201" s="3" t="s">
        <v>628</v>
      </c>
      <c r="D1201" s="3">
        <v>9876543832</v>
      </c>
      <c r="E1201" s="3" t="s">
        <v>4419</v>
      </c>
      <c r="F1201" s="3" t="str" cm="1">
        <f t="array" ref="F1201">IF(E1201="","",_xlfn.XLOOKUP(E1201,{"FIRST","SECOND","THIRD","FOURTH"},{"SEM-1","SEM-2","SEM-3","SEM-4"},""))</f>
        <v>SEM-2</v>
      </c>
      <c r="G1201" s="3">
        <v>97</v>
      </c>
      <c r="H1201" s="3">
        <v>67</v>
      </c>
      <c r="I1201" s="3">
        <v>98</v>
      </c>
      <c r="J1201" s="3">
        <f t="shared" si="54"/>
        <v>262</v>
      </c>
      <c r="K1201" s="3" t="str">
        <f t="shared" si="55"/>
        <v>P</v>
      </c>
      <c r="L1201" s="3" t="str">
        <f t="shared" si="56"/>
        <v>A</v>
      </c>
    </row>
    <row r="1202" spans="1:12" ht="14.25" customHeight="1">
      <c r="A1202" s="3">
        <v>1201</v>
      </c>
      <c r="B1202" s="3" t="s">
        <v>3709</v>
      </c>
      <c r="C1202" s="3" t="s">
        <v>802</v>
      </c>
      <c r="D1202" s="3">
        <v>9876544008</v>
      </c>
      <c r="E1202" s="3" t="s">
        <v>4420</v>
      </c>
      <c r="F1202" s="3" t="str" cm="1">
        <f t="array" ref="F1202">IF(E1202="","",_xlfn.XLOOKUP(E1202,{"FIRST","SECOND","THIRD","FOURTH"},{"SEM-1","SEM-2","SEM-3","SEM-4"},""))</f>
        <v>SEM-3</v>
      </c>
      <c r="G1202" s="3">
        <v>81</v>
      </c>
      <c r="H1202" s="3">
        <v>11</v>
      </c>
      <c r="I1202" s="3">
        <v>64</v>
      </c>
      <c r="J1202" s="3">
        <f t="shared" si="54"/>
        <v>156</v>
      </c>
      <c r="K1202" s="3" t="str">
        <f t="shared" si="55"/>
        <v>P</v>
      </c>
      <c r="L1202" s="3" t="str">
        <f t="shared" si="56"/>
        <v>B</v>
      </c>
    </row>
    <row r="1203" spans="1:12" ht="14.25" customHeight="1">
      <c r="A1203" s="3">
        <v>1202</v>
      </c>
      <c r="B1203" s="3" t="s">
        <v>4356</v>
      </c>
      <c r="C1203" s="3" t="s">
        <v>1435</v>
      </c>
      <c r="D1203" s="3">
        <v>9876544655</v>
      </c>
      <c r="E1203" s="3" t="s">
        <v>4419</v>
      </c>
      <c r="F1203" s="3" t="str" cm="1">
        <f t="array" ref="F1203">IF(E1203="","",_xlfn.XLOOKUP(E1203,{"FIRST","SECOND","THIRD","FOURTH"},{"SEM-1","SEM-2","SEM-3","SEM-4"},""))</f>
        <v>SEM-2</v>
      </c>
      <c r="G1203" s="3">
        <v>32</v>
      </c>
      <c r="H1203" s="3">
        <v>59</v>
      </c>
      <c r="I1203" s="3">
        <v>78</v>
      </c>
      <c r="J1203" s="3">
        <f t="shared" si="54"/>
        <v>169</v>
      </c>
      <c r="K1203" s="3" t="str">
        <f t="shared" si="55"/>
        <v>P</v>
      </c>
      <c r="L1203" s="3" t="str">
        <f t="shared" si="56"/>
        <v>B</v>
      </c>
    </row>
    <row r="1204" spans="1:12" ht="14.25" customHeight="1">
      <c r="A1204" s="3">
        <v>1203</v>
      </c>
      <c r="B1204" s="3" t="s">
        <v>3767</v>
      </c>
      <c r="C1204" s="3" t="s">
        <v>860</v>
      </c>
      <c r="D1204" s="3">
        <v>9876544066</v>
      </c>
      <c r="E1204" s="3" t="s">
        <v>4418</v>
      </c>
      <c r="F1204" s="3" t="str" cm="1">
        <f t="array" ref="F1204">IF(E1204="","",_xlfn.XLOOKUP(E1204,{"FIRST","SECOND","THIRD","FOURTH"},{"SEM-1","SEM-2","SEM-3","SEM-4"},""))</f>
        <v>SEM-1</v>
      </c>
      <c r="G1204" s="3">
        <v>76</v>
      </c>
      <c r="H1204" s="3">
        <v>37</v>
      </c>
      <c r="I1204" s="3">
        <v>30</v>
      </c>
      <c r="J1204" s="3">
        <f t="shared" si="54"/>
        <v>143</v>
      </c>
      <c r="K1204" s="3" t="str">
        <f t="shared" si="55"/>
        <v>P</v>
      </c>
      <c r="L1204" s="3" t="str">
        <f t="shared" si="56"/>
        <v>C</v>
      </c>
    </row>
    <row r="1205" spans="1:12" ht="14.25" customHeight="1">
      <c r="A1205" s="3">
        <v>1204</v>
      </c>
      <c r="B1205" s="3" t="s">
        <v>3863</v>
      </c>
      <c r="C1205" s="3" t="s">
        <v>955</v>
      </c>
      <c r="D1205" s="3">
        <v>9876544162</v>
      </c>
      <c r="E1205" s="3" t="s">
        <v>4420</v>
      </c>
      <c r="F1205" s="3" t="str" cm="1">
        <f t="array" ref="F1205">IF(E1205="","",_xlfn.XLOOKUP(E1205,{"FIRST","SECOND","THIRD","FOURTH"},{"SEM-1","SEM-2","SEM-3","SEM-4"},""))</f>
        <v>SEM-3</v>
      </c>
      <c r="G1205" s="3">
        <v>77</v>
      </c>
      <c r="H1205" s="3">
        <v>0</v>
      </c>
      <c r="I1205" s="3">
        <v>50</v>
      </c>
      <c r="J1205" s="3">
        <f t="shared" si="54"/>
        <v>127</v>
      </c>
      <c r="K1205" s="3" t="str">
        <f t="shared" si="55"/>
        <v>P</v>
      </c>
      <c r="L1205" s="3" t="str">
        <f t="shared" si="56"/>
        <v>C</v>
      </c>
    </row>
    <row r="1206" spans="1:12" ht="14.25" customHeight="1">
      <c r="A1206" s="3">
        <v>1205</v>
      </c>
      <c r="B1206" s="3" t="s">
        <v>4282</v>
      </c>
      <c r="C1206" s="3" t="s">
        <v>1363</v>
      </c>
      <c r="D1206" s="3">
        <v>9876544581</v>
      </c>
      <c r="E1206" s="3" t="s">
        <v>4418</v>
      </c>
      <c r="F1206" s="3" t="str" cm="1">
        <f t="array" ref="F1206">IF(E1206="","",_xlfn.XLOOKUP(E1206,{"FIRST","SECOND","THIRD","FOURTH"},{"SEM-1","SEM-2","SEM-3","SEM-4"},""))</f>
        <v>SEM-1</v>
      </c>
      <c r="G1206" s="3">
        <v>100</v>
      </c>
      <c r="H1206" s="3">
        <v>21</v>
      </c>
      <c r="I1206" s="3">
        <v>32</v>
      </c>
      <c r="J1206" s="3">
        <f t="shared" si="54"/>
        <v>153</v>
      </c>
      <c r="K1206" s="3" t="str">
        <f t="shared" si="55"/>
        <v>P</v>
      </c>
      <c r="L1206" s="3" t="str">
        <f t="shared" si="56"/>
        <v>B</v>
      </c>
    </row>
    <row r="1207" spans="1:12" ht="14.25" customHeight="1">
      <c r="A1207" s="3">
        <v>1206</v>
      </c>
      <c r="B1207" s="3" t="s">
        <v>3739</v>
      </c>
      <c r="C1207" s="3" t="s">
        <v>832</v>
      </c>
      <c r="D1207" s="3">
        <v>9876544038</v>
      </c>
      <c r="E1207" s="3" t="s">
        <v>4420</v>
      </c>
      <c r="F1207" s="3" t="str" cm="1">
        <f t="array" ref="F1207">IF(E1207="","",_xlfn.XLOOKUP(E1207,{"FIRST","SECOND","THIRD","FOURTH"},{"SEM-1","SEM-2","SEM-3","SEM-4"},""))</f>
        <v>SEM-3</v>
      </c>
      <c r="G1207" s="3">
        <v>58</v>
      </c>
      <c r="H1207" s="3">
        <v>12</v>
      </c>
      <c r="I1207" s="3">
        <v>93</v>
      </c>
      <c r="J1207" s="3">
        <f t="shared" si="54"/>
        <v>163</v>
      </c>
      <c r="K1207" s="3" t="str">
        <f t="shared" si="55"/>
        <v>P</v>
      </c>
      <c r="L1207" s="3" t="str">
        <f t="shared" si="56"/>
        <v>B</v>
      </c>
    </row>
    <row r="1208" spans="1:12" ht="14.25" customHeight="1">
      <c r="A1208" s="3">
        <v>1207</v>
      </c>
      <c r="B1208" s="3" t="s">
        <v>3742</v>
      </c>
      <c r="C1208" s="3" t="s">
        <v>835</v>
      </c>
      <c r="D1208" s="3">
        <v>9876544041</v>
      </c>
      <c r="E1208" s="3" t="s">
        <v>4419</v>
      </c>
      <c r="F1208" s="3" t="str" cm="1">
        <f t="array" ref="F1208">IF(E1208="","",_xlfn.XLOOKUP(E1208,{"FIRST","SECOND","THIRD","FOURTH"},{"SEM-1","SEM-2","SEM-3","SEM-4"},""))</f>
        <v>SEM-2</v>
      </c>
      <c r="G1208" s="3">
        <v>10</v>
      </c>
      <c r="H1208" s="3">
        <v>13</v>
      </c>
      <c r="I1208" s="3">
        <v>30</v>
      </c>
      <c r="J1208" s="3">
        <f t="shared" si="54"/>
        <v>53</v>
      </c>
      <c r="K1208" s="3" t="str">
        <f t="shared" si="55"/>
        <v>F</v>
      </c>
      <c r="L1208" s="3" t="str">
        <f t="shared" si="56"/>
        <v>FAIL</v>
      </c>
    </row>
    <row r="1209" spans="1:12" ht="14.25" customHeight="1">
      <c r="A1209" s="3">
        <v>1208</v>
      </c>
      <c r="B1209" s="3" t="s">
        <v>4064</v>
      </c>
      <c r="C1209" s="3" t="s">
        <v>835</v>
      </c>
      <c r="D1209" s="3">
        <v>9876544363</v>
      </c>
      <c r="E1209" s="3" t="s">
        <v>4418</v>
      </c>
      <c r="F1209" s="3" t="str" cm="1">
        <f t="array" ref="F1209">IF(E1209="","",_xlfn.XLOOKUP(E1209,{"FIRST","SECOND","THIRD","FOURTH"},{"SEM-1","SEM-2","SEM-3","SEM-4"},""))</f>
        <v>SEM-1</v>
      </c>
      <c r="G1209" s="3">
        <v>74</v>
      </c>
      <c r="H1209" s="3">
        <v>43</v>
      </c>
      <c r="I1209" s="3">
        <v>14</v>
      </c>
      <c r="J1209" s="3">
        <f t="shared" si="54"/>
        <v>131</v>
      </c>
      <c r="K1209" s="3" t="str">
        <f t="shared" si="55"/>
        <v>P</v>
      </c>
      <c r="L1209" s="3" t="str">
        <f t="shared" si="56"/>
        <v>C</v>
      </c>
    </row>
    <row r="1210" spans="1:12" ht="14.25" customHeight="1">
      <c r="A1210" s="3">
        <v>1209</v>
      </c>
      <c r="B1210" s="3" t="s">
        <v>3788</v>
      </c>
      <c r="C1210" s="3" t="s">
        <v>880</v>
      </c>
      <c r="D1210" s="3">
        <v>9876544087</v>
      </c>
      <c r="E1210" s="3" t="s">
        <v>4418</v>
      </c>
      <c r="F1210" s="3" t="str" cm="1">
        <f t="array" ref="F1210">IF(E1210="","",_xlfn.XLOOKUP(E1210,{"FIRST","SECOND","THIRD","FOURTH"},{"SEM-1","SEM-2","SEM-3","SEM-4"},""))</f>
        <v>SEM-1</v>
      </c>
      <c r="G1210" s="3">
        <v>48</v>
      </c>
      <c r="H1210" s="3">
        <v>44</v>
      </c>
      <c r="I1210" s="3">
        <v>36</v>
      </c>
      <c r="J1210" s="3">
        <f t="shared" si="54"/>
        <v>128</v>
      </c>
      <c r="K1210" s="3" t="str">
        <f t="shared" si="55"/>
        <v>P</v>
      </c>
      <c r="L1210" s="3" t="str">
        <f t="shared" si="56"/>
        <v>C</v>
      </c>
    </row>
    <row r="1211" spans="1:12" ht="14.25" customHeight="1">
      <c r="A1211" s="3">
        <v>1210</v>
      </c>
      <c r="B1211" s="3" t="s">
        <v>2939</v>
      </c>
      <c r="C1211" s="3" t="s">
        <v>37</v>
      </c>
      <c r="D1211" s="3">
        <v>9876543238</v>
      </c>
      <c r="E1211" s="3" t="s">
        <v>4420</v>
      </c>
      <c r="F1211" s="3" t="str" cm="1">
        <f t="array" ref="F1211">IF(E1211="","",_xlfn.XLOOKUP(E1211,{"FIRST","SECOND","THIRD","FOURTH"},{"SEM-1","SEM-2","SEM-3","SEM-4"},""))</f>
        <v>SEM-3</v>
      </c>
      <c r="G1211" s="3">
        <v>18</v>
      </c>
      <c r="H1211" s="3">
        <v>58</v>
      </c>
      <c r="I1211" s="3">
        <v>75</v>
      </c>
      <c r="J1211" s="3">
        <f t="shared" si="54"/>
        <v>151</v>
      </c>
      <c r="K1211" s="3" t="str">
        <f t="shared" si="55"/>
        <v>P</v>
      </c>
      <c r="L1211" s="3" t="str">
        <f t="shared" si="56"/>
        <v>B</v>
      </c>
    </row>
    <row r="1212" spans="1:12" ht="14.25" customHeight="1">
      <c r="A1212" s="3">
        <v>1211</v>
      </c>
      <c r="B1212" s="3" t="s">
        <v>3941</v>
      </c>
      <c r="C1212" s="3" t="s">
        <v>1031</v>
      </c>
      <c r="D1212" s="3">
        <v>9876544240</v>
      </c>
      <c r="E1212" s="3" t="s">
        <v>4418</v>
      </c>
      <c r="F1212" s="3" t="str" cm="1">
        <f t="array" ref="F1212">IF(E1212="","",_xlfn.XLOOKUP(E1212,{"FIRST","SECOND","THIRD","FOURTH"},{"SEM-1","SEM-2","SEM-3","SEM-4"},""))</f>
        <v>SEM-1</v>
      </c>
      <c r="G1212" s="3">
        <v>78</v>
      </c>
      <c r="H1212" s="3">
        <v>27</v>
      </c>
      <c r="I1212" s="3">
        <v>87</v>
      </c>
      <c r="J1212" s="3">
        <f t="shared" si="54"/>
        <v>192</v>
      </c>
      <c r="K1212" s="3" t="str">
        <f t="shared" si="55"/>
        <v>P</v>
      </c>
      <c r="L1212" s="3" t="str">
        <f t="shared" si="56"/>
        <v>A</v>
      </c>
    </row>
    <row r="1213" spans="1:12" ht="14.25" customHeight="1">
      <c r="A1213" s="3">
        <v>1212</v>
      </c>
      <c r="B1213" s="3" t="s">
        <v>3093</v>
      </c>
      <c r="C1213" s="3" t="s">
        <v>191</v>
      </c>
      <c r="D1213" s="3">
        <v>9876543392</v>
      </c>
      <c r="E1213" s="3" t="s">
        <v>4418</v>
      </c>
      <c r="F1213" s="3" t="str" cm="1">
        <f t="array" ref="F1213">IF(E1213="","",_xlfn.XLOOKUP(E1213,{"FIRST","SECOND","THIRD","FOURTH"},{"SEM-1","SEM-2","SEM-3","SEM-4"},""))</f>
        <v>SEM-1</v>
      </c>
      <c r="G1213" s="3">
        <v>33</v>
      </c>
      <c r="H1213" s="3">
        <v>20</v>
      </c>
      <c r="I1213" s="3">
        <v>76</v>
      </c>
      <c r="J1213" s="3">
        <f t="shared" si="54"/>
        <v>129</v>
      </c>
      <c r="K1213" s="3" t="str">
        <f t="shared" si="55"/>
        <v>P</v>
      </c>
      <c r="L1213" s="3" t="str">
        <f t="shared" si="56"/>
        <v>C</v>
      </c>
    </row>
    <row r="1214" spans="1:12" ht="14.25" customHeight="1">
      <c r="A1214" s="3">
        <v>1213</v>
      </c>
      <c r="B1214" s="3" t="s">
        <v>3702</v>
      </c>
      <c r="C1214" s="3" t="s">
        <v>795</v>
      </c>
      <c r="D1214" s="3">
        <v>9876544001</v>
      </c>
      <c r="E1214" s="3" t="s">
        <v>4418</v>
      </c>
      <c r="F1214" s="3" t="str" cm="1">
        <f t="array" ref="F1214">IF(E1214="","",_xlfn.XLOOKUP(E1214,{"FIRST","SECOND","THIRD","FOURTH"},{"SEM-1","SEM-2","SEM-3","SEM-4"},""))</f>
        <v>SEM-1</v>
      </c>
      <c r="G1214" s="3">
        <v>15</v>
      </c>
      <c r="H1214" s="3">
        <v>45</v>
      </c>
      <c r="I1214" s="3">
        <v>46</v>
      </c>
      <c r="J1214" s="3">
        <f t="shared" si="54"/>
        <v>106</v>
      </c>
      <c r="K1214" s="3" t="str">
        <f t="shared" si="55"/>
        <v>F</v>
      </c>
      <c r="L1214" s="3" t="str">
        <f t="shared" si="56"/>
        <v>FAIL</v>
      </c>
    </row>
    <row r="1215" spans="1:12" ht="14.25" customHeight="1">
      <c r="A1215" s="3">
        <v>1214</v>
      </c>
      <c r="B1215" s="3" t="s">
        <v>3643</v>
      </c>
      <c r="C1215" s="3" t="s">
        <v>737</v>
      </c>
      <c r="D1215" s="3">
        <v>9876543942</v>
      </c>
      <c r="E1215" s="3" t="s">
        <v>4420</v>
      </c>
      <c r="F1215" s="3" t="str" cm="1">
        <f t="array" ref="F1215">IF(E1215="","",_xlfn.XLOOKUP(E1215,{"FIRST","SECOND","THIRD","FOURTH"},{"SEM-1","SEM-2","SEM-3","SEM-4"},""))</f>
        <v>SEM-3</v>
      </c>
      <c r="G1215" s="3">
        <v>61</v>
      </c>
      <c r="H1215" s="3">
        <v>27</v>
      </c>
      <c r="I1215" s="3">
        <v>1</v>
      </c>
      <c r="J1215" s="3">
        <f t="shared" si="54"/>
        <v>89</v>
      </c>
      <c r="K1215" s="3" t="str">
        <f t="shared" si="55"/>
        <v>F</v>
      </c>
      <c r="L1215" s="3" t="str">
        <f t="shared" si="56"/>
        <v>FAIL</v>
      </c>
    </row>
    <row r="1216" spans="1:12" ht="14.25" customHeight="1">
      <c r="A1216" s="3">
        <v>1215</v>
      </c>
      <c r="B1216" s="3" t="s">
        <v>3440</v>
      </c>
      <c r="C1216" s="3" t="s">
        <v>536</v>
      </c>
      <c r="D1216" s="3">
        <v>9876543739</v>
      </c>
      <c r="E1216" s="3" t="s">
        <v>4419</v>
      </c>
      <c r="F1216" s="3" t="str" cm="1">
        <f t="array" ref="F1216">IF(E1216="","",_xlfn.XLOOKUP(E1216,{"FIRST","SECOND","THIRD","FOURTH"},{"SEM-1","SEM-2","SEM-3","SEM-4"},""))</f>
        <v>SEM-2</v>
      </c>
      <c r="G1216" s="3">
        <v>74</v>
      </c>
      <c r="H1216" s="3">
        <v>92</v>
      </c>
      <c r="I1216" s="3">
        <v>58</v>
      </c>
      <c r="J1216" s="3">
        <f t="shared" si="54"/>
        <v>224</v>
      </c>
      <c r="K1216" s="3" t="str">
        <f t="shared" si="55"/>
        <v>P</v>
      </c>
      <c r="L1216" s="3" t="str">
        <f t="shared" si="56"/>
        <v>A</v>
      </c>
    </row>
    <row r="1217" spans="1:12" ht="14.25" customHeight="1">
      <c r="A1217" s="3">
        <v>1216</v>
      </c>
      <c r="B1217" s="3" t="s">
        <v>3343</v>
      </c>
      <c r="C1217" s="3" t="s">
        <v>439</v>
      </c>
      <c r="D1217" s="3">
        <v>9876543642</v>
      </c>
      <c r="E1217" s="3" t="s">
        <v>4418</v>
      </c>
      <c r="F1217" s="3" t="str" cm="1">
        <f t="array" ref="F1217">IF(E1217="","",_xlfn.XLOOKUP(E1217,{"FIRST","SECOND","THIRD","FOURTH"},{"SEM-1","SEM-2","SEM-3","SEM-4"},""))</f>
        <v>SEM-1</v>
      </c>
      <c r="G1217" s="3">
        <v>57</v>
      </c>
      <c r="H1217" s="3">
        <v>29</v>
      </c>
      <c r="I1217" s="3">
        <v>63</v>
      </c>
      <c r="J1217" s="3">
        <f t="shared" si="54"/>
        <v>149</v>
      </c>
      <c r="K1217" s="3" t="str">
        <f t="shared" si="55"/>
        <v>P</v>
      </c>
      <c r="L1217" s="3" t="str">
        <f t="shared" si="56"/>
        <v>C</v>
      </c>
    </row>
    <row r="1218" spans="1:12" ht="14.25" customHeight="1">
      <c r="A1218" s="3">
        <v>1217</v>
      </c>
      <c r="B1218" s="3" t="s">
        <v>4043</v>
      </c>
      <c r="C1218" s="3" t="s">
        <v>439</v>
      </c>
      <c r="D1218" s="3">
        <v>9876544342</v>
      </c>
      <c r="E1218" s="3" t="s">
        <v>4418</v>
      </c>
      <c r="F1218" s="3" t="str" cm="1">
        <f t="array" ref="F1218">IF(E1218="","",_xlfn.XLOOKUP(E1218,{"FIRST","SECOND","THIRD","FOURTH"},{"SEM-1","SEM-2","SEM-3","SEM-4"},""))</f>
        <v>SEM-1</v>
      </c>
      <c r="G1218" s="3">
        <v>32</v>
      </c>
      <c r="H1218" s="3">
        <v>24</v>
      </c>
      <c r="I1218" s="3">
        <v>70</v>
      </c>
      <c r="J1218" s="3">
        <f t="shared" ref="J1218:J1281" si="57">SUM(G1218:I1218)</f>
        <v>126</v>
      </c>
      <c r="K1218" s="3" t="str">
        <f t="shared" ref="K1218:K1281" si="58">IF(OR(G1218&gt;=70,H1218&gt;=70,I1218&gt;=70,J1218&gt;=120),"P","F")</f>
        <v>P</v>
      </c>
      <c r="L1218" s="3" t="str">
        <f t="shared" ref="L1218:L1281" si="59">IF(J1218&gt;=190,"A",IF(J1218&gt;=150,"B",IF(J1218&gt;=120,"C","FAIL")))</f>
        <v>C</v>
      </c>
    </row>
    <row r="1219" spans="1:12" ht="14.25" customHeight="1">
      <c r="A1219" s="3">
        <v>1218</v>
      </c>
      <c r="B1219" s="3" t="s">
        <v>3481</v>
      </c>
      <c r="C1219" s="3" t="s">
        <v>577</v>
      </c>
      <c r="D1219" s="3">
        <v>9876543780</v>
      </c>
      <c r="E1219" s="3" t="s">
        <v>4418</v>
      </c>
      <c r="F1219" s="3" t="str" cm="1">
        <f t="array" ref="F1219">IF(E1219="","",_xlfn.XLOOKUP(E1219,{"FIRST","SECOND","THIRD","FOURTH"},{"SEM-1","SEM-2","SEM-3","SEM-4"},""))</f>
        <v>SEM-1</v>
      </c>
      <c r="G1219" s="3">
        <v>40</v>
      </c>
      <c r="H1219" s="3">
        <v>0</v>
      </c>
      <c r="I1219" s="3">
        <v>13</v>
      </c>
      <c r="J1219" s="3">
        <f t="shared" si="57"/>
        <v>53</v>
      </c>
      <c r="K1219" s="3" t="str">
        <f t="shared" si="58"/>
        <v>F</v>
      </c>
      <c r="L1219" s="3" t="str">
        <f t="shared" si="59"/>
        <v>FAIL</v>
      </c>
    </row>
    <row r="1220" spans="1:12" ht="14.25" customHeight="1">
      <c r="A1220" s="3">
        <v>1219</v>
      </c>
      <c r="B1220" s="3" t="s">
        <v>2942</v>
      </c>
      <c r="C1220" s="3" t="s">
        <v>40</v>
      </c>
      <c r="D1220" s="3">
        <v>9876543241</v>
      </c>
      <c r="E1220" s="3" t="s">
        <v>4419</v>
      </c>
      <c r="F1220" s="3" t="str" cm="1">
        <f t="array" ref="F1220">IF(E1220="","",_xlfn.XLOOKUP(E1220,{"FIRST","SECOND","THIRD","FOURTH"},{"SEM-1","SEM-2","SEM-3","SEM-4"},""))</f>
        <v>SEM-2</v>
      </c>
      <c r="G1220" s="3">
        <v>26</v>
      </c>
      <c r="H1220" s="3">
        <v>46</v>
      </c>
      <c r="I1220" s="3">
        <v>74</v>
      </c>
      <c r="J1220" s="3">
        <f t="shared" si="57"/>
        <v>146</v>
      </c>
      <c r="K1220" s="3" t="str">
        <f t="shared" si="58"/>
        <v>P</v>
      </c>
      <c r="L1220" s="3" t="str">
        <f t="shared" si="59"/>
        <v>C</v>
      </c>
    </row>
    <row r="1221" spans="1:12" ht="14.25" customHeight="1">
      <c r="A1221" s="3">
        <v>1220</v>
      </c>
      <c r="B1221" s="3" t="s">
        <v>3701</v>
      </c>
      <c r="C1221" s="3" t="s">
        <v>794</v>
      </c>
      <c r="D1221" s="3">
        <v>9876544000</v>
      </c>
      <c r="E1221" s="3" t="s">
        <v>4420</v>
      </c>
      <c r="F1221" s="3" t="str" cm="1">
        <f t="array" ref="F1221">IF(E1221="","",_xlfn.XLOOKUP(E1221,{"FIRST","SECOND","THIRD","FOURTH"},{"SEM-1","SEM-2","SEM-3","SEM-4"},""))</f>
        <v>SEM-3</v>
      </c>
      <c r="G1221" s="3">
        <v>29</v>
      </c>
      <c r="H1221" s="3">
        <v>74</v>
      </c>
      <c r="I1221" s="3">
        <v>24</v>
      </c>
      <c r="J1221" s="3">
        <f t="shared" si="57"/>
        <v>127</v>
      </c>
      <c r="K1221" s="3" t="str">
        <f t="shared" si="58"/>
        <v>P</v>
      </c>
      <c r="L1221" s="3" t="str">
        <f t="shared" si="59"/>
        <v>C</v>
      </c>
    </row>
    <row r="1222" spans="1:12" ht="14.25" customHeight="1">
      <c r="A1222" s="3">
        <v>1221</v>
      </c>
      <c r="B1222" s="3" t="s">
        <v>3523</v>
      </c>
      <c r="C1222" s="3" t="s">
        <v>618</v>
      </c>
      <c r="D1222" s="3">
        <v>9876543822</v>
      </c>
      <c r="E1222" s="3" t="s">
        <v>4418</v>
      </c>
      <c r="F1222" s="3" t="str" cm="1">
        <f t="array" ref="F1222">IF(E1222="","",_xlfn.XLOOKUP(E1222,{"FIRST","SECOND","THIRD","FOURTH"},{"SEM-1","SEM-2","SEM-3","SEM-4"},""))</f>
        <v>SEM-1</v>
      </c>
      <c r="G1222" s="3">
        <v>7</v>
      </c>
      <c r="H1222" s="3">
        <v>2</v>
      </c>
      <c r="I1222" s="3">
        <v>86</v>
      </c>
      <c r="J1222" s="3">
        <f t="shared" si="57"/>
        <v>95</v>
      </c>
      <c r="K1222" s="3" t="str">
        <f t="shared" si="58"/>
        <v>P</v>
      </c>
      <c r="L1222" s="3" t="str">
        <f t="shared" si="59"/>
        <v>FAIL</v>
      </c>
    </row>
    <row r="1223" spans="1:12" ht="14.25" customHeight="1">
      <c r="A1223" s="3">
        <v>1222</v>
      </c>
      <c r="B1223" s="3" t="s">
        <v>4399</v>
      </c>
      <c r="C1223" s="3" t="s">
        <v>1478</v>
      </c>
      <c r="D1223" s="3">
        <v>9876544698</v>
      </c>
      <c r="E1223" s="3" t="s">
        <v>4418</v>
      </c>
      <c r="F1223" s="3" t="str" cm="1">
        <f t="array" ref="F1223">IF(E1223="","",_xlfn.XLOOKUP(E1223,{"FIRST","SECOND","THIRD","FOURTH"},{"SEM-1","SEM-2","SEM-3","SEM-4"},""))</f>
        <v>SEM-1</v>
      </c>
      <c r="G1223" s="3">
        <v>5</v>
      </c>
      <c r="H1223" s="3">
        <v>56</v>
      </c>
      <c r="I1223" s="3">
        <v>84</v>
      </c>
      <c r="J1223" s="3">
        <f t="shared" si="57"/>
        <v>145</v>
      </c>
      <c r="K1223" s="3" t="str">
        <f t="shared" si="58"/>
        <v>P</v>
      </c>
      <c r="L1223" s="3" t="str">
        <f t="shared" si="59"/>
        <v>C</v>
      </c>
    </row>
    <row r="1224" spans="1:12" ht="14.25" customHeight="1">
      <c r="A1224" s="3">
        <v>1223</v>
      </c>
      <c r="B1224" s="3" t="s">
        <v>3209</v>
      </c>
      <c r="C1224" s="3" t="s">
        <v>307</v>
      </c>
      <c r="D1224" s="3">
        <v>9876543508</v>
      </c>
      <c r="E1224" s="3" t="s">
        <v>4419</v>
      </c>
      <c r="F1224" s="3" t="str" cm="1">
        <f t="array" ref="F1224">IF(E1224="","",_xlfn.XLOOKUP(E1224,{"FIRST","SECOND","THIRD","FOURTH"},{"SEM-1","SEM-2","SEM-3","SEM-4"},""))</f>
        <v>SEM-2</v>
      </c>
      <c r="G1224" s="3">
        <v>73</v>
      </c>
      <c r="H1224" s="3">
        <v>36</v>
      </c>
      <c r="I1224" s="3">
        <v>3</v>
      </c>
      <c r="J1224" s="3">
        <f t="shared" si="57"/>
        <v>112</v>
      </c>
      <c r="K1224" s="3" t="str">
        <f t="shared" si="58"/>
        <v>P</v>
      </c>
      <c r="L1224" s="3" t="str">
        <f t="shared" si="59"/>
        <v>FAIL</v>
      </c>
    </row>
    <row r="1225" spans="1:12" ht="14.25" customHeight="1">
      <c r="A1225" s="3">
        <v>1224</v>
      </c>
      <c r="B1225" s="3" t="s">
        <v>3664</v>
      </c>
      <c r="C1225" s="3" t="s">
        <v>757</v>
      </c>
      <c r="D1225" s="3">
        <v>9876543963</v>
      </c>
      <c r="E1225" s="3" t="s">
        <v>4418</v>
      </c>
      <c r="F1225" s="3" t="str" cm="1">
        <f t="array" ref="F1225">IF(E1225="","",_xlfn.XLOOKUP(E1225,{"FIRST","SECOND","THIRD","FOURTH"},{"SEM-1","SEM-2","SEM-3","SEM-4"},""))</f>
        <v>SEM-1</v>
      </c>
      <c r="G1225" s="3">
        <v>72</v>
      </c>
      <c r="H1225" s="3">
        <v>45</v>
      </c>
      <c r="I1225" s="3">
        <v>21</v>
      </c>
      <c r="J1225" s="3">
        <f t="shared" si="57"/>
        <v>138</v>
      </c>
      <c r="K1225" s="3" t="str">
        <f t="shared" si="58"/>
        <v>P</v>
      </c>
      <c r="L1225" s="3" t="str">
        <f t="shared" si="59"/>
        <v>C</v>
      </c>
    </row>
    <row r="1226" spans="1:12" ht="14.25" customHeight="1">
      <c r="A1226" s="3">
        <v>1225</v>
      </c>
      <c r="B1226" s="3" t="s">
        <v>3542</v>
      </c>
      <c r="C1226" s="3" t="s">
        <v>636</v>
      </c>
      <c r="D1226" s="3">
        <v>9876543841</v>
      </c>
      <c r="E1226" s="3" t="s">
        <v>4419</v>
      </c>
      <c r="F1226" s="3" t="str" cm="1">
        <f t="array" ref="F1226">IF(E1226="","",_xlfn.XLOOKUP(E1226,{"FIRST","SECOND","THIRD","FOURTH"},{"SEM-1","SEM-2","SEM-3","SEM-4"},""))</f>
        <v>SEM-2</v>
      </c>
      <c r="G1226" s="3">
        <v>49</v>
      </c>
      <c r="H1226" s="3">
        <v>58</v>
      </c>
      <c r="I1226" s="3">
        <v>96</v>
      </c>
      <c r="J1226" s="3">
        <f t="shared" si="57"/>
        <v>203</v>
      </c>
      <c r="K1226" s="3" t="str">
        <f t="shared" si="58"/>
        <v>P</v>
      </c>
      <c r="L1226" s="3" t="str">
        <f t="shared" si="59"/>
        <v>A</v>
      </c>
    </row>
    <row r="1227" spans="1:12" ht="14.25" customHeight="1">
      <c r="A1227" s="3">
        <v>1226</v>
      </c>
      <c r="B1227" s="3" t="s">
        <v>3323</v>
      </c>
      <c r="C1227" s="3" t="s">
        <v>419</v>
      </c>
      <c r="D1227" s="3">
        <v>9876543622</v>
      </c>
      <c r="E1227" s="3" t="s">
        <v>4419</v>
      </c>
      <c r="F1227" s="3" t="str" cm="1">
        <f t="array" ref="F1227">IF(E1227="","",_xlfn.XLOOKUP(E1227,{"FIRST","SECOND","THIRD","FOURTH"},{"SEM-1","SEM-2","SEM-3","SEM-4"},""))</f>
        <v>SEM-2</v>
      </c>
      <c r="G1227" s="3">
        <v>55</v>
      </c>
      <c r="H1227" s="3">
        <v>61</v>
      </c>
      <c r="I1227" s="3">
        <v>9</v>
      </c>
      <c r="J1227" s="3">
        <f t="shared" si="57"/>
        <v>125</v>
      </c>
      <c r="K1227" s="3" t="str">
        <f t="shared" si="58"/>
        <v>P</v>
      </c>
      <c r="L1227" s="3" t="str">
        <f t="shared" si="59"/>
        <v>C</v>
      </c>
    </row>
    <row r="1228" spans="1:12" ht="14.25" customHeight="1">
      <c r="A1228" s="3">
        <v>1227</v>
      </c>
      <c r="B1228" s="3" t="s">
        <v>3983</v>
      </c>
      <c r="C1228" s="3" t="s">
        <v>1073</v>
      </c>
      <c r="D1228" s="3">
        <v>9876544282</v>
      </c>
      <c r="E1228" s="3" t="s">
        <v>4418</v>
      </c>
      <c r="F1228" s="3" t="str" cm="1">
        <f t="array" ref="F1228">IF(E1228="","",_xlfn.XLOOKUP(E1228,{"FIRST","SECOND","THIRD","FOURTH"},{"SEM-1","SEM-2","SEM-3","SEM-4"},""))</f>
        <v>SEM-1</v>
      </c>
      <c r="G1228" s="3">
        <v>51</v>
      </c>
      <c r="H1228" s="3">
        <v>2</v>
      </c>
      <c r="I1228" s="3">
        <v>66</v>
      </c>
      <c r="J1228" s="3">
        <f t="shared" si="57"/>
        <v>119</v>
      </c>
      <c r="K1228" s="3" t="str">
        <f t="shared" si="58"/>
        <v>F</v>
      </c>
      <c r="L1228" s="3" t="str">
        <f t="shared" si="59"/>
        <v>FAIL</v>
      </c>
    </row>
    <row r="1229" spans="1:12" ht="14.25" customHeight="1">
      <c r="A1229" s="3">
        <v>1228</v>
      </c>
      <c r="B1229" s="3" t="s">
        <v>4080</v>
      </c>
      <c r="C1229" s="3" t="s">
        <v>1166</v>
      </c>
      <c r="D1229" s="3">
        <v>9876544379</v>
      </c>
      <c r="E1229" s="3" t="s">
        <v>4420</v>
      </c>
      <c r="F1229" s="3" t="str" cm="1">
        <f t="array" ref="F1229">IF(E1229="","",_xlfn.XLOOKUP(E1229,{"FIRST","SECOND","THIRD","FOURTH"},{"SEM-1","SEM-2","SEM-3","SEM-4"},""))</f>
        <v>SEM-3</v>
      </c>
      <c r="G1229" s="3">
        <v>59</v>
      </c>
      <c r="H1229" s="3">
        <v>31</v>
      </c>
      <c r="I1229" s="3">
        <v>57</v>
      </c>
      <c r="J1229" s="3">
        <f t="shared" si="57"/>
        <v>147</v>
      </c>
      <c r="K1229" s="3" t="str">
        <f t="shared" si="58"/>
        <v>P</v>
      </c>
      <c r="L1229" s="3" t="str">
        <f t="shared" si="59"/>
        <v>C</v>
      </c>
    </row>
    <row r="1230" spans="1:12" ht="14.25" customHeight="1">
      <c r="A1230" s="3">
        <v>1229</v>
      </c>
      <c r="B1230" s="3" t="s">
        <v>3891</v>
      </c>
      <c r="C1230" s="3" t="s">
        <v>982</v>
      </c>
      <c r="D1230" s="3">
        <v>9876544190</v>
      </c>
      <c r="E1230" s="3" t="s">
        <v>4419</v>
      </c>
      <c r="F1230" s="3" t="str" cm="1">
        <f t="array" ref="F1230">IF(E1230="","",_xlfn.XLOOKUP(E1230,{"FIRST","SECOND","THIRD","FOURTH"},{"SEM-1","SEM-2","SEM-3","SEM-4"},""))</f>
        <v>SEM-2</v>
      </c>
      <c r="G1230" s="3">
        <v>47</v>
      </c>
      <c r="H1230" s="3">
        <v>10</v>
      </c>
      <c r="I1230" s="3">
        <v>17</v>
      </c>
      <c r="J1230" s="3">
        <f t="shared" si="57"/>
        <v>74</v>
      </c>
      <c r="K1230" s="3" t="str">
        <f t="shared" si="58"/>
        <v>F</v>
      </c>
      <c r="L1230" s="3" t="str">
        <f t="shared" si="59"/>
        <v>FAIL</v>
      </c>
    </row>
    <row r="1231" spans="1:12" ht="14.25" customHeight="1">
      <c r="A1231" s="3">
        <v>1230</v>
      </c>
      <c r="B1231" s="3" t="s">
        <v>2919</v>
      </c>
      <c r="C1231" s="3" t="s">
        <v>17</v>
      </c>
      <c r="D1231" s="3">
        <v>9876543218</v>
      </c>
      <c r="E1231" s="3" t="s">
        <v>4418</v>
      </c>
      <c r="F1231" s="3" t="str" cm="1">
        <f t="array" ref="F1231">IF(E1231="","",_xlfn.XLOOKUP(E1231,{"FIRST","SECOND","THIRD","FOURTH"},{"SEM-1","SEM-2","SEM-3","SEM-4"},""))</f>
        <v>SEM-1</v>
      </c>
      <c r="G1231" s="3">
        <v>19</v>
      </c>
      <c r="H1231" s="3">
        <v>51</v>
      </c>
      <c r="I1231" s="3">
        <v>98</v>
      </c>
      <c r="J1231" s="3">
        <f t="shared" si="57"/>
        <v>168</v>
      </c>
      <c r="K1231" s="3" t="str">
        <f t="shared" si="58"/>
        <v>P</v>
      </c>
      <c r="L1231" s="3" t="str">
        <f t="shared" si="59"/>
        <v>B</v>
      </c>
    </row>
    <row r="1232" spans="1:12" ht="14.25" customHeight="1">
      <c r="A1232" s="3">
        <v>1231</v>
      </c>
      <c r="B1232" s="3" t="s">
        <v>2980</v>
      </c>
      <c r="C1232" s="3" t="s">
        <v>78</v>
      </c>
      <c r="D1232" s="3">
        <v>9876543279</v>
      </c>
      <c r="E1232" s="3" t="s">
        <v>4419</v>
      </c>
      <c r="F1232" s="3" t="str" cm="1">
        <f t="array" ref="F1232">IF(E1232="","",_xlfn.XLOOKUP(E1232,{"FIRST","SECOND","THIRD","FOURTH"},{"SEM-1","SEM-2","SEM-3","SEM-4"},""))</f>
        <v>SEM-2</v>
      </c>
      <c r="G1232" s="3">
        <v>30</v>
      </c>
      <c r="H1232" s="3">
        <v>25</v>
      </c>
      <c r="I1232" s="3">
        <v>94</v>
      </c>
      <c r="J1232" s="3">
        <f t="shared" si="57"/>
        <v>149</v>
      </c>
      <c r="K1232" s="3" t="str">
        <f t="shared" si="58"/>
        <v>P</v>
      </c>
      <c r="L1232" s="3" t="str">
        <f t="shared" si="59"/>
        <v>C</v>
      </c>
    </row>
    <row r="1233" spans="1:12" ht="14.25" customHeight="1">
      <c r="A1233" s="3">
        <v>1232</v>
      </c>
      <c r="B1233" s="3" t="s">
        <v>3454</v>
      </c>
      <c r="C1233" s="3" t="s">
        <v>550</v>
      </c>
      <c r="D1233" s="3">
        <v>9876543753</v>
      </c>
      <c r="E1233" s="3" t="s">
        <v>4420</v>
      </c>
      <c r="F1233" s="3" t="str" cm="1">
        <f t="array" ref="F1233">IF(E1233="","",_xlfn.XLOOKUP(E1233,{"FIRST","SECOND","THIRD","FOURTH"},{"SEM-1","SEM-2","SEM-3","SEM-4"},""))</f>
        <v>SEM-3</v>
      </c>
      <c r="G1233" s="3">
        <v>42</v>
      </c>
      <c r="H1233" s="3">
        <v>18</v>
      </c>
      <c r="I1233" s="3">
        <v>11</v>
      </c>
      <c r="J1233" s="3">
        <f t="shared" si="57"/>
        <v>71</v>
      </c>
      <c r="K1233" s="3" t="str">
        <f t="shared" si="58"/>
        <v>F</v>
      </c>
      <c r="L1233" s="3" t="str">
        <f t="shared" si="59"/>
        <v>FAIL</v>
      </c>
    </row>
    <row r="1234" spans="1:12" ht="14.25" customHeight="1">
      <c r="A1234" s="3">
        <v>1233</v>
      </c>
      <c r="B1234" s="3" t="s">
        <v>3056</v>
      </c>
      <c r="C1234" s="3" t="s">
        <v>154</v>
      </c>
      <c r="D1234" s="3">
        <v>9876543355</v>
      </c>
      <c r="E1234" s="3" t="s">
        <v>4419</v>
      </c>
      <c r="F1234" s="3" t="str" cm="1">
        <f t="array" ref="F1234">IF(E1234="","",_xlfn.XLOOKUP(E1234,{"FIRST","SECOND","THIRD","FOURTH"},{"SEM-1","SEM-2","SEM-3","SEM-4"},""))</f>
        <v>SEM-2</v>
      </c>
      <c r="G1234" s="3">
        <v>65</v>
      </c>
      <c r="H1234" s="3">
        <v>61</v>
      </c>
      <c r="I1234" s="3">
        <v>70</v>
      </c>
      <c r="J1234" s="3">
        <f t="shared" si="57"/>
        <v>196</v>
      </c>
      <c r="K1234" s="3" t="str">
        <f t="shared" si="58"/>
        <v>P</v>
      </c>
      <c r="L1234" s="3" t="str">
        <f t="shared" si="59"/>
        <v>A</v>
      </c>
    </row>
    <row r="1235" spans="1:12" ht="14.25" customHeight="1">
      <c r="A1235" s="3">
        <v>1234</v>
      </c>
      <c r="B1235" s="3" t="s">
        <v>3668</v>
      </c>
      <c r="C1235" s="3" t="s">
        <v>761</v>
      </c>
      <c r="D1235" s="3">
        <v>9876543967</v>
      </c>
      <c r="E1235" s="3" t="s">
        <v>4418</v>
      </c>
      <c r="F1235" s="3" t="str" cm="1">
        <f t="array" ref="F1235">IF(E1235="","",_xlfn.XLOOKUP(E1235,{"FIRST","SECOND","THIRD","FOURTH"},{"SEM-1","SEM-2","SEM-3","SEM-4"},""))</f>
        <v>SEM-1</v>
      </c>
      <c r="G1235" s="3">
        <v>54</v>
      </c>
      <c r="H1235" s="3">
        <v>80</v>
      </c>
      <c r="I1235" s="3">
        <v>41</v>
      </c>
      <c r="J1235" s="3">
        <f t="shared" si="57"/>
        <v>175</v>
      </c>
      <c r="K1235" s="3" t="str">
        <f t="shared" si="58"/>
        <v>P</v>
      </c>
      <c r="L1235" s="3" t="str">
        <f t="shared" si="59"/>
        <v>B</v>
      </c>
    </row>
    <row r="1236" spans="1:12" ht="14.25" customHeight="1">
      <c r="A1236" s="3">
        <v>1235</v>
      </c>
      <c r="B1236" s="3" t="s">
        <v>3500</v>
      </c>
      <c r="C1236" s="3" t="s">
        <v>595</v>
      </c>
      <c r="D1236" s="3">
        <v>9876543799</v>
      </c>
      <c r="E1236" s="3" t="s">
        <v>4420</v>
      </c>
      <c r="F1236" s="3" t="str" cm="1">
        <f t="array" ref="F1236">IF(E1236="","",_xlfn.XLOOKUP(E1236,{"FIRST","SECOND","THIRD","FOURTH"},{"SEM-1","SEM-2","SEM-3","SEM-4"},""))</f>
        <v>SEM-3</v>
      </c>
      <c r="G1236" s="3">
        <v>26</v>
      </c>
      <c r="H1236" s="3">
        <v>65</v>
      </c>
      <c r="I1236" s="3">
        <v>81</v>
      </c>
      <c r="J1236" s="3">
        <f t="shared" si="57"/>
        <v>172</v>
      </c>
      <c r="K1236" s="3" t="str">
        <f t="shared" si="58"/>
        <v>P</v>
      </c>
      <c r="L1236" s="3" t="str">
        <f t="shared" si="59"/>
        <v>B</v>
      </c>
    </row>
    <row r="1237" spans="1:12" ht="14.25" customHeight="1">
      <c r="A1237" s="3">
        <v>1236</v>
      </c>
      <c r="B1237" s="3" t="s">
        <v>3674</v>
      </c>
      <c r="C1237" s="3" t="s">
        <v>767</v>
      </c>
      <c r="D1237" s="3">
        <v>9876543973</v>
      </c>
      <c r="E1237" s="3" t="s">
        <v>4419</v>
      </c>
      <c r="F1237" s="3" t="str" cm="1">
        <f t="array" ref="F1237">IF(E1237="","",_xlfn.XLOOKUP(E1237,{"FIRST","SECOND","THIRD","FOURTH"},{"SEM-1","SEM-2","SEM-3","SEM-4"},""))</f>
        <v>SEM-2</v>
      </c>
      <c r="G1237" s="3">
        <v>64</v>
      </c>
      <c r="H1237" s="3">
        <v>82</v>
      </c>
      <c r="I1237" s="3">
        <v>92</v>
      </c>
      <c r="J1237" s="3">
        <f t="shared" si="57"/>
        <v>238</v>
      </c>
      <c r="K1237" s="3" t="str">
        <f t="shared" si="58"/>
        <v>P</v>
      </c>
      <c r="L1237" s="3" t="str">
        <f t="shared" si="59"/>
        <v>A</v>
      </c>
    </row>
    <row r="1238" spans="1:12" ht="14.25" customHeight="1">
      <c r="A1238" s="3">
        <v>1237</v>
      </c>
      <c r="B1238" s="3" t="s">
        <v>3820</v>
      </c>
      <c r="C1238" s="3" t="s">
        <v>912</v>
      </c>
      <c r="D1238" s="3">
        <v>9876544119</v>
      </c>
      <c r="E1238" s="3" t="s">
        <v>4418</v>
      </c>
      <c r="F1238" s="3" t="str" cm="1">
        <f t="array" ref="F1238">IF(E1238="","",_xlfn.XLOOKUP(E1238,{"FIRST","SECOND","THIRD","FOURTH"},{"SEM-1","SEM-2","SEM-3","SEM-4"},""))</f>
        <v>SEM-1</v>
      </c>
      <c r="G1238" s="3">
        <v>76</v>
      </c>
      <c r="H1238" s="3">
        <v>70</v>
      </c>
      <c r="I1238" s="3">
        <v>13</v>
      </c>
      <c r="J1238" s="3">
        <f t="shared" si="57"/>
        <v>159</v>
      </c>
      <c r="K1238" s="3" t="str">
        <f t="shared" si="58"/>
        <v>P</v>
      </c>
      <c r="L1238" s="3" t="str">
        <f t="shared" si="59"/>
        <v>B</v>
      </c>
    </row>
    <row r="1239" spans="1:12" ht="14.25" customHeight="1">
      <c r="A1239" s="3">
        <v>1238</v>
      </c>
      <c r="B1239" s="3" t="s">
        <v>3051</v>
      </c>
      <c r="C1239" s="3" t="s">
        <v>149</v>
      </c>
      <c r="D1239" s="3">
        <v>9876543350</v>
      </c>
      <c r="E1239" s="3" t="s">
        <v>4418</v>
      </c>
      <c r="F1239" s="3" t="str" cm="1">
        <f t="array" ref="F1239">IF(E1239="","",_xlfn.XLOOKUP(E1239,{"FIRST","SECOND","THIRD","FOURTH"},{"SEM-1","SEM-2","SEM-3","SEM-4"},""))</f>
        <v>SEM-1</v>
      </c>
      <c r="G1239" s="3">
        <v>90</v>
      </c>
      <c r="H1239" s="3">
        <v>70</v>
      </c>
      <c r="I1239" s="3">
        <v>54</v>
      </c>
      <c r="J1239" s="3">
        <f t="shared" si="57"/>
        <v>214</v>
      </c>
      <c r="K1239" s="3" t="str">
        <f t="shared" si="58"/>
        <v>P</v>
      </c>
      <c r="L1239" s="3" t="str">
        <f t="shared" si="59"/>
        <v>A</v>
      </c>
    </row>
    <row r="1240" spans="1:12" ht="14.25" customHeight="1">
      <c r="A1240" s="3">
        <v>1239</v>
      </c>
      <c r="B1240" s="3" t="s">
        <v>3046</v>
      </c>
      <c r="C1240" s="3" t="s">
        <v>144</v>
      </c>
      <c r="D1240" s="3">
        <v>9876543345</v>
      </c>
      <c r="E1240" s="3" t="s">
        <v>4418</v>
      </c>
      <c r="F1240" s="3" t="str" cm="1">
        <f t="array" ref="F1240">IF(E1240="","",_xlfn.XLOOKUP(E1240,{"FIRST","SECOND","THIRD","FOURTH"},{"SEM-1","SEM-2","SEM-3","SEM-4"},""))</f>
        <v>SEM-1</v>
      </c>
      <c r="G1240" s="3">
        <v>95</v>
      </c>
      <c r="H1240" s="3">
        <v>89</v>
      </c>
      <c r="I1240" s="3">
        <v>30</v>
      </c>
      <c r="J1240" s="3">
        <f t="shared" si="57"/>
        <v>214</v>
      </c>
      <c r="K1240" s="3" t="str">
        <f t="shared" si="58"/>
        <v>P</v>
      </c>
      <c r="L1240" s="3" t="str">
        <f t="shared" si="59"/>
        <v>A</v>
      </c>
    </row>
    <row r="1241" spans="1:12" ht="14.25" customHeight="1">
      <c r="A1241" s="3">
        <v>1240</v>
      </c>
      <c r="B1241" s="3" t="s">
        <v>3645</v>
      </c>
      <c r="C1241" s="3" t="s">
        <v>739</v>
      </c>
      <c r="D1241" s="3">
        <v>9876543944</v>
      </c>
      <c r="E1241" s="3" t="s">
        <v>4420</v>
      </c>
      <c r="F1241" s="3" t="str" cm="1">
        <f t="array" ref="F1241">IF(E1241="","",_xlfn.XLOOKUP(E1241,{"FIRST","SECOND","THIRD","FOURTH"},{"SEM-1","SEM-2","SEM-3","SEM-4"},""))</f>
        <v>SEM-3</v>
      </c>
      <c r="G1241" s="3">
        <v>46</v>
      </c>
      <c r="H1241" s="3">
        <v>0</v>
      </c>
      <c r="I1241" s="3">
        <v>31</v>
      </c>
      <c r="J1241" s="3">
        <f t="shared" si="57"/>
        <v>77</v>
      </c>
      <c r="K1241" s="3" t="str">
        <f t="shared" si="58"/>
        <v>F</v>
      </c>
      <c r="L1241" s="3" t="str">
        <f t="shared" si="59"/>
        <v>FAIL</v>
      </c>
    </row>
    <row r="1242" spans="1:12" ht="14.25" customHeight="1">
      <c r="A1242" s="3">
        <v>1241</v>
      </c>
      <c r="B1242" s="3" t="s">
        <v>4265</v>
      </c>
      <c r="C1242" s="3" t="s">
        <v>739</v>
      </c>
      <c r="D1242" s="3">
        <v>9876544564</v>
      </c>
      <c r="E1242" s="3" t="s">
        <v>4418</v>
      </c>
      <c r="F1242" s="3" t="str" cm="1">
        <f t="array" ref="F1242">IF(E1242="","",_xlfn.XLOOKUP(E1242,{"FIRST","SECOND","THIRD","FOURTH"},{"SEM-1","SEM-2","SEM-3","SEM-4"},""))</f>
        <v>SEM-1</v>
      </c>
      <c r="G1242" s="3">
        <v>20</v>
      </c>
      <c r="H1242" s="3">
        <v>63</v>
      </c>
      <c r="I1242" s="3">
        <v>48</v>
      </c>
      <c r="J1242" s="3">
        <f t="shared" si="57"/>
        <v>131</v>
      </c>
      <c r="K1242" s="3" t="str">
        <f t="shared" si="58"/>
        <v>P</v>
      </c>
      <c r="L1242" s="3" t="str">
        <f t="shared" si="59"/>
        <v>C</v>
      </c>
    </row>
    <row r="1243" spans="1:12" ht="14.25" customHeight="1">
      <c r="A1243" s="3">
        <v>1242</v>
      </c>
      <c r="B1243" s="3" t="s">
        <v>3495</v>
      </c>
      <c r="C1243" s="3" t="s">
        <v>590</v>
      </c>
      <c r="D1243" s="3">
        <v>9876543794</v>
      </c>
      <c r="E1243" s="3" t="s">
        <v>4419</v>
      </c>
      <c r="F1243" s="3" t="str" cm="1">
        <f t="array" ref="F1243">IF(E1243="","",_xlfn.XLOOKUP(E1243,{"FIRST","SECOND","THIRD","FOURTH"},{"SEM-1","SEM-2","SEM-3","SEM-4"},""))</f>
        <v>SEM-2</v>
      </c>
      <c r="G1243" s="3">
        <v>82</v>
      </c>
      <c r="H1243" s="3">
        <v>49</v>
      </c>
      <c r="I1243" s="3">
        <v>47</v>
      </c>
      <c r="J1243" s="3">
        <f t="shared" si="57"/>
        <v>178</v>
      </c>
      <c r="K1243" s="3" t="str">
        <f t="shared" si="58"/>
        <v>P</v>
      </c>
      <c r="L1243" s="3" t="str">
        <f t="shared" si="59"/>
        <v>B</v>
      </c>
    </row>
    <row r="1244" spans="1:12" ht="14.25" customHeight="1">
      <c r="A1244" s="3">
        <v>1243</v>
      </c>
      <c r="B1244" s="3" t="s">
        <v>3185</v>
      </c>
      <c r="C1244" s="3" t="s">
        <v>283</v>
      </c>
      <c r="D1244" s="3">
        <v>9876543484</v>
      </c>
      <c r="E1244" s="3" t="s">
        <v>4419</v>
      </c>
      <c r="F1244" s="3" t="str" cm="1">
        <f t="array" ref="F1244">IF(E1244="","",_xlfn.XLOOKUP(E1244,{"FIRST","SECOND","THIRD","FOURTH"},{"SEM-1","SEM-2","SEM-3","SEM-4"},""))</f>
        <v>SEM-2</v>
      </c>
      <c r="G1244" s="3">
        <v>62</v>
      </c>
      <c r="H1244" s="3">
        <v>81</v>
      </c>
      <c r="I1244" s="3">
        <v>9</v>
      </c>
      <c r="J1244" s="3">
        <f t="shared" si="57"/>
        <v>152</v>
      </c>
      <c r="K1244" s="3" t="str">
        <f t="shared" si="58"/>
        <v>P</v>
      </c>
      <c r="L1244" s="3" t="str">
        <f t="shared" si="59"/>
        <v>B</v>
      </c>
    </row>
    <row r="1245" spans="1:12" ht="14.25" customHeight="1">
      <c r="A1245" s="3">
        <v>1244</v>
      </c>
      <c r="B1245" s="3" t="s">
        <v>3745</v>
      </c>
      <c r="C1245" s="3" t="s">
        <v>838</v>
      </c>
      <c r="D1245" s="3">
        <v>9876544044</v>
      </c>
      <c r="E1245" s="3" t="s">
        <v>4418</v>
      </c>
      <c r="F1245" s="3" t="str" cm="1">
        <f t="array" ref="F1245">IF(E1245="","",_xlfn.XLOOKUP(E1245,{"FIRST","SECOND","THIRD","FOURTH"},{"SEM-1","SEM-2","SEM-3","SEM-4"},""))</f>
        <v>SEM-1</v>
      </c>
      <c r="G1245" s="3">
        <v>83</v>
      </c>
      <c r="H1245" s="3">
        <v>76</v>
      </c>
      <c r="I1245" s="3">
        <v>22</v>
      </c>
      <c r="J1245" s="3">
        <f t="shared" si="57"/>
        <v>181</v>
      </c>
      <c r="K1245" s="3" t="str">
        <f t="shared" si="58"/>
        <v>P</v>
      </c>
      <c r="L1245" s="3" t="str">
        <f t="shared" si="59"/>
        <v>B</v>
      </c>
    </row>
    <row r="1246" spans="1:12" ht="14.25" customHeight="1">
      <c r="A1246" s="3">
        <v>1245</v>
      </c>
      <c r="B1246" s="3" t="s">
        <v>2962</v>
      </c>
      <c r="C1246" s="3" t="s">
        <v>60</v>
      </c>
      <c r="D1246" s="3">
        <v>9876543261</v>
      </c>
      <c r="E1246" s="3" t="s">
        <v>4420</v>
      </c>
      <c r="F1246" s="3" t="str" cm="1">
        <f t="array" ref="F1246">IF(E1246="","",_xlfn.XLOOKUP(E1246,{"FIRST","SECOND","THIRD","FOURTH"},{"SEM-1","SEM-2","SEM-3","SEM-4"},""))</f>
        <v>SEM-3</v>
      </c>
      <c r="G1246" s="3">
        <v>32</v>
      </c>
      <c r="H1246" s="3">
        <v>61</v>
      </c>
      <c r="I1246" s="3">
        <v>60</v>
      </c>
      <c r="J1246" s="3">
        <f t="shared" si="57"/>
        <v>153</v>
      </c>
      <c r="K1246" s="3" t="str">
        <f t="shared" si="58"/>
        <v>P</v>
      </c>
      <c r="L1246" s="3" t="str">
        <f t="shared" si="59"/>
        <v>B</v>
      </c>
    </row>
    <row r="1247" spans="1:12" ht="14.25" customHeight="1">
      <c r="A1247" s="3">
        <v>1246</v>
      </c>
      <c r="B1247" s="3" t="s">
        <v>3633</v>
      </c>
      <c r="C1247" s="3" t="s">
        <v>727</v>
      </c>
      <c r="D1247" s="3">
        <v>9876543932</v>
      </c>
      <c r="E1247" s="3" t="s">
        <v>4420</v>
      </c>
      <c r="F1247" s="3" t="str" cm="1">
        <f t="array" ref="F1247">IF(E1247="","",_xlfn.XLOOKUP(E1247,{"FIRST","SECOND","THIRD","FOURTH"},{"SEM-1","SEM-2","SEM-3","SEM-4"},""))</f>
        <v>SEM-3</v>
      </c>
      <c r="G1247" s="3">
        <v>10</v>
      </c>
      <c r="H1247" s="3">
        <v>81</v>
      </c>
      <c r="I1247" s="3">
        <v>47</v>
      </c>
      <c r="J1247" s="3">
        <f t="shared" si="57"/>
        <v>138</v>
      </c>
      <c r="K1247" s="3" t="str">
        <f t="shared" si="58"/>
        <v>P</v>
      </c>
      <c r="L1247" s="3" t="str">
        <f t="shared" si="59"/>
        <v>C</v>
      </c>
    </row>
    <row r="1248" spans="1:12" ht="14.25" customHeight="1">
      <c r="A1248" s="3">
        <v>1247</v>
      </c>
      <c r="B1248" s="3" t="s">
        <v>3872</v>
      </c>
      <c r="C1248" s="3" t="s">
        <v>963</v>
      </c>
      <c r="D1248" s="3">
        <v>9876544171</v>
      </c>
      <c r="E1248" s="3" t="s">
        <v>4420</v>
      </c>
      <c r="F1248" s="3" t="str" cm="1">
        <f t="array" ref="F1248">IF(E1248="","",_xlfn.XLOOKUP(E1248,{"FIRST","SECOND","THIRD","FOURTH"},{"SEM-1","SEM-2","SEM-3","SEM-4"},""))</f>
        <v>SEM-3</v>
      </c>
      <c r="G1248" s="3">
        <v>33</v>
      </c>
      <c r="H1248" s="3">
        <v>92</v>
      </c>
      <c r="I1248" s="3">
        <v>12</v>
      </c>
      <c r="J1248" s="3">
        <f t="shared" si="57"/>
        <v>137</v>
      </c>
      <c r="K1248" s="3" t="str">
        <f t="shared" si="58"/>
        <v>P</v>
      </c>
      <c r="L1248" s="3" t="str">
        <f t="shared" si="59"/>
        <v>C</v>
      </c>
    </row>
    <row r="1249" spans="1:12" ht="14.25" customHeight="1">
      <c r="A1249" s="3">
        <v>1248</v>
      </c>
      <c r="B1249" s="3" t="s">
        <v>4342</v>
      </c>
      <c r="C1249" s="3" t="s">
        <v>1421</v>
      </c>
      <c r="D1249" s="3">
        <v>9876544641</v>
      </c>
      <c r="E1249" s="3" t="s">
        <v>4420</v>
      </c>
      <c r="F1249" s="3" t="str" cm="1">
        <f t="array" ref="F1249">IF(E1249="","",_xlfn.XLOOKUP(E1249,{"FIRST","SECOND","THIRD","FOURTH"},{"SEM-1","SEM-2","SEM-3","SEM-4"},""))</f>
        <v>SEM-3</v>
      </c>
      <c r="G1249" s="3">
        <v>31</v>
      </c>
      <c r="H1249" s="3">
        <v>68</v>
      </c>
      <c r="I1249" s="3">
        <v>98</v>
      </c>
      <c r="J1249" s="3">
        <f t="shared" si="57"/>
        <v>197</v>
      </c>
      <c r="K1249" s="3" t="str">
        <f t="shared" si="58"/>
        <v>P</v>
      </c>
      <c r="L1249" s="3" t="str">
        <f t="shared" si="59"/>
        <v>A</v>
      </c>
    </row>
    <row r="1250" spans="1:12" ht="14.25" customHeight="1">
      <c r="A1250" s="3">
        <v>1249</v>
      </c>
      <c r="B1250" s="3" t="s">
        <v>4164</v>
      </c>
      <c r="C1250" s="3" t="s">
        <v>1249</v>
      </c>
      <c r="D1250" s="3">
        <v>9876544463</v>
      </c>
      <c r="E1250" s="3" t="s">
        <v>4419</v>
      </c>
      <c r="F1250" s="3" t="str" cm="1">
        <f t="array" ref="F1250">IF(E1250="","",_xlfn.XLOOKUP(E1250,{"FIRST","SECOND","THIRD","FOURTH"},{"SEM-1","SEM-2","SEM-3","SEM-4"},""))</f>
        <v>SEM-2</v>
      </c>
      <c r="G1250" s="3">
        <v>46</v>
      </c>
      <c r="H1250" s="3">
        <v>83</v>
      </c>
      <c r="I1250" s="3">
        <v>40</v>
      </c>
      <c r="J1250" s="3">
        <f t="shared" si="57"/>
        <v>169</v>
      </c>
      <c r="K1250" s="3" t="str">
        <f t="shared" si="58"/>
        <v>P</v>
      </c>
      <c r="L1250" s="3" t="str">
        <f t="shared" si="59"/>
        <v>B</v>
      </c>
    </row>
    <row r="1251" spans="1:12" ht="14.25" customHeight="1">
      <c r="A1251" s="3">
        <v>1250</v>
      </c>
      <c r="B1251" s="3" t="s">
        <v>3799</v>
      </c>
      <c r="C1251" s="3" t="s">
        <v>891</v>
      </c>
      <c r="D1251" s="3">
        <v>9876544098</v>
      </c>
      <c r="E1251" s="3" t="s">
        <v>4419</v>
      </c>
      <c r="F1251" s="3" t="str" cm="1">
        <f t="array" ref="F1251">IF(E1251="","",_xlfn.XLOOKUP(E1251,{"FIRST","SECOND","THIRD","FOURTH"},{"SEM-1","SEM-2","SEM-3","SEM-4"},""))</f>
        <v>SEM-2</v>
      </c>
      <c r="G1251" s="3">
        <v>49</v>
      </c>
      <c r="H1251" s="3">
        <v>21</v>
      </c>
      <c r="I1251" s="3">
        <v>24</v>
      </c>
      <c r="J1251" s="3">
        <f t="shared" si="57"/>
        <v>94</v>
      </c>
      <c r="K1251" s="3" t="str">
        <f t="shared" si="58"/>
        <v>F</v>
      </c>
      <c r="L1251" s="3" t="str">
        <f t="shared" si="59"/>
        <v>FAIL</v>
      </c>
    </row>
    <row r="1252" spans="1:12" ht="14.25" customHeight="1">
      <c r="A1252" s="3">
        <v>1251</v>
      </c>
      <c r="B1252" s="3" t="s">
        <v>3242</v>
      </c>
      <c r="C1252" s="3" t="s">
        <v>339</v>
      </c>
      <c r="D1252" s="3">
        <v>9876543541</v>
      </c>
      <c r="E1252" s="3" t="s">
        <v>4418</v>
      </c>
      <c r="F1252" s="3" t="str" cm="1">
        <f t="array" ref="F1252">IF(E1252="","",_xlfn.XLOOKUP(E1252,{"FIRST","SECOND","THIRD","FOURTH"},{"SEM-1","SEM-2","SEM-3","SEM-4"},""))</f>
        <v>SEM-1</v>
      </c>
      <c r="G1252" s="3">
        <v>41</v>
      </c>
      <c r="H1252" s="3">
        <v>54</v>
      </c>
      <c r="I1252" s="3">
        <v>11</v>
      </c>
      <c r="J1252" s="3">
        <f t="shared" si="57"/>
        <v>106</v>
      </c>
      <c r="K1252" s="3" t="str">
        <f t="shared" si="58"/>
        <v>F</v>
      </c>
      <c r="L1252" s="3" t="str">
        <f t="shared" si="59"/>
        <v>FAIL</v>
      </c>
    </row>
    <row r="1253" spans="1:12" ht="14.25" customHeight="1">
      <c r="A1253" s="3">
        <v>1252</v>
      </c>
      <c r="B1253" s="3" t="s">
        <v>3453</v>
      </c>
      <c r="C1253" s="3" t="s">
        <v>549</v>
      </c>
      <c r="D1253" s="3">
        <v>9876543752</v>
      </c>
      <c r="E1253" s="3" t="s">
        <v>4419</v>
      </c>
      <c r="F1253" s="3" t="str" cm="1">
        <f t="array" ref="F1253">IF(E1253="","",_xlfn.XLOOKUP(E1253,{"FIRST","SECOND","THIRD","FOURTH"},{"SEM-1","SEM-2","SEM-3","SEM-4"},""))</f>
        <v>SEM-2</v>
      </c>
      <c r="G1253" s="3">
        <v>40</v>
      </c>
      <c r="H1253" s="3">
        <v>85</v>
      </c>
      <c r="I1253" s="3">
        <v>46</v>
      </c>
      <c r="J1253" s="3">
        <f t="shared" si="57"/>
        <v>171</v>
      </c>
      <c r="K1253" s="3" t="str">
        <f t="shared" si="58"/>
        <v>P</v>
      </c>
      <c r="L1253" s="3" t="str">
        <f t="shared" si="59"/>
        <v>B</v>
      </c>
    </row>
    <row r="1254" spans="1:12" ht="14.25" customHeight="1">
      <c r="A1254" s="3">
        <v>1253</v>
      </c>
      <c r="B1254" s="3" t="s">
        <v>4028</v>
      </c>
      <c r="C1254" s="3" t="s">
        <v>1117</v>
      </c>
      <c r="D1254" s="3">
        <v>9876544327</v>
      </c>
      <c r="E1254" s="3" t="s">
        <v>4420</v>
      </c>
      <c r="F1254" s="3" t="str" cm="1">
        <f t="array" ref="F1254">IF(E1254="","",_xlfn.XLOOKUP(E1254,{"FIRST","SECOND","THIRD","FOURTH"},{"SEM-1","SEM-2","SEM-3","SEM-4"},""))</f>
        <v>SEM-3</v>
      </c>
      <c r="G1254" s="3">
        <v>24</v>
      </c>
      <c r="H1254" s="3">
        <v>40</v>
      </c>
      <c r="I1254" s="3">
        <v>51</v>
      </c>
      <c r="J1254" s="3">
        <f t="shared" si="57"/>
        <v>115</v>
      </c>
      <c r="K1254" s="3" t="str">
        <f t="shared" si="58"/>
        <v>F</v>
      </c>
      <c r="L1254" s="3" t="str">
        <f t="shared" si="59"/>
        <v>FAIL</v>
      </c>
    </row>
    <row r="1255" spans="1:12" ht="14.25" customHeight="1">
      <c r="A1255" s="3">
        <v>1254</v>
      </c>
      <c r="B1255" s="3" t="s">
        <v>4215</v>
      </c>
      <c r="C1255" s="3" t="s">
        <v>1298</v>
      </c>
      <c r="D1255" s="3">
        <v>9876544514</v>
      </c>
      <c r="E1255" s="3" t="s">
        <v>4419</v>
      </c>
      <c r="F1255" s="3" t="str" cm="1">
        <f t="array" ref="F1255">IF(E1255="","",_xlfn.XLOOKUP(E1255,{"FIRST","SECOND","THIRD","FOURTH"},{"SEM-1","SEM-2","SEM-3","SEM-4"},""))</f>
        <v>SEM-2</v>
      </c>
      <c r="G1255" s="3">
        <v>74</v>
      </c>
      <c r="H1255" s="3">
        <v>87</v>
      </c>
      <c r="I1255" s="3">
        <v>2</v>
      </c>
      <c r="J1255" s="3">
        <f t="shared" si="57"/>
        <v>163</v>
      </c>
      <c r="K1255" s="3" t="str">
        <f t="shared" si="58"/>
        <v>P</v>
      </c>
      <c r="L1255" s="3" t="str">
        <f t="shared" si="59"/>
        <v>B</v>
      </c>
    </row>
    <row r="1256" spans="1:12" ht="14.25" customHeight="1">
      <c r="A1256" s="3">
        <v>1255</v>
      </c>
      <c r="B1256" s="3" t="s">
        <v>3356</v>
      </c>
      <c r="C1256" s="3" t="s">
        <v>452</v>
      </c>
      <c r="D1256" s="3">
        <v>9876543655</v>
      </c>
      <c r="E1256" s="3" t="s">
        <v>4419</v>
      </c>
      <c r="F1256" s="3" t="str" cm="1">
        <f t="array" ref="F1256">IF(E1256="","",_xlfn.XLOOKUP(E1256,{"FIRST","SECOND","THIRD","FOURTH"},{"SEM-1","SEM-2","SEM-3","SEM-4"},""))</f>
        <v>SEM-2</v>
      </c>
      <c r="G1256" s="3">
        <v>33</v>
      </c>
      <c r="H1256" s="3">
        <v>44</v>
      </c>
      <c r="I1256" s="3">
        <v>70</v>
      </c>
      <c r="J1256" s="3">
        <f t="shared" si="57"/>
        <v>147</v>
      </c>
      <c r="K1256" s="3" t="str">
        <f t="shared" si="58"/>
        <v>P</v>
      </c>
      <c r="L1256" s="3" t="str">
        <f t="shared" si="59"/>
        <v>C</v>
      </c>
    </row>
    <row r="1257" spans="1:12" ht="14.25" customHeight="1">
      <c r="A1257" s="3">
        <v>1256</v>
      </c>
      <c r="B1257" s="3" t="s">
        <v>4416</v>
      </c>
      <c r="C1257" s="3" t="s">
        <v>1495</v>
      </c>
      <c r="D1257" s="3">
        <v>9876544715</v>
      </c>
      <c r="E1257" s="3" t="s">
        <v>4418</v>
      </c>
      <c r="F1257" s="3" t="str" cm="1">
        <f t="array" ref="F1257">IF(E1257="","",_xlfn.XLOOKUP(E1257,{"FIRST","SECOND","THIRD","FOURTH"},{"SEM-1","SEM-2","SEM-3","SEM-4"},""))</f>
        <v>SEM-1</v>
      </c>
      <c r="G1257" s="3">
        <v>67</v>
      </c>
      <c r="H1257" s="3">
        <v>35</v>
      </c>
      <c r="I1257" s="3">
        <v>87</v>
      </c>
      <c r="J1257" s="3">
        <f t="shared" si="57"/>
        <v>189</v>
      </c>
      <c r="K1257" s="3" t="str">
        <f t="shared" si="58"/>
        <v>P</v>
      </c>
      <c r="L1257" s="3" t="str">
        <f t="shared" si="59"/>
        <v>B</v>
      </c>
    </row>
    <row r="1258" spans="1:12" ht="14.25" customHeight="1">
      <c r="A1258" s="3">
        <v>1257</v>
      </c>
      <c r="B1258" s="3" t="s">
        <v>3211</v>
      </c>
      <c r="C1258" s="3" t="s">
        <v>308</v>
      </c>
      <c r="D1258" s="3">
        <v>9876543510</v>
      </c>
      <c r="E1258" s="3" t="s">
        <v>4420</v>
      </c>
      <c r="F1258" s="3" t="str" cm="1">
        <f t="array" ref="F1258">IF(E1258="","",_xlfn.XLOOKUP(E1258,{"FIRST","SECOND","THIRD","FOURTH"},{"SEM-1","SEM-2","SEM-3","SEM-4"},""))</f>
        <v>SEM-3</v>
      </c>
      <c r="G1258" s="3">
        <v>54</v>
      </c>
      <c r="H1258" s="3">
        <v>69</v>
      </c>
      <c r="I1258" s="3">
        <v>59</v>
      </c>
      <c r="J1258" s="3">
        <f t="shared" si="57"/>
        <v>182</v>
      </c>
      <c r="K1258" s="3" t="str">
        <f t="shared" si="58"/>
        <v>P</v>
      </c>
      <c r="L1258" s="3" t="str">
        <f t="shared" si="59"/>
        <v>B</v>
      </c>
    </row>
    <row r="1259" spans="1:12" ht="14.25" customHeight="1">
      <c r="A1259" s="3">
        <v>1258</v>
      </c>
      <c r="B1259" s="3" t="s">
        <v>4162</v>
      </c>
      <c r="C1259" s="3" t="s">
        <v>1247</v>
      </c>
      <c r="D1259" s="3">
        <v>9876544461</v>
      </c>
      <c r="E1259" s="3" t="s">
        <v>4420</v>
      </c>
      <c r="F1259" s="3" t="str" cm="1">
        <f t="array" ref="F1259">IF(E1259="","",_xlfn.XLOOKUP(E1259,{"FIRST","SECOND","THIRD","FOURTH"},{"SEM-1","SEM-2","SEM-3","SEM-4"},""))</f>
        <v>SEM-3</v>
      </c>
      <c r="G1259" s="3">
        <v>90</v>
      </c>
      <c r="H1259" s="3">
        <v>8</v>
      </c>
      <c r="I1259" s="3">
        <v>27</v>
      </c>
      <c r="J1259" s="3">
        <f t="shared" si="57"/>
        <v>125</v>
      </c>
      <c r="K1259" s="3" t="str">
        <f t="shared" si="58"/>
        <v>P</v>
      </c>
      <c r="L1259" s="3" t="str">
        <f t="shared" si="59"/>
        <v>C</v>
      </c>
    </row>
    <row r="1260" spans="1:12" ht="14.25" customHeight="1">
      <c r="A1260" s="3">
        <v>1259</v>
      </c>
      <c r="B1260" s="3" t="s">
        <v>3565</v>
      </c>
      <c r="C1260" s="3" t="s">
        <v>659</v>
      </c>
      <c r="D1260" s="3">
        <v>9876543864</v>
      </c>
      <c r="E1260" s="3" t="s">
        <v>4420</v>
      </c>
      <c r="F1260" s="3" t="str" cm="1">
        <f t="array" ref="F1260">IF(E1260="","",_xlfn.XLOOKUP(E1260,{"FIRST","SECOND","THIRD","FOURTH"},{"SEM-1","SEM-2","SEM-3","SEM-4"},""))</f>
        <v>SEM-3</v>
      </c>
      <c r="G1260" s="3">
        <v>48</v>
      </c>
      <c r="H1260" s="3">
        <v>90</v>
      </c>
      <c r="I1260" s="3">
        <v>21</v>
      </c>
      <c r="J1260" s="3">
        <f t="shared" si="57"/>
        <v>159</v>
      </c>
      <c r="K1260" s="3" t="str">
        <f t="shared" si="58"/>
        <v>P</v>
      </c>
      <c r="L1260" s="3" t="str">
        <f t="shared" si="59"/>
        <v>B</v>
      </c>
    </row>
    <row r="1261" spans="1:12" ht="14.25" customHeight="1">
      <c r="A1261" s="3">
        <v>1260</v>
      </c>
      <c r="B1261" s="3" t="s">
        <v>4052</v>
      </c>
      <c r="C1261" s="3" t="s">
        <v>1140</v>
      </c>
      <c r="D1261" s="3">
        <v>9876544351</v>
      </c>
      <c r="E1261" s="3" t="s">
        <v>4420</v>
      </c>
      <c r="F1261" s="3" t="str" cm="1">
        <f t="array" ref="F1261">IF(E1261="","",_xlfn.XLOOKUP(E1261,{"FIRST","SECOND","THIRD","FOURTH"},{"SEM-1","SEM-2","SEM-3","SEM-4"},""))</f>
        <v>SEM-3</v>
      </c>
      <c r="G1261" s="3">
        <v>55</v>
      </c>
      <c r="H1261" s="3">
        <v>7</v>
      </c>
      <c r="I1261" s="3">
        <v>62</v>
      </c>
      <c r="J1261" s="3">
        <f t="shared" si="57"/>
        <v>124</v>
      </c>
      <c r="K1261" s="3" t="str">
        <f t="shared" si="58"/>
        <v>P</v>
      </c>
      <c r="L1261" s="3" t="str">
        <f t="shared" si="59"/>
        <v>C</v>
      </c>
    </row>
    <row r="1262" spans="1:12" ht="14.25" customHeight="1">
      <c r="A1262" s="3">
        <v>1261</v>
      </c>
      <c r="B1262" s="3" t="s">
        <v>4157</v>
      </c>
      <c r="C1262" s="3" t="s">
        <v>1242</v>
      </c>
      <c r="D1262" s="3">
        <v>9876544456</v>
      </c>
      <c r="E1262" s="3" t="s">
        <v>4420</v>
      </c>
      <c r="F1262" s="3" t="str" cm="1">
        <f t="array" ref="F1262">IF(E1262="","",_xlfn.XLOOKUP(E1262,{"FIRST","SECOND","THIRD","FOURTH"},{"SEM-1","SEM-2","SEM-3","SEM-4"},""))</f>
        <v>SEM-3</v>
      </c>
      <c r="G1262" s="3">
        <v>46</v>
      </c>
      <c r="H1262" s="3">
        <v>65</v>
      </c>
      <c r="I1262" s="3">
        <v>36</v>
      </c>
      <c r="J1262" s="3">
        <f t="shared" si="57"/>
        <v>147</v>
      </c>
      <c r="K1262" s="3" t="str">
        <f t="shared" si="58"/>
        <v>P</v>
      </c>
      <c r="L1262" s="3" t="str">
        <f t="shared" si="59"/>
        <v>C</v>
      </c>
    </row>
    <row r="1263" spans="1:12" ht="14.25" customHeight="1">
      <c r="A1263" s="3">
        <v>1262</v>
      </c>
      <c r="B1263" s="3" t="s">
        <v>3730</v>
      </c>
      <c r="C1263" s="3" t="s">
        <v>823</v>
      </c>
      <c r="D1263" s="3">
        <v>9876544029</v>
      </c>
      <c r="E1263" s="3" t="s">
        <v>4419</v>
      </c>
      <c r="F1263" s="3" t="str" cm="1">
        <f t="array" ref="F1263">IF(E1263="","",_xlfn.XLOOKUP(E1263,{"FIRST","SECOND","THIRD","FOURTH"},{"SEM-1","SEM-2","SEM-3","SEM-4"},""))</f>
        <v>SEM-2</v>
      </c>
      <c r="G1263" s="3">
        <v>17</v>
      </c>
      <c r="H1263" s="3">
        <v>54</v>
      </c>
      <c r="I1263" s="3">
        <v>54</v>
      </c>
      <c r="J1263" s="3">
        <f t="shared" si="57"/>
        <v>125</v>
      </c>
      <c r="K1263" s="3" t="str">
        <f t="shared" si="58"/>
        <v>P</v>
      </c>
      <c r="L1263" s="3" t="str">
        <f t="shared" si="59"/>
        <v>C</v>
      </c>
    </row>
    <row r="1264" spans="1:12" ht="14.25" customHeight="1">
      <c r="A1264" s="3">
        <v>1263</v>
      </c>
      <c r="B1264" s="3" t="s">
        <v>4129</v>
      </c>
      <c r="C1264" s="3" t="s">
        <v>1214</v>
      </c>
      <c r="D1264" s="3">
        <v>9876544428</v>
      </c>
      <c r="E1264" s="3" t="s">
        <v>4419</v>
      </c>
      <c r="F1264" s="3" t="str" cm="1">
        <f t="array" ref="F1264">IF(E1264="","",_xlfn.XLOOKUP(E1264,{"FIRST","SECOND","THIRD","FOURTH"},{"SEM-1","SEM-2","SEM-3","SEM-4"},""))</f>
        <v>SEM-2</v>
      </c>
      <c r="G1264" s="3">
        <v>23</v>
      </c>
      <c r="H1264" s="3">
        <v>89</v>
      </c>
      <c r="I1264" s="3">
        <v>51</v>
      </c>
      <c r="J1264" s="3">
        <f t="shared" si="57"/>
        <v>163</v>
      </c>
      <c r="K1264" s="3" t="str">
        <f t="shared" si="58"/>
        <v>P</v>
      </c>
      <c r="L1264" s="3" t="str">
        <f t="shared" si="59"/>
        <v>B</v>
      </c>
    </row>
    <row r="1265" spans="1:12" ht="14.25" customHeight="1">
      <c r="A1265" s="3">
        <v>1264</v>
      </c>
      <c r="B1265" s="3" t="s">
        <v>3868</v>
      </c>
      <c r="C1265" s="3" t="s">
        <v>959</v>
      </c>
      <c r="D1265" s="3">
        <v>9876544167</v>
      </c>
      <c r="E1265" s="3" t="s">
        <v>4419</v>
      </c>
      <c r="F1265" s="3" t="str" cm="1">
        <f t="array" ref="F1265">IF(E1265="","",_xlfn.XLOOKUP(E1265,{"FIRST","SECOND","THIRD","FOURTH"},{"SEM-1","SEM-2","SEM-3","SEM-4"},""))</f>
        <v>SEM-2</v>
      </c>
      <c r="G1265" s="3">
        <v>29</v>
      </c>
      <c r="H1265" s="3">
        <v>7</v>
      </c>
      <c r="I1265" s="3">
        <v>95</v>
      </c>
      <c r="J1265" s="3">
        <f t="shared" si="57"/>
        <v>131</v>
      </c>
      <c r="K1265" s="3" t="str">
        <f t="shared" si="58"/>
        <v>P</v>
      </c>
      <c r="L1265" s="3" t="str">
        <f t="shared" si="59"/>
        <v>C</v>
      </c>
    </row>
    <row r="1266" spans="1:12" ht="14.25" customHeight="1">
      <c r="A1266" s="3">
        <v>1265</v>
      </c>
      <c r="B1266" s="3" t="s">
        <v>4167</v>
      </c>
      <c r="C1266" s="3" t="s">
        <v>1252</v>
      </c>
      <c r="D1266" s="3">
        <v>9876544466</v>
      </c>
      <c r="E1266" s="3" t="s">
        <v>4418</v>
      </c>
      <c r="F1266" s="3" t="str" cm="1">
        <f t="array" ref="F1266">IF(E1266="","",_xlfn.XLOOKUP(E1266,{"FIRST","SECOND","THIRD","FOURTH"},{"SEM-1","SEM-2","SEM-3","SEM-4"},""))</f>
        <v>SEM-1</v>
      </c>
      <c r="G1266" s="3">
        <v>91</v>
      </c>
      <c r="H1266" s="3">
        <v>80</v>
      </c>
      <c r="I1266" s="3">
        <v>89</v>
      </c>
      <c r="J1266" s="3">
        <f t="shared" si="57"/>
        <v>260</v>
      </c>
      <c r="K1266" s="3" t="str">
        <f t="shared" si="58"/>
        <v>P</v>
      </c>
      <c r="L1266" s="3" t="str">
        <f t="shared" si="59"/>
        <v>A</v>
      </c>
    </row>
    <row r="1267" spans="1:12" ht="14.25" customHeight="1">
      <c r="A1267" s="3">
        <v>1266</v>
      </c>
      <c r="B1267" s="3" t="s">
        <v>4294</v>
      </c>
      <c r="C1267" s="3" t="s">
        <v>1375</v>
      </c>
      <c r="D1267" s="3">
        <v>9876544593</v>
      </c>
      <c r="E1267" s="3" t="s">
        <v>4419</v>
      </c>
      <c r="F1267" s="3" t="str" cm="1">
        <f t="array" ref="F1267">IF(E1267="","",_xlfn.XLOOKUP(E1267,{"FIRST","SECOND","THIRD","FOURTH"},{"SEM-1","SEM-2","SEM-3","SEM-4"},""))</f>
        <v>SEM-2</v>
      </c>
      <c r="G1267" s="3">
        <v>100</v>
      </c>
      <c r="H1267" s="3">
        <v>64</v>
      </c>
      <c r="I1267" s="3">
        <v>23</v>
      </c>
      <c r="J1267" s="3">
        <f t="shared" si="57"/>
        <v>187</v>
      </c>
      <c r="K1267" s="3" t="str">
        <f t="shared" si="58"/>
        <v>P</v>
      </c>
      <c r="L1267" s="3" t="str">
        <f t="shared" si="59"/>
        <v>B</v>
      </c>
    </row>
    <row r="1268" spans="1:12" ht="14.25" customHeight="1">
      <c r="A1268" s="3">
        <v>1267</v>
      </c>
      <c r="B1268" s="3" t="s">
        <v>3821</v>
      </c>
      <c r="C1268" s="3" t="s">
        <v>913</v>
      </c>
      <c r="D1268" s="3">
        <v>9876544120</v>
      </c>
      <c r="E1268" s="3" t="s">
        <v>4420</v>
      </c>
      <c r="F1268" s="3" t="str" cm="1">
        <f t="array" ref="F1268">IF(E1268="","",_xlfn.XLOOKUP(E1268,{"FIRST","SECOND","THIRD","FOURTH"},{"SEM-1","SEM-2","SEM-3","SEM-4"},""))</f>
        <v>SEM-3</v>
      </c>
      <c r="G1268" s="3">
        <v>21</v>
      </c>
      <c r="H1268" s="3">
        <v>42</v>
      </c>
      <c r="I1268" s="3">
        <v>34</v>
      </c>
      <c r="J1268" s="3">
        <f t="shared" si="57"/>
        <v>97</v>
      </c>
      <c r="K1268" s="3" t="str">
        <f t="shared" si="58"/>
        <v>F</v>
      </c>
      <c r="L1268" s="3" t="str">
        <f t="shared" si="59"/>
        <v>FAIL</v>
      </c>
    </row>
    <row r="1269" spans="1:12" ht="14.25" customHeight="1">
      <c r="A1269" s="3">
        <v>1268</v>
      </c>
      <c r="B1269" s="3" t="s">
        <v>4305</v>
      </c>
      <c r="C1269" s="3" t="s">
        <v>913</v>
      </c>
      <c r="D1269" s="3">
        <v>9876544604</v>
      </c>
      <c r="E1269" s="3" t="s">
        <v>4419</v>
      </c>
      <c r="F1269" s="3" t="str" cm="1">
        <f t="array" ref="F1269">IF(E1269="","",_xlfn.XLOOKUP(E1269,{"FIRST","SECOND","THIRD","FOURTH"},{"SEM-1","SEM-2","SEM-3","SEM-4"},""))</f>
        <v>SEM-2</v>
      </c>
      <c r="G1269" s="3">
        <v>94</v>
      </c>
      <c r="H1269" s="3">
        <v>90</v>
      </c>
      <c r="I1269" s="3">
        <v>68</v>
      </c>
      <c r="J1269" s="3">
        <f t="shared" si="57"/>
        <v>252</v>
      </c>
      <c r="K1269" s="3" t="str">
        <f t="shared" si="58"/>
        <v>P</v>
      </c>
      <c r="L1269" s="3" t="str">
        <f t="shared" si="59"/>
        <v>A</v>
      </c>
    </row>
    <row r="1270" spans="1:12" ht="14.25" customHeight="1">
      <c r="A1270" s="3">
        <v>1269</v>
      </c>
      <c r="B1270" s="3" t="s">
        <v>3677</v>
      </c>
      <c r="C1270" s="3" t="s">
        <v>770</v>
      </c>
      <c r="D1270" s="3">
        <v>9876543976</v>
      </c>
      <c r="E1270" s="3" t="s">
        <v>4420</v>
      </c>
      <c r="F1270" s="3" t="str" cm="1">
        <f t="array" ref="F1270">IF(E1270="","",_xlfn.XLOOKUP(E1270,{"FIRST","SECOND","THIRD","FOURTH"},{"SEM-1","SEM-2","SEM-3","SEM-4"},""))</f>
        <v>SEM-3</v>
      </c>
      <c r="G1270" s="3">
        <v>56</v>
      </c>
      <c r="H1270" s="3">
        <v>21</v>
      </c>
      <c r="I1270" s="3">
        <v>12</v>
      </c>
      <c r="J1270" s="3">
        <f t="shared" si="57"/>
        <v>89</v>
      </c>
      <c r="K1270" s="3" t="str">
        <f t="shared" si="58"/>
        <v>F</v>
      </c>
      <c r="L1270" s="3" t="str">
        <f t="shared" si="59"/>
        <v>FAIL</v>
      </c>
    </row>
    <row r="1271" spans="1:12" ht="14.25" customHeight="1">
      <c r="A1271" s="3">
        <v>1270</v>
      </c>
      <c r="B1271" s="3" t="s">
        <v>3843</v>
      </c>
      <c r="C1271" s="3" t="s">
        <v>935</v>
      </c>
      <c r="D1271" s="3">
        <v>9876544142</v>
      </c>
      <c r="E1271" s="3" t="s">
        <v>4418</v>
      </c>
      <c r="F1271" s="3" t="str" cm="1">
        <f t="array" ref="F1271">IF(E1271="","",_xlfn.XLOOKUP(E1271,{"FIRST","SECOND","THIRD","FOURTH"},{"SEM-1","SEM-2","SEM-3","SEM-4"},""))</f>
        <v>SEM-1</v>
      </c>
      <c r="G1271" s="3">
        <v>65</v>
      </c>
      <c r="H1271" s="3">
        <v>41</v>
      </c>
      <c r="I1271" s="3">
        <v>36</v>
      </c>
      <c r="J1271" s="3">
        <f t="shared" si="57"/>
        <v>142</v>
      </c>
      <c r="K1271" s="3" t="str">
        <f t="shared" si="58"/>
        <v>P</v>
      </c>
      <c r="L1271" s="3" t="str">
        <f t="shared" si="59"/>
        <v>C</v>
      </c>
    </row>
    <row r="1272" spans="1:12" ht="14.25" customHeight="1">
      <c r="A1272" s="3">
        <v>1271</v>
      </c>
      <c r="B1272" s="3" t="s">
        <v>4248</v>
      </c>
      <c r="C1272" s="3" t="s">
        <v>1331</v>
      </c>
      <c r="D1272" s="3">
        <v>9876544547</v>
      </c>
      <c r="E1272" s="3" t="s">
        <v>4418</v>
      </c>
      <c r="F1272" s="3" t="str" cm="1">
        <f t="array" ref="F1272">IF(E1272="","",_xlfn.XLOOKUP(E1272,{"FIRST","SECOND","THIRD","FOURTH"},{"SEM-1","SEM-2","SEM-3","SEM-4"},""))</f>
        <v>SEM-1</v>
      </c>
      <c r="G1272" s="3">
        <v>62</v>
      </c>
      <c r="H1272" s="3">
        <v>67</v>
      </c>
      <c r="I1272" s="3">
        <v>65</v>
      </c>
      <c r="J1272" s="3">
        <f t="shared" si="57"/>
        <v>194</v>
      </c>
      <c r="K1272" s="3" t="str">
        <f t="shared" si="58"/>
        <v>P</v>
      </c>
      <c r="L1272" s="3" t="str">
        <f t="shared" si="59"/>
        <v>A</v>
      </c>
    </row>
    <row r="1273" spans="1:12" ht="14.25" customHeight="1">
      <c r="A1273" s="3">
        <v>1272</v>
      </c>
      <c r="B1273" s="3" t="s">
        <v>3044</v>
      </c>
      <c r="C1273" s="3" t="s">
        <v>142</v>
      </c>
      <c r="D1273" s="3">
        <v>9876543343</v>
      </c>
      <c r="E1273" s="3" t="s">
        <v>4419</v>
      </c>
      <c r="F1273" s="3" t="str" cm="1">
        <f t="array" ref="F1273">IF(E1273="","",_xlfn.XLOOKUP(E1273,{"FIRST","SECOND","THIRD","FOURTH"},{"SEM-1","SEM-2","SEM-3","SEM-4"},""))</f>
        <v>SEM-2</v>
      </c>
      <c r="G1273" s="3">
        <v>88</v>
      </c>
      <c r="H1273" s="3">
        <v>92</v>
      </c>
      <c r="I1273" s="3">
        <v>92</v>
      </c>
      <c r="J1273" s="3">
        <f t="shared" si="57"/>
        <v>272</v>
      </c>
      <c r="K1273" s="3" t="str">
        <f t="shared" si="58"/>
        <v>P</v>
      </c>
      <c r="L1273" s="3" t="str">
        <f t="shared" si="59"/>
        <v>A</v>
      </c>
    </row>
    <row r="1274" spans="1:12" ht="14.25" customHeight="1">
      <c r="A1274" s="3">
        <v>1273</v>
      </c>
      <c r="B1274" s="3" t="s">
        <v>3210</v>
      </c>
      <c r="C1274" s="3" t="s">
        <v>142</v>
      </c>
      <c r="D1274" s="3">
        <v>9876543509</v>
      </c>
      <c r="E1274" s="3" t="s">
        <v>4420</v>
      </c>
      <c r="F1274" s="3" t="str" cm="1">
        <f t="array" ref="F1274">IF(E1274="","",_xlfn.XLOOKUP(E1274,{"FIRST","SECOND","THIRD","FOURTH"},{"SEM-1","SEM-2","SEM-3","SEM-4"},""))</f>
        <v>SEM-3</v>
      </c>
      <c r="G1274" s="3">
        <v>44</v>
      </c>
      <c r="H1274" s="3">
        <v>36</v>
      </c>
      <c r="I1274" s="3">
        <v>45</v>
      </c>
      <c r="J1274" s="3">
        <f t="shared" si="57"/>
        <v>125</v>
      </c>
      <c r="K1274" s="3" t="str">
        <f t="shared" si="58"/>
        <v>P</v>
      </c>
      <c r="L1274" s="3" t="str">
        <f t="shared" si="59"/>
        <v>C</v>
      </c>
    </row>
    <row r="1275" spans="1:12" ht="14.25" customHeight="1">
      <c r="A1275" s="3">
        <v>1274</v>
      </c>
      <c r="B1275" s="3" t="s">
        <v>3239</v>
      </c>
      <c r="C1275" s="3" t="s">
        <v>336</v>
      </c>
      <c r="D1275" s="3">
        <v>9876543538</v>
      </c>
      <c r="E1275" s="3" t="s">
        <v>4418</v>
      </c>
      <c r="F1275" s="3" t="str" cm="1">
        <f t="array" ref="F1275">IF(E1275="","",_xlfn.XLOOKUP(E1275,{"FIRST","SECOND","THIRD","FOURTH"},{"SEM-1","SEM-2","SEM-3","SEM-4"},""))</f>
        <v>SEM-1</v>
      </c>
      <c r="G1275" s="3">
        <v>85</v>
      </c>
      <c r="H1275" s="3">
        <v>35</v>
      </c>
      <c r="I1275" s="3">
        <v>85</v>
      </c>
      <c r="J1275" s="3">
        <f t="shared" si="57"/>
        <v>205</v>
      </c>
      <c r="K1275" s="3" t="str">
        <f t="shared" si="58"/>
        <v>P</v>
      </c>
      <c r="L1275" s="3" t="str">
        <f t="shared" si="59"/>
        <v>A</v>
      </c>
    </row>
    <row r="1276" spans="1:12" ht="14.25" customHeight="1">
      <c r="A1276" s="3">
        <v>1275</v>
      </c>
      <c r="B1276" s="3" t="s">
        <v>3110</v>
      </c>
      <c r="C1276" s="3" t="s">
        <v>208</v>
      </c>
      <c r="D1276" s="3">
        <v>9876543409</v>
      </c>
      <c r="E1276" s="3" t="s">
        <v>4418</v>
      </c>
      <c r="F1276" s="3" t="str" cm="1">
        <f t="array" ref="F1276">IF(E1276="","",_xlfn.XLOOKUP(E1276,{"FIRST","SECOND","THIRD","FOURTH"},{"SEM-1","SEM-2","SEM-3","SEM-4"},""))</f>
        <v>SEM-1</v>
      </c>
      <c r="G1276" s="3">
        <v>90</v>
      </c>
      <c r="H1276" s="3">
        <v>89</v>
      </c>
      <c r="I1276" s="3">
        <v>18</v>
      </c>
      <c r="J1276" s="3">
        <f t="shared" si="57"/>
        <v>197</v>
      </c>
      <c r="K1276" s="3" t="str">
        <f t="shared" si="58"/>
        <v>P</v>
      </c>
      <c r="L1276" s="3" t="str">
        <f t="shared" si="59"/>
        <v>A</v>
      </c>
    </row>
    <row r="1277" spans="1:12" ht="14.25" customHeight="1">
      <c r="A1277" s="3">
        <v>1276</v>
      </c>
      <c r="B1277" s="3" t="s">
        <v>3216</v>
      </c>
      <c r="C1277" s="3" t="s">
        <v>313</v>
      </c>
      <c r="D1277" s="3">
        <v>9876543515</v>
      </c>
      <c r="E1277" s="3" t="s">
        <v>4418</v>
      </c>
      <c r="F1277" s="3" t="str" cm="1">
        <f t="array" ref="F1277">IF(E1277="","",_xlfn.XLOOKUP(E1277,{"FIRST","SECOND","THIRD","FOURTH"},{"SEM-1","SEM-2","SEM-3","SEM-4"},""))</f>
        <v>SEM-1</v>
      </c>
      <c r="G1277" s="3">
        <v>94</v>
      </c>
      <c r="H1277" s="3">
        <v>94</v>
      </c>
      <c r="I1277" s="3">
        <v>47</v>
      </c>
      <c r="J1277" s="3">
        <f t="shared" si="57"/>
        <v>235</v>
      </c>
      <c r="K1277" s="3" t="str">
        <f t="shared" si="58"/>
        <v>P</v>
      </c>
      <c r="L1277" s="3" t="str">
        <f t="shared" si="59"/>
        <v>A</v>
      </c>
    </row>
    <row r="1278" spans="1:12" ht="14.25" customHeight="1">
      <c r="A1278" s="3">
        <v>1277</v>
      </c>
      <c r="B1278" s="3" t="s">
        <v>3774</v>
      </c>
      <c r="C1278" s="3" t="s">
        <v>866</v>
      </c>
      <c r="D1278" s="3">
        <v>9876544073</v>
      </c>
      <c r="E1278" s="3" t="s">
        <v>4420</v>
      </c>
      <c r="F1278" s="3" t="str" cm="1">
        <f t="array" ref="F1278">IF(E1278="","",_xlfn.XLOOKUP(E1278,{"FIRST","SECOND","THIRD","FOURTH"},{"SEM-1","SEM-2","SEM-3","SEM-4"},""))</f>
        <v>SEM-3</v>
      </c>
      <c r="G1278" s="3">
        <v>62</v>
      </c>
      <c r="H1278" s="3">
        <v>7</v>
      </c>
      <c r="I1278" s="3">
        <v>55</v>
      </c>
      <c r="J1278" s="3">
        <f t="shared" si="57"/>
        <v>124</v>
      </c>
      <c r="K1278" s="3" t="str">
        <f t="shared" si="58"/>
        <v>P</v>
      </c>
      <c r="L1278" s="3" t="str">
        <f t="shared" si="59"/>
        <v>C</v>
      </c>
    </row>
    <row r="1279" spans="1:12" ht="14.25" customHeight="1">
      <c r="A1279" s="3">
        <v>1278</v>
      </c>
      <c r="B1279" s="3" t="s">
        <v>3028</v>
      </c>
      <c r="C1279" s="3" t="s">
        <v>126</v>
      </c>
      <c r="D1279" s="3">
        <v>9876543327</v>
      </c>
      <c r="E1279" s="3" t="s">
        <v>4420</v>
      </c>
      <c r="F1279" s="3" t="str" cm="1">
        <f t="array" ref="F1279">IF(E1279="","",_xlfn.XLOOKUP(E1279,{"FIRST","SECOND","THIRD","FOURTH"},{"SEM-1","SEM-2","SEM-3","SEM-4"},""))</f>
        <v>SEM-3</v>
      </c>
      <c r="G1279" s="3">
        <v>28</v>
      </c>
      <c r="H1279" s="3">
        <v>86</v>
      </c>
      <c r="I1279" s="3">
        <v>84</v>
      </c>
      <c r="J1279" s="3">
        <f t="shared" si="57"/>
        <v>198</v>
      </c>
      <c r="K1279" s="3" t="str">
        <f t="shared" si="58"/>
        <v>P</v>
      </c>
      <c r="L1279" s="3" t="str">
        <f t="shared" si="59"/>
        <v>A</v>
      </c>
    </row>
    <row r="1280" spans="1:12" ht="14.25" customHeight="1">
      <c r="A1280" s="3">
        <v>1279</v>
      </c>
      <c r="B1280" s="3" t="s">
        <v>3050</v>
      </c>
      <c r="C1280" s="3" t="s">
        <v>148</v>
      </c>
      <c r="D1280" s="3">
        <v>9876543349</v>
      </c>
      <c r="E1280" s="3" t="s">
        <v>4419</v>
      </c>
      <c r="F1280" s="3" t="str" cm="1">
        <f t="array" ref="F1280">IF(E1280="","",_xlfn.XLOOKUP(E1280,{"FIRST","SECOND","THIRD","FOURTH"},{"SEM-1","SEM-2","SEM-3","SEM-4"},""))</f>
        <v>SEM-2</v>
      </c>
      <c r="G1280" s="3">
        <v>68</v>
      </c>
      <c r="H1280" s="3">
        <v>2</v>
      </c>
      <c r="I1280" s="3">
        <v>83</v>
      </c>
      <c r="J1280" s="3">
        <f t="shared" si="57"/>
        <v>153</v>
      </c>
      <c r="K1280" s="3" t="str">
        <f t="shared" si="58"/>
        <v>P</v>
      </c>
      <c r="L1280" s="3" t="str">
        <f t="shared" si="59"/>
        <v>B</v>
      </c>
    </row>
    <row r="1281" spans="1:12" ht="14.25" customHeight="1">
      <c r="A1281" s="3">
        <v>1280</v>
      </c>
      <c r="B1281" s="3" t="s">
        <v>4031</v>
      </c>
      <c r="C1281" s="3" t="s">
        <v>1120</v>
      </c>
      <c r="D1281" s="3">
        <v>9876544330</v>
      </c>
      <c r="E1281" s="3" t="s">
        <v>4419</v>
      </c>
      <c r="F1281" s="3" t="str" cm="1">
        <f t="array" ref="F1281">IF(E1281="","",_xlfn.XLOOKUP(E1281,{"FIRST","SECOND","THIRD","FOURTH"},{"SEM-1","SEM-2","SEM-3","SEM-4"},""))</f>
        <v>SEM-2</v>
      </c>
      <c r="G1281" s="3">
        <v>44</v>
      </c>
      <c r="H1281" s="3">
        <v>98</v>
      </c>
      <c r="I1281" s="3">
        <v>10</v>
      </c>
      <c r="J1281" s="3">
        <f t="shared" si="57"/>
        <v>152</v>
      </c>
      <c r="K1281" s="3" t="str">
        <f t="shared" si="58"/>
        <v>P</v>
      </c>
      <c r="L1281" s="3" t="str">
        <f t="shared" si="59"/>
        <v>B</v>
      </c>
    </row>
    <row r="1282" spans="1:12" ht="14.25" customHeight="1">
      <c r="A1282" s="3">
        <v>1281</v>
      </c>
      <c r="B1282" s="3" t="s">
        <v>3687</v>
      </c>
      <c r="C1282" s="3" t="s">
        <v>780</v>
      </c>
      <c r="D1282" s="3">
        <v>9876543986</v>
      </c>
      <c r="E1282" s="3" t="s">
        <v>4420</v>
      </c>
      <c r="F1282" s="3" t="str" cm="1">
        <f t="array" ref="F1282">IF(E1282="","",_xlfn.XLOOKUP(E1282,{"FIRST","SECOND","THIRD","FOURTH"},{"SEM-1","SEM-2","SEM-3","SEM-4"},""))</f>
        <v>SEM-3</v>
      </c>
      <c r="G1282" s="3">
        <v>87</v>
      </c>
      <c r="H1282" s="3">
        <v>81</v>
      </c>
      <c r="I1282" s="3">
        <v>45</v>
      </c>
      <c r="J1282" s="3">
        <f t="shared" ref="J1282:J1345" si="60">SUM(G1282:I1282)</f>
        <v>213</v>
      </c>
      <c r="K1282" s="3" t="str">
        <f t="shared" ref="K1282:K1345" si="61">IF(OR(G1282&gt;=70,H1282&gt;=70,I1282&gt;=70,J1282&gt;=120),"P","F")</f>
        <v>P</v>
      </c>
      <c r="L1282" s="3" t="str">
        <f t="shared" ref="L1282:L1345" si="62">IF(J1282&gt;=190,"A",IF(J1282&gt;=150,"B",IF(J1282&gt;=120,"C","FAIL")))</f>
        <v>A</v>
      </c>
    </row>
    <row r="1283" spans="1:12" ht="14.25" customHeight="1">
      <c r="A1283" s="3">
        <v>1282</v>
      </c>
      <c r="B1283" s="3" t="s">
        <v>3522</v>
      </c>
      <c r="C1283" s="3" t="s">
        <v>617</v>
      </c>
      <c r="D1283" s="3">
        <v>9876543821</v>
      </c>
      <c r="E1283" s="3" t="s">
        <v>4420</v>
      </c>
      <c r="F1283" s="3" t="str" cm="1">
        <f t="array" ref="F1283">IF(E1283="","",_xlfn.XLOOKUP(E1283,{"FIRST","SECOND","THIRD","FOURTH"},{"SEM-1","SEM-2","SEM-3","SEM-4"},""))</f>
        <v>SEM-3</v>
      </c>
      <c r="G1283" s="3">
        <v>8</v>
      </c>
      <c r="H1283" s="3">
        <v>57</v>
      </c>
      <c r="I1283" s="3">
        <v>19</v>
      </c>
      <c r="J1283" s="3">
        <f t="shared" si="60"/>
        <v>84</v>
      </c>
      <c r="K1283" s="3" t="str">
        <f t="shared" si="61"/>
        <v>F</v>
      </c>
      <c r="L1283" s="3" t="str">
        <f t="shared" si="62"/>
        <v>FAIL</v>
      </c>
    </row>
    <row r="1284" spans="1:12" ht="14.25" customHeight="1">
      <c r="A1284" s="3">
        <v>1283</v>
      </c>
      <c r="B1284" s="3" t="s">
        <v>3913</v>
      </c>
      <c r="C1284" s="3" t="s">
        <v>1004</v>
      </c>
      <c r="D1284" s="3">
        <v>9876544212</v>
      </c>
      <c r="E1284" s="3" t="s">
        <v>4419</v>
      </c>
      <c r="F1284" s="3" t="str" cm="1">
        <f t="array" ref="F1284">IF(E1284="","",_xlfn.XLOOKUP(E1284,{"FIRST","SECOND","THIRD","FOURTH"},{"SEM-1","SEM-2","SEM-3","SEM-4"},""))</f>
        <v>SEM-2</v>
      </c>
      <c r="G1284" s="3">
        <v>0</v>
      </c>
      <c r="H1284" s="3">
        <v>88</v>
      </c>
      <c r="I1284" s="3">
        <v>87</v>
      </c>
      <c r="J1284" s="3">
        <f t="shared" si="60"/>
        <v>175</v>
      </c>
      <c r="K1284" s="3" t="str">
        <f t="shared" si="61"/>
        <v>P</v>
      </c>
      <c r="L1284" s="3" t="str">
        <f t="shared" si="62"/>
        <v>B</v>
      </c>
    </row>
    <row r="1285" spans="1:12" ht="14.25" customHeight="1">
      <c r="A1285" s="3">
        <v>1284</v>
      </c>
      <c r="B1285" s="3" t="s">
        <v>3354</v>
      </c>
      <c r="C1285" s="3" t="s">
        <v>450</v>
      </c>
      <c r="D1285" s="3">
        <v>9876543653</v>
      </c>
      <c r="E1285" s="3" t="s">
        <v>4420</v>
      </c>
      <c r="F1285" s="3" t="str" cm="1">
        <f t="array" ref="F1285">IF(E1285="","",_xlfn.XLOOKUP(E1285,{"FIRST","SECOND","THIRD","FOURTH"},{"SEM-1","SEM-2","SEM-3","SEM-4"},""))</f>
        <v>SEM-3</v>
      </c>
      <c r="G1285" s="3">
        <v>67</v>
      </c>
      <c r="H1285" s="3">
        <v>34</v>
      </c>
      <c r="I1285" s="3">
        <v>88</v>
      </c>
      <c r="J1285" s="3">
        <f t="shared" si="60"/>
        <v>189</v>
      </c>
      <c r="K1285" s="3" t="str">
        <f t="shared" si="61"/>
        <v>P</v>
      </c>
      <c r="L1285" s="3" t="str">
        <f t="shared" si="62"/>
        <v>B</v>
      </c>
    </row>
    <row r="1286" spans="1:12" ht="14.25" customHeight="1">
      <c r="A1286" s="3">
        <v>1285</v>
      </c>
      <c r="B1286" s="3" t="s">
        <v>4283</v>
      </c>
      <c r="C1286" s="3" t="s">
        <v>1364</v>
      </c>
      <c r="D1286" s="3">
        <v>9876544582</v>
      </c>
      <c r="E1286" s="3" t="s">
        <v>4419</v>
      </c>
      <c r="F1286" s="3" t="str" cm="1">
        <f t="array" ref="F1286">IF(E1286="","",_xlfn.XLOOKUP(E1286,{"FIRST","SECOND","THIRD","FOURTH"},{"SEM-1","SEM-2","SEM-3","SEM-4"},""))</f>
        <v>SEM-2</v>
      </c>
      <c r="G1286" s="3">
        <v>80</v>
      </c>
      <c r="H1286" s="3">
        <v>55</v>
      </c>
      <c r="I1286" s="3">
        <v>98</v>
      </c>
      <c r="J1286" s="3">
        <f t="shared" si="60"/>
        <v>233</v>
      </c>
      <c r="K1286" s="3" t="str">
        <f t="shared" si="61"/>
        <v>P</v>
      </c>
      <c r="L1286" s="3" t="str">
        <f t="shared" si="62"/>
        <v>A</v>
      </c>
    </row>
    <row r="1287" spans="1:12" ht="14.25" customHeight="1">
      <c r="A1287" s="3">
        <v>1286</v>
      </c>
      <c r="B1287" s="3" t="s">
        <v>3268</v>
      </c>
      <c r="C1287" s="3" t="s">
        <v>365</v>
      </c>
      <c r="D1287" s="3">
        <v>9876543567</v>
      </c>
      <c r="E1287" s="3" t="s">
        <v>4420</v>
      </c>
      <c r="F1287" s="3" t="str" cm="1">
        <f t="array" ref="F1287">IF(E1287="","",_xlfn.XLOOKUP(E1287,{"FIRST","SECOND","THIRD","FOURTH"},{"SEM-1","SEM-2","SEM-3","SEM-4"},""))</f>
        <v>SEM-3</v>
      </c>
      <c r="G1287" s="3">
        <v>83</v>
      </c>
      <c r="H1287" s="3">
        <v>0</v>
      </c>
      <c r="I1287" s="3">
        <v>77</v>
      </c>
      <c r="J1287" s="3">
        <f t="shared" si="60"/>
        <v>160</v>
      </c>
      <c r="K1287" s="3" t="str">
        <f t="shared" si="61"/>
        <v>P</v>
      </c>
      <c r="L1287" s="3" t="str">
        <f t="shared" si="62"/>
        <v>B</v>
      </c>
    </row>
    <row r="1288" spans="1:12" ht="14.25" customHeight="1">
      <c r="A1288" s="3">
        <v>1287</v>
      </c>
      <c r="B1288" s="3" t="s">
        <v>4204</v>
      </c>
      <c r="C1288" s="3" t="s">
        <v>1288</v>
      </c>
      <c r="D1288" s="3">
        <v>9876544503</v>
      </c>
      <c r="E1288" s="3" t="s">
        <v>4420</v>
      </c>
      <c r="F1288" s="3" t="str" cm="1">
        <f t="array" ref="F1288">IF(E1288="","",_xlfn.XLOOKUP(E1288,{"FIRST","SECOND","THIRD","FOURTH"},{"SEM-1","SEM-2","SEM-3","SEM-4"},""))</f>
        <v>SEM-3</v>
      </c>
      <c r="G1288" s="3">
        <v>94</v>
      </c>
      <c r="H1288" s="3">
        <v>6</v>
      </c>
      <c r="I1288" s="3">
        <v>90</v>
      </c>
      <c r="J1288" s="3">
        <f t="shared" si="60"/>
        <v>190</v>
      </c>
      <c r="K1288" s="3" t="str">
        <f t="shared" si="61"/>
        <v>P</v>
      </c>
      <c r="L1288" s="3" t="str">
        <f t="shared" si="62"/>
        <v>A</v>
      </c>
    </row>
    <row r="1289" spans="1:12" ht="14.25" customHeight="1">
      <c r="A1289" s="3">
        <v>1288</v>
      </c>
      <c r="B1289" s="3" t="s">
        <v>3080</v>
      </c>
      <c r="C1289" s="3" t="s">
        <v>178</v>
      </c>
      <c r="D1289" s="3">
        <v>9876543379</v>
      </c>
      <c r="E1289" s="3" t="s">
        <v>4418</v>
      </c>
      <c r="F1289" s="3" t="str" cm="1">
        <f t="array" ref="F1289">IF(E1289="","",_xlfn.XLOOKUP(E1289,{"FIRST","SECOND","THIRD","FOURTH"},{"SEM-1","SEM-2","SEM-3","SEM-4"},""))</f>
        <v>SEM-1</v>
      </c>
      <c r="G1289" s="3">
        <v>61</v>
      </c>
      <c r="H1289" s="3">
        <v>24</v>
      </c>
      <c r="I1289" s="3">
        <v>92</v>
      </c>
      <c r="J1289" s="3">
        <f t="shared" si="60"/>
        <v>177</v>
      </c>
      <c r="K1289" s="3" t="str">
        <f t="shared" si="61"/>
        <v>P</v>
      </c>
      <c r="L1289" s="3" t="str">
        <f t="shared" si="62"/>
        <v>B</v>
      </c>
    </row>
    <row r="1290" spans="1:12" ht="14.25" customHeight="1">
      <c r="A1290" s="3">
        <v>1289</v>
      </c>
      <c r="B1290" s="3" t="s">
        <v>3020</v>
      </c>
      <c r="C1290" s="3" t="s">
        <v>118</v>
      </c>
      <c r="D1290" s="3">
        <v>9876543319</v>
      </c>
      <c r="E1290" s="3" t="s">
        <v>4420</v>
      </c>
      <c r="F1290" s="3" t="str" cm="1">
        <f t="array" ref="F1290">IF(E1290="","",_xlfn.XLOOKUP(E1290,{"FIRST","SECOND","THIRD","FOURTH"},{"SEM-1","SEM-2","SEM-3","SEM-4"},""))</f>
        <v>SEM-3</v>
      </c>
      <c r="G1290" s="3">
        <v>95</v>
      </c>
      <c r="H1290" s="3">
        <v>91</v>
      </c>
      <c r="I1290" s="3">
        <v>37</v>
      </c>
      <c r="J1290" s="3">
        <f t="shared" si="60"/>
        <v>223</v>
      </c>
      <c r="K1290" s="3" t="str">
        <f t="shared" si="61"/>
        <v>P</v>
      </c>
      <c r="L1290" s="3" t="str">
        <f t="shared" si="62"/>
        <v>A</v>
      </c>
    </row>
    <row r="1291" spans="1:12" ht="14.25" customHeight="1">
      <c r="A1291" s="3">
        <v>1290</v>
      </c>
      <c r="B1291" s="3" t="s">
        <v>3619</v>
      </c>
      <c r="C1291" s="3" t="s">
        <v>713</v>
      </c>
      <c r="D1291" s="3">
        <v>9876543918</v>
      </c>
      <c r="E1291" s="3" t="s">
        <v>4420</v>
      </c>
      <c r="F1291" s="3" t="str" cm="1">
        <f t="array" ref="F1291">IF(E1291="","",_xlfn.XLOOKUP(E1291,{"FIRST","SECOND","THIRD","FOURTH"},{"SEM-1","SEM-2","SEM-3","SEM-4"},""))</f>
        <v>SEM-3</v>
      </c>
      <c r="G1291" s="3">
        <v>36</v>
      </c>
      <c r="H1291" s="3">
        <v>55</v>
      </c>
      <c r="I1291" s="3">
        <v>72</v>
      </c>
      <c r="J1291" s="3">
        <f t="shared" si="60"/>
        <v>163</v>
      </c>
      <c r="K1291" s="3" t="str">
        <f t="shared" si="61"/>
        <v>P</v>
      </c>
      <c r="L1291" s="3" t="str">
        <f t="shared" si="62"/>
        <v>B</v>
      </c>
    </row>
    <row r="1292" spans="1:12" ht="14.25" customHeight="1">
      <c r="A1292" s="3">
        <v>1291</v>
      </c>
      <c r="B1292" s="3" t="s">
        <v>3756</v>
      </c>
      <c r="C1292" s="3" t="s">
        <v>849</v>
      </c>
      <c r="D1292" s="3">
        <v>9876544055</v>
      </c>
      <c r="E1292" s="3" t="s">
        <v>4420</v>
      </c>
      <c r="F1292" s="3" t="str" cm="1">
        <f t="array" ref="F1292">IF(E1292="","",_xlfn.XLOOKUP(E1292,{"FIRST","SECOND","THIRD","FOURTH"},{"SEM-1","SEM-2","SEM-3","SEM-4"},""))</f>
        <v>SEM-3</v>
      </c>
      <c r="G1292" s="3">
        <v>87</v>
      </c>
      <c r="H1292" s="3">
        <v>28</v>
      </c>
      <c r="I1292" s="3">
        <v>13</v>
      </c>
      <c r="J1292" s="3">
        <f t="shared" si="60"/>
        <v>128</v>
      </c>
      <c r="K1292" s="3" t="str">
        <f t="shared" si="61"/>
        <v>P</v>
      </c>
      <c r="L1292" s="3" t="str">
        <f t="shared" si="62"/>
        <v>C</v>
      </c>
    </row>
    <row r="1293" spans="1:12" ht="14.25" customHeight="1">
      <c r="A1293" s="3">
        <v>1292</v>
      </c>
      <c r="B1293" s="3" t="s">
        <v>3391</v>
      </c>
      <c r="C1293" s="3" t="s">
        <v>487</v>
      </c>
      <c r="D1293" s="3">
        <v>9876543690</v>
      </c>
      <c r="E1293" s="3" t="s">
        <v>4419</v>
      </c>
      <c r="F1293" s="3" t="str" cm="1">
        <f t="array" ref="F1293">IF(E1293="","",_xlfn.XLOOKUP(E1293,{"FIRST","SECOND","THIRD","FOURTH"},{"SEM-1","SEM-2","SEM-3","SEM-4"},""))</f>
        <v>SEM-2</v>
      </c>
      <c r="G1293" s="3">
        <v>36</v>
      </c>
      <c r="H1293" s="3">
        <v>18</v>
      </c>
      <c r="I1293" s="3">
        <v>88</v>
      </c>
      <c r="J1293" s="3">
        <f t="shared" si="60"/>
        <v>142</v>
      </c>
      <c r="K1293" s="3" t="str">
        <f t="shared" si="61"/>
        <v>P</v>
      </c>
      <c r="L1293" s="3" t="str">
        <f t="shared" si="62"/>
        <v>C</v>
      </c>
    </row>
    <row r="1294" spans="1:12" ht="14.25" customHeight="1">
      <c r="A1294" s="3">
        <v>1293</v>
      </c>
      <c r="B1294" s="3" t="s">
        <v>4417</v>
      </c>
      <c r="C1294" s="3" t="s">
        <v>1496</v>
      </c>
      <c r="D1294" s="3">
        <v>9876544716</v>
      </c>
      <c r="E1294" s="3" t="s">
        <v>4420</v>
      </c>
      <c r="F1294" s="3" t="str" cm="1">
        <f t="array" ref="F1294">IF(E1294="","",_xlfn.XLOOKUP(E1294,{"FIRST","SECOND","THIRD","FOURTH"},{"SEM-1","SEM-2","SEM-3","SEM-4"},""))</f>
        <v>SEM-3</v>
      </c>
      <c r="G1294" s="3">
        <v>46</v>
      </c>
      <c r="H1294" s="3">
        <v>11</v>
      </c>
      <c r="I1294" s="3">
        <v>38</v>
      </c>
      <c r="J1294" s="3">
        <f t="shared" si="60"/>
        <v>95</v>
      </c>
      <c r="K1294" s="3" t="str">
        <f t="shared" si="61"/>
        <v>F</v>
      </c>
      <c r="L1294" s="3" t="str">
        <f t="shared" si="62"/>
        <v>FAIL</v>
      </c>
    </row>
    <row r="1295" spans="1:12" ht="14.25" customHeight="1">
      <c r="A1295" s="3">
        <v>1294</v>
      </c>
      <c r="B1295" s="3" t="s">
        <v>4108</v>
      </c>
      <c r="C1295" s="3" t="s">
        <v>1193</v>
      </c>
      <c r="D1295" s="3">
        <v>9876544407</v>
      </c>
      <c r="E1295" s="3" t="s">
        <v>4419</v>
      </c>
      <c r="F1295" s="3" t="str" cm="1">
        <f t="array" ref="F1295">IF(E1295="","",_xlfn.XLOOKUP(E1295,{"FIRST","SECOND","THIRD","FOURTH"},{"SEM-1","SEM-2","SEM-3","SEM-4"},""))</f>
        <v>SEM-2</v>
      </c>
      <c r="G1295" s="3">
        <v>51</v>
      </c>
      <c r="H1295" s="3">
        <v>79</v>
      </c>
      <c r="I1295" s="3">
        <v>1</v>
      </c>
      <c r="J1295" s="3">
        <f t="shared" si="60"/>
        <v>131</v>
      </c>
      <c r="K1295" s="3" t="str">
        <f t="shared" si="61"/>
        <v>P</v>
      </c>
      <c r="L1295" s="3" t="str">
        <f t="shared" si="62"/>
        <v>C</v>
      </c>
    </row>
    <row r="1296" spans="1:12" ht="14.25" customHeight="1">
      <c r="A1296" s="3">
        <v>1295</v>
      </c>
      <c r="B1296" s="3" t="s">
        <v>3272</v>
      </c>
      <c r="C1296" s="3" t="s">
        <v>369</v>
      </c>
      <c r="D1296" s="3">
        <v>9876543571</v>
      </c>
      <c r="E1296" s="3" t="s">
        <v>4418</v>
      </c>
      <c r="F1296" s="3" t="str" cm="1">
        <f t="array" ref="F1296">IF(E1296="","",_xlfn.XLOOKUP(E1296,{"FIRST","SECOND","THIRD","FOURTH"},{"SEM-1","SEM-2","SEM-3","SEM-4"},""))</f>
        <v>SEM-1</v>
      </c>
      <c r="G1296" s="3">
        <v>54</v>
      </c>
      <c r="H1296" s="3">
        <v>73</v>
      </c>
      <c r="I1296" s="3">
        <v>22</v>
      </c>
      <c r="J1296" s="3">
        <f t="shared" si="60"/>
        <v>149</v>
      </c>
      <c r="K1296" s="3" t="str">
        <f t="shared" si="61"/>
        <v>P</v>
      </c>
      <c r="L1296" s="3" t="str">
        <f t="shared" si="62"/>
        <v>C</v>
      </c>
    </row>
    <row r="1297" spans="1:12" ht="14.25" customHeight="1">
      <c r="A1297" s="3">
        <v>1296</v>
      </c>
      <c r="B1297" s="3" t="s">
        <v>3979</v>
      </c>
      <c r="C1297" s="3" t="s">
        <v>1069</v>
      </c>
      <c r="D1297" s="3">
        <v>9876544278</v>
      </c>
      <c r="E1297" s="3" t="s">
        <v>4418</v>
      </c>
      <c r="F1297" s="3" t="str" cm="1">
        <f t="array" ref="F1297">IF(E1297="","",_xlfn.XLOOKUP(E1297,{"FIRST","SECOND","THIRD","FOURTH"},{"SEM-1","SEM-2","SEM-3","SEM-4"},""))</f>
        <v>SEM-1</v>
      </c>
      <c r="G1297" s="3">
        <v>7</v>
      </c>
      <c r="H1297" s="3">
        <v>86</v>
      </c>
      <c r="I1297" s="3">
        <v>67</v>
      </c>
      <c r="J1297" s="3">
        <f t="shared" si="60"/>
        <v>160</v>
      </c>
      <c r="K1297" s="3" t="str">
        <f t="shared" si="61"/>
        <v>P</v>
      </c>
      <c r="L1297" s="3" t="str">
        <f t="shared" si="62"/>
        <v>B</v>
      </c>
    </row>
    <row r="1298" spans="1:12" ht="14.25" customHeight="1">
      <c r="A1298" s="3">
        <v>1297</v>
      </c>
      <c r="B1298" s="3" t="s">
        <v>3317</v>
      </c>
      <c r="C1298" s="3" t="s">
        <v>413</v>
      </c>
      <c r="D1298" s="3">
        <v>9876543616</v>
      </c>
      <c r="E1298" s="3" t="s">
        <v>4420</v>
      </c>
      <c r="F1298" s="3" t="str" cm="1">
        <f t="array" ref="F1298">IF(E1298="","",_xlfn.XLOOKUP(E1298,{"FIRST","SECOND","THIRD","FOURTH"},{"SEM-1","SEM-2","SEM-3","SEM-4"},""))</f>
        <v>SEM-3</v>
      </c>
      <c r="G1298" s="3">
        <v>7</v>
      </c>
      <c r="H1298" s="3">
        <v>10</v>
      </c>
      <c r="I1298" s="3">
        <v>99</v>
      </c>
      <c r="J1298" s="3">
        <f t="shared" si="60"/>
        <v>116</v>
      </c>
      <c r="K1298" s="3" t="str">
        <f t="shared" si="61"/>
        <v>P</v>
      </c>
      <c r="L1298" s="3" t="str">
        <f t="shared" si="62"/>
        <v>FAIL</v>
      </c>
    </row>
    <row r="1299" spans="1:12" ht="14.25" customHeight="1">
      <c r="A1299" s="3">
        <v>1298</v>
      </c>
      <c r="B1299" s="3" t="s">
        <v>3963</v>
      </c>
      <c r="C1299" s="3" t="s">
        <v>1053</v>
      </c>
      <c r="D1299" s="3">
        <v>9876544262</v>
      </c>
      <c r="E1299" s="3" t="s">
        <v>4419</v>
      </c>
      <c r="F1299" s="3" t="str" cm="1">
        <f t="array" ref="F1299">IF(E1299="","",_xlfn.XLOOKUP(E1299,{"FIRST","SECOND","THIRD","FOURTH"},{"SEM-1","SEM-2","SEM-3","SEM-4"},""))</f>
        <v>SEM-2</v>
      </c>
      <c r="G1299" s="3">
        <v>71</v>
      </c>
      <c r="H1299" s="3">
        <v>2</v>
      </c>
      <c r="I1299" s="3">
        <v>9</v>
      </c>
      <c r="J1299" s="3">
        <f t="shared" si="60"/>
        <v>82</v>
      </c>
      <c r="K1299" s="3" t="str">
        <f t="shared" si="61"/>
        <v>P</v>
      </c>
      <c r="L1299" s="3" t="str">
        <f t="shared" si="62"/>
        <v>FAIL</v>
      </c>
    </row>
    <row r="1300" spans="1:12" ht="14.25" customHeight="1">
      <c r="A1300" s="3">
        <v>1299</v>
      </c>
      <c r="B1300" s="3" t="s">
        <v>3526</v>
      </c>
      <c r="C1300" s="3" t="s">
        <v>621</v>
      </c>
      <c r="D1300" s="3">
        <v>9876543825</v>
      </c>
      <c r="E1300" s="3" t="s">
        <v>4419</v>
      </c>
      <c r="F1300" s="3" t="str" cm="1">
        <f t="array" ref="F1300">IF(E1300="","",_xlfn.XLOOKUP(E1300,{"FIRST","SECOND","THIRD","FOURTH"},{"SEM-1","SEM-2","SEM-3","SEM-4"},""))</f>
        <v>SEM-2</v>
      </c>
      <c r="G1300" s="3">
        <v>47</v>
      </c>
      <c r="H1300" s="3">
        <v>41</v>
      </c>
      <c r="I1300" s="3">
        <v>5</v>
      </c>
      <c r="J1300" s="3">
        <f t="shared" si="60"/>
        <v>93</v>
      </c>
      <c r="K1300" s="3" t="str">
        <f t="shared" si="61"/>
        <v>F</v>
      </c>
      <c r="L1300" s="3" t="str">
        <f t="shared" si="62"/>
        <v>FAIL</v>
      </c>
    </row>
    <row r="1301" spans="1:12" ht="14.25" customHeight="1">
      <c r="A1301" s="3">
        <v>1300</v>
      </c>
      <c r="B1301" s="3" t="s">
        <v>4377</v>
      </c>
      <c r="C1301" s="3" t="s">
        <v>1456</v>
      </c>
      <c r="D1301" s="3">
        <v>9876544676</v>
      </c>
      <c r="E1301" s="3" t="s">
        <v>4419</v>
      </c>
      <c r="F1301" s="3" t="str" cm="1">
        <f t="array" ref="F1301">IF(E1301="","",_xlfn.XLOOKUP(E1301,{"FIRST","SECOND","THIRD","FOURTH"},{"SEM-1","SEM-2","SEM-3","SEM-4"},""))</f>
        <v>SEM-2</v>
      </c>
      <c r="G1301" s="3">
        <v>69</v>
      </c>
      <c r="H1301" s="3">
        <v>100</v>
      </c>
      <c r="I1301" s="3">
        <v>76</v>
      </c>
      <c r="J1301" s="3">
        <f t="shared" si="60"/>
        <v>245</v>
      </c>
      <c r="K1301" s="3" t="str">
        <f t="shared" si="61"/>
        <v>P</v>
      </c>
      <c r="L1301" s="3" t="str">
        <f t="shared" si="62"/>
        <v>A</v>
      </c>
    </row>
    <row r="1302" spans="1:12" ht="14.25" customHeight="1">
      <c r="A1302" s="3">
        <v>1301</v>
      </c>
      <c r="B1302" s="3" t="s">
        <v>3105</v>
      </c>
      <c r="C1302" s="3" t="s">
        <v>203</v>
      </c>
      <c r="D1302" s="3">
        <v>9876543404</v>
      </c>
      <c r="E1302" s="3" t="s">
        <v>4420</v>
      </c>
      <c r="F1302" s="3" t="str" cm="1">
        <f t="array" ref="F1302">IF(E1302="","",_xlfn.XLOOKUP(E1302,{"FIRST","SECOND","THIRD","FOURTH"},{"SEM-1","SEM-2","SEM-3","SEM-4"},""))</f>
        <v>SEM-3</v>
      </c>
      <c r="G1302" s="3">
        <v>64</v>
      </c>
      <c r="H1302" s="3">
        <v>78</v>
      </c>
      <c r="I1302" s="3">
        <v>14</v>
      </c>
      <c r="J1302" s="3">
        <f t="shared" si="60"/>
        <v>156</v>
      </c>
      <c r="K1302" s="3" t="str">
        <f t="shared" si="61"/>
        <v>P</v>
      </c>
      <c r="L1302" s="3" t="str">
        <f t="shared" si="62"/>
        <v>B</v>
      </c>
    </row>
    <row r="1303" spans="1:12" ht="14.25" customHeight="1">
      <c r="A1303" s="3">
        <v>1302</v>
      </c>
      <c r="B1303" s="3" t="s">
        <v>4235</v>
      </c>
      <c r="C1303" s="3" t="s">
        <v>1318</v>
      </c>
      <c r="D1303" s="3">
        <v>9876544534</v>
      </c>
      <c r="E1303" s="3" t="s">
        <v>4418</v>
      </c>
      <c r="F1303" s="3" t="str" cm="1">
        <f t="array" ref="F1303">IF(E1303="","",_xlfn.XLOOKUP(E1303,{"FIRST","SECOND","THIRD","FOURTH"},{"SEM-1","SEM-2","SEM-3","SEM-4"},""))</f>
        <v>SEM-1</v>
      </c>
      <c r="G1303" s="3">
        <v>44</v>
      </c>
      <c r="H1303" s="3">
        <v>39</v>
      </c>
      <c r="I1303" s="3">
        <v>95</v>
      </c>
      <c r="J1303" s="3">
        <f t="shared" si="60"/>
        <v>178</v>
      </c>
      <c r="K1303" s="3" t="str">
        <f t="shared" si="61"/>
        <v>P</v>
      </c>
      <c r="L1303" s="3" t="str">
        <f t="shared" si="62"/>
        <v>B</v>
      </c>
    </row>
    <row r="1304" spans="1:12" ht="14.25" customHeight="1">
      <c r="A1304" s="3">
        <v>1303</v>
      </c>
      <c r="B1304" s="3" t="s">
        <v>4347</v>
      </c>
      <c r="C1304" s="3" t="s">
        <v>1426</v>
      </c>
      <c r="D1304" s="3">
        <v>9876544646</v>
      </c>
      <c r="E1304" s="3" t="s">
        <v>4419</v>
      </c>
      <c r="F1304" s="3" t="str" cm="1">
        <f t="array" ref="F1304">IF(E1304="","",_xlfn.XLOOKUP(E1304,{"FIRST","SECOND","THIRD","FOURTH"},{"SEM-1","SEM-2","SEM-3","SEM-4"},""))</f>
        <v>SEM-2</v>
      </c>
      <c r="G1304" s="3">
        <v>69</v>
      </c>
      <c r="H1304" s="3">
        <v>10</v>
      </c>
      <c r="I1304" s="3">
        <v>36</v>
      </c>
      <c r="J1304" s="3">
        <f t="shared" si="60"/>
        <v>115</v>
      </c>
      <c r="K1304" s="3" t="str">
        <f t="shared" si="61"/>
        <v>F</v>
      </c>
      <c r="L1304" s="3" t="str">
        <f t="shared" si="62"/>
        <v>FAIL</v>
      </c>
    </row>
    <row r="1305" spans="1:12" ht="14.25" customHeight="1">
      <c r="A1305" s="3">
        <v>1304</v>
      </c>
      <c r="B1305" s="3" t="s">
        <v>3760</v>
      </c>
      <c r="C1305" s="3" t="s">
        <v>853</v>
      </c>
      <c r="D1305" s="3">
        <v>9876544059</v>
      </c>
      <c r="E1305" s="3" t="s">
        <v>4419</v>
      </c>
      <c r="F1305" s="3" t="str" cm="1">
        <f t="array" ref="F1305">IF(E1305="","",_xlfn.XLOOKUP(E1305,{"FIRST","SECOND","THIRD","FOURTH"},{"SEM-1","SEM-2","SEM-3","SEM-4"},""))</f>
        <v>SEM-2</v>
      </c>
      <c r="G1305" s="3">
        <v>5</v>
      </c>
      <c r="H1305" s="3">
        <v>96</v>
      </c>
      <c r="I1305" s="3">
        <v>93</v>
      </c>
      <c r="J1305" s="3">
        <f t="shared" si="60"/>
        <v>194</v>
      </c>
      <c r="K1305" s="3" t="str">
        <f t="shared" si="61"/>
        <v>P</v>
      </c>
      <c r="L1305" s="3" t="str">
        <f t="shared" si="62"/>
        <v>A</v>
      </c>
    </row>
    <row r="1306" spans="1:12" ht="14.25" customHeight="1">
      <c r="A1306" s="3">
        <v>1305</v>
      </c>
      <c r="B1306" s="3" t="s">
        <v>3916</v>
      </c>
      <c r="C1306" s="3" t="s">
        <v>853</v>
      </c>
      <c r="D1306" s="3">
        <v>9876544215</v>
      </c>
      <c r="E1306" s="3" t="s">
        <v>4420</v>
      </c>
      <c r="F1306" s="3" t="str" cm="1">
        <f t="array" ref="F1306">IF(E1306="","",_xlfn.XLOOKUP(E1306,{"FIRST","SECOND","THIRD","FOURTH"},{"SEM-1","SEM-2","SEM-3","SEM-4"},""))</f>
        <v>SEM-3</v>
      </c>
      <c r="G1306" s="3">
        <v>27</v>
      </c>
      <c r="H1306" s="3">
        <v>21</v>
      </c>
      <c r="I1306" s="3">
        <v>26</v>
      </c>
      <c r="J1306" s="3">
        <f t="shared" si="60"/>
        <v>74</v>
      </c>
      <c r="K1306" s="3" t="str">
        <f t="shared" si="61"/>
        <v>F</v>
      </c>
      <c r="L1306" s="3" t="str">
        <f t="shared" si="62"/>
        <v>FAIL</v>
      </c>
    </row>
    <row r="1307" spans="1:12" ht="14.25" customHeight="1">
      <c r="A1307" s="3">
        <v>1306</v>
      </c>
      <c r="B1307" s="3" t="s">
        <v>3485</v>
      </c>
      <c r="C1307" s="3" t="s">
        <v>581</v>
      </c>
      <c r="D1307" s="3">
        <v>9876543784</v>
      </c>
      <c r="E1307" s="3" t="s">
        <v>4418</v>
      </c>
      <c r="F1307" s="3" t="str" cm="1">
        <f t="array" ref="F1307">IF(E1307="","",_xlfn.XLOOKUP(E1307,{"FIRST","SECOND","THIRD","FOURTH"},{"SEM-1","SEM-2","SEM-3","SEM-4"},""))</f>
        <v>SEM-1</v>
      </c>
      <c r="G1307" s="3">
        <v>75</v>
      </c>
      <c r="H1307" s="3">
        <v>61</v>
      </c>
      <c r="I1307" s="3">
        <v>76</v>
      </c>
      <c r="J1307" s="3">
        <f t="shared" si="60"/>
        <v>212</v>
      </c>
      <c r="K1307" s="3" t="str">
        <f t="shared" si="61"/>
        <v>P</v>
      </c>
      <c r="L1307" s="3" t="str">
        <f t="shared" si="62"/>
        <v>A</v>
      </c>
    </row>
    <row r="1308" spans="1:12" ht="14.25" customHeight="1">
      <c r="A1308" s="3">
        <v>1307</v>
      </c>
      <c r="B1308" s="3" t="s">
        <v>3773</v>
      </c>
      <c r="C1308" s="3" t="s">
        <v>865</v>
      </c>
      <c r="D1308" s="3">
        <v>9876544072</v>
      </c>
      <c r="E1308" s="3" t="s">
        <v>4420</v>
      </c>
      <c r="F1308" s="3" t="str" cm="1">
        <f t="array" ref="F1308">IF(E1308="","",_xlfn.XLOOKUP(E1308,{"FIRST","SECOND","THIRD","FOURTH"},{"SEM-1","SEM-2","SEM-3","SEM-4"},""))</f>
        <v>SEM-3</v>
      </c>
      <c r="G1308" s="3">
        <v>79</v>
      </c>
      <c r="H1308" s="3">
        <v>77</v>
      </c>
      <c r="I1308" s="3">
        <v>67</v>
      </c>
      <c r="J1308" s="3">
        <f t="shared" si="60"/>
        <v>223</v>
      </c>
      <c r="K1308" s="3" t="str">
        <f t="shared" si="61"/>
        <v>P</v>
      </c>
      <c r="L1308" s="3" t="str">
        <f t="shared" si="62"/>
        <v>A</v>
      </c>
    </row>
    <row r="1309" spans="1:12" ht="14.25" customHeight="1">
      <c r="A1309" s="3">
        <v>1308</v>
      </c>
      <c r="B1309" s="3" t="s">
        <v>3889</v>
      </c>
      <c r="C1309" s="3" t="s">
        <v>980</v>
      </c>
      <c r="D1309" s="3">
        <v>9876544188</v>
      </c>
      <c r="E1309" s="3" t="s">
        <v>4420</v>
      </c>
      <c r="F1309" s="3" t="str" cm="1">
        <f t="array" ref="F1309">IF(E1309="","",_xlfn.XLOOKUP(E1309,{"FIRST","SECOND","THIRD","FOURTH"},{"SEM-1","SEM-2","SEM-3","SEM-4"},""))</f>
        <v>SEM-3</v>
      </c>
      <c r="G1309" s="3">
        <v>22</v>
      </c>
      <c r="H1309" s="3">
        <v>33</v>
      </c>
      <c r="I1309" s="3">
        <v>9</v>
      </c>
      <c r="J1309" s="3">
        <f t="shared" si="60"/>
        <v>64</v>
      </c>
      <c r="K1309" s="3" t="str">
        <f t="shared" si="61"/>
        <v>F</v>
      </c>
      <c r="L1309" s="3" t="str">
        <f t="shared" si="62"/>
        <v>FAIL</v>
      </c>
    </row>
    <row r="1310" spans="1:12" ht="14.25" customHeight="1">
      <c r="A1310" s="3">
        <v>1309</v>
      </c>
      <c r="B1310" s="3" t="s">
        <v>3330</v>
      </c>
      <c r="C1310" s="3" t="s">
        <v>426</v>
      </c>
      <c r="D1310" s="3">
        <v>9876543629</v>
      </c>
      <c r="E1310" s="3" t="s">
        <v>4420</v>
      </c>
      <c r="F1310" s="3" t="str" cm="1">
        <f t="array" ref="F1310">IF(E1310="","",_xlfn.XLOOKUP(E1310,{"FIRST","SECOND","THIRD","FOURTH"},{"SEM-1","SEM-2","SEM-3","SEM-4"},""))</f>
        <v>SEM-3</v>
      </c>
      <c r="G1310" s="3">
        <v>89</v>
      </c>
      <c r="H1310" s="3">
        <v>86</v>
      </c>
      <c r="I1310" s="3">
        <v>51</v>
      </c>
      <c r="J1310" s="3">
        <f t="shared" si="60"/>
        <v>226</v>
      </c>
      <c r="K1310" s="3" t="str">
        <f t="shared" si="61"/>
        <v>P</v>
      </c>
      <c r="L1310" s="3" t="str">
        <f t="shared" si="62"/>
        <v>A</v>
      </c>
    </row>
    <row r="1311" spans="1:12" ht="14.25" customHeight="1">
      <c r="A1311" s="3">
        <v>1310</v>
      </c>
      <c r="B1311" s="3" t="s">
        <v>3990</v>
      </c>
      <c r="C1311" s="3" t="s">
        <v>1080</v>
      </c>
      <c r="D1311" s="3">
        <v>9876544289</v>
      </c>
      <c r="E1311" s="3" t="s">
        <v>4418</v>
      </c>
      <c r="F1311" s="3" t="str" cm="1">
        <f t="array" ref="F1311">IF(E1311="","",_xlfn.XLOOKUP(E1311,{"FIRST","SECOND","THIRD","FOURTH"},{"SEM-1","SEM-2","SEM-3","SEM-4"},""))</f>
        <v>SEM-1</v>
      </c>
      <c r="G1311" s="3">
        <v>26</v>
      </c>
      <c r="H1311" s="3">
        <v>93</v>
      </c>
      <c r="I1311" s="3">
        <v>41</v>
      </c>
      <c r="J1311" s="3">
        <f t="shared" si="60"/>
        <v>160</v>
      </c>
      <c r="K1311" s="3" t="str">
        <f t="shared" si="61"/>
        <v>P</v>
      </c>
      <c r="L1311" s="3" t="str">
        <f t="shared" si="62"/>
        <v>B</v>
      </c>
    </row>
    <row r="1312" spans="1:12" ht="14.25" customHeight="1">
      <c r="A1312" s="3">
        <v>1311</v>
      </c>
      <c r="B1312" s="3" t="s">
        <v>4218</v>
      </c>
      <c r="C1312" s="3" t="s">
        <v>1301</v>
      </c>
      <c r="D1312" s="3">
        <v>9876544517</v>
      </c>
      <c r="E1312" s="3" t="s">
        <v>4418</v>
      </c>
      <c r="F1312" s="3" t="str" cm="1">
        <f t="array" ref="F1312">IF(E1312="","",_xlfn.XLOOKUP(E1312,{"FIRST","SECOND","THIRD","FOURTH"},{"SEM-1","SEM-2","SEM-3","SEM-4"},""))</f>
        <v>SEM-1</v>
      </c>
      <c r="G1312" s="3">
        <v>46</v>
      </c>
      <c r="H1312" s="3">
        <v>63</v>
      </c>
      <c r="I1312" s="3">
        <v>80</v>
      </c>
      <c r="J1312" s="3">
        <f t="shared" si="60"/>
        <v>189</v>
      </c>
      <c r="K1312" s="3" t="str">
        <f t="shared" si="61"/>
        <v>P</v>
      </c>
      <c r="L1312" s="3" t="str">
        <f t="shared" si="62"/>
        <v>B</v>
      </c>
    </row>
    <row r="1313" spans="1:12" ht="14.25" customHeight="1">
      <c r="A1313" s="3">
        <v>1312</v>
      </c>
      <c r="B1313" s="3" t="s">
        <v>2992</v>
      </c>
      <c r="C1313" s="3" t="s">
        <v>90</v>
      </c>
      <c r="D1313" s="3">
        <v>9876543291</v>
      </c>
      <c r="E1313" s="3" t="s">
        <v>4419</v>
      </c>
      <c r="F1313" s="3" t="str" cm="1">
        <f t="array" ref="F1313">IF(E1313="","",_xlfn.XLOOKUP(E1313,{"FIRST","SECOND","THIRD","FOURTH"},{"SEM-1","SEM-2","SEM-3","SEM-4"},""))</f>
        <v>SEM-2</v>
      </c>
      <c r="G1313" s="3">
        <v>42</v>
      </c>
      <c r="H1313" s="3">
        <v>27</v>
      </c>
      <c r="I1313" s="3">
        <v>33</v>
      </c>
      <c r="J1313" s="3">
        <f t="shared" si="60"/>
        <v>102</v>
      </c>
      <c r="K1313" s="3" t="str">
        <f t="shared" si="61"/>
        <v>F</v>
      </c>
      <c r="L1313" s="3" t="str">
        <f t="shared" si="62"/>
        <v>FAIL</v>
      </c>
    </row>
    <row r="1314" spans="1:12" ht="14.25" customHeight="1">
      <c r="A1314" s="3">
        <v>1313</v>
      </c>
      <c r="B1314" s="3" t="s">
        <v>3372</v>
      </c>
      <c r="C1314" s="3" t="s">
        <v>468</v>
      </c>
      <c r="D1314" s="3">
        <v>9876543671</v>
      </c>
      <c r="E1314" s="3" t="s">
        <v>4419</v>
      </c>
      <c r="F1314" s="3" t="str" cm="1">
        <f t="array" ref="F1314">IF(E1314="","",_xlfn.XLOOKUP(E1314,{"FIRST","SECOND","THIRD","FOURTH"},{"SEM-1","SEM-2","SEM-3","SEM-4"},""))</f>
        <v>SEM-2</v>
      </c>
      <c r="G1314" s="3">
        <v>60</v>
      </c>
      <c r="H1314" s="3">
        <v>78</v>
      </c>
      <c r="I1314" s="3">
        <v>27</v>
      </c>
      <c r="J1314" s="3">
        <f t="shared" si="60"/>
        <v>165</v>
      </c>
      <c r="K1314" s="3" t="str">
        <f t="shared" si="61"/>
        <v>P</v>
      </c>
      <c r="L1314" s="3" t="str">
        <f t="shared" si="62"/>
        <v>B</v>
      </c>
    </row>
    <row r="1315" spans="1:12" ht="14.25" customHeight="1">
      <c r="A1315" s="3">
        <v>1314</v>
      </c>
      <c r="B1315" s="3" t="s">
        <v>4206</v>
      </c>
      <c r="C1315" s="3" t="s">
        <v>1290</v>
      </c>
      <c r="D1315" s="3">
        <v>9876544505</v>
      </c>
      <c r="E1315" s="3" t="s">
        <v>4420</v>
      </c>
      <c r="F1315" s="3" t="str" cm="1">
        <f t="array" ref="F1315">IF(E1315="","",_xlfn.XLOOKUP(E1315,{"FIRST","SECOND","THIRD","FOURTH"},{"SEM-1","SEM-2","SEM-3","SEM-4"},""))</f>
        <v>SEM-3</v>
      </c>
      <c r="G1315" s="3">
        <v>16</v>
      </c>
      <c r="H1315" s="3">
        <v>9</v>
      </c>
      <c r="I1315" s="3">
        <v>28</v>
      </c>
      <c r="J1315" s="3">
        <f t="shared" si="60"/>
        <v>53</v>
      </c>
      <c r="K1315" s="3" t="str">
        <f t="shared" si="61"/>
        <v>F</v>
      </c>
      <c r="L1315" s="3" t="str">
        <f t="shared" si="62"/>
        <v>FAIL</v>
      </c>
    </row>
    <row r="1316" spans="1:12" ht="14.25" customHeight="1">
      <c r="A1316" s="3">
        <v>1315</v>
      </c>
      <c r="B1316" s="3" t="s">
        <v>3274</v>
      </c>
      <c r="C1316" s="3" t="s">
        <v>371</v>
      </c>
      <c r="D1316" s="3">
        <v>9876543573</v>
      </c>
      <c r="E1316" s="3" t="s">
        <v>4418</v>
      </c>
      <c r="F1316" s="3" t="str" cm="1">
        <f t="array" ref="F1316">IF(E1316="","",_xlfn.XLOOKUP(E1316,{"FIRST","SECOND","THIRD","FOURTH"},{"SEM-1","SEM-2","SEM-3","SEM-4"},""))</f>
        <v>SEM-1</v>
      </c>
      <c r="G1316" s="3">
        <v>3</v>
      </c>
      <c r="H1316" s="3">
        <v>4</v>
      </c>
      <c r="I1316" s="3">
        <v>7</v>
      </c>
      <c r="J1316" s="3">
        <f t="shared" si="60"/>
        <v>14</v>
      </c>
      <c r="K1316" s="3" t="str">
        <f t="shared" si="61"/>
        <v>F</v>
      </c>
      <c r="L1316" s="3" t="str">
        <f t="shared" si="62"/>
        <v>FAIL</v>
      </c>
    </row>
    <row r="1317" spans="1:12" ht="14.25" customHeight="1">
      <c r="A1317" s="3">
        <v>1316</v>
      </c>
      <c r="B1317" s="3" t="s">
        <v>3769</v>
      </c>
      <c r="C1317" s="3" t="s">
        <v>862</v>
      </c>
      <c r="D1317" s="3">
        <v>9876544068</v>
      </c>
      <c r="E1317" s="3" t="s">
        <v>4418</v>
      </c>
      <c r="F1317" s="3" t="str" cm="1">
        <f t="array" ref="F1317">IF(E1317="","",_xlfn.XLOOKUP(E1317,{"FIRST","SECOND","THIRD","FOURTH"},{"SEM-1","SEM-2","SEM-3","SEM-4"},""))</f>
        <v>SEM-1</v>
      </c>
      <c r="G1317" s="3">
        <v>96</v>
      </c>
      <c r="H1317" s="3">
        <v>51</v>
      </c>
      <c r="I1317" s="3">
        <v>97</v>
      </c>
      <c r="J1317" s="3">
        <f t="shared" si="60"/>
        <v>244</v>
      </c>
      <c r="K1317" s="3" t="str">
        <f t="shared" si="61"/>
        <v>P</v>
      </c>
      <c r="L1317" s="3" t="str">
        <f t="shared" si="62"/>
        <v>A</v>
      </c>
    </row>
    <row r="1318" spans="1:12" ht="14.25" customHeight="1">
      <c r="A1318" s="3">
        <v>1317</v>
      </c>
      <c r="B1318" s="3" t="s">
        <v>4210</v>
      </c>
      <c r="C1318" s="3" t="s">
        <v>862</v>
      </c>
      <c r="D1318" s="3">
        <v>9876544509</v>
      </c>
      <c r="E1318" s="3" t="s">
        <v>4418</v>
      </c>
      <c r="F1318" s="3" t="str" cm="1">
        <f t="array" ref="F1318">IF(E1318="","",_xlfn.XLOOKUP(E1318,{"FIRST","SECOND","THIRD","FOURTH"},{"SEM-1","SEM-2","SEM-3","SEM-4"},""))</f>
        <v>SEM-1</v>
      </c>
      <c r="G1318" s="3">
        <v>94</v>
      </c>
      <c r="H1318" s="3">
        <v>45</v>
      </c>
      <c r="I1318" s="3">
        <v>76</v>
      </c>
      <c r="J1318" s="3">
        <f t="shared" si="60"/>
        <v>215</v>
      </c>
      <c r="K1318" s="3" t="str">
        <f t="shared" si="61"/>
        <v>P</v>
      </c>
      <c r="L1318" s="3" t="str">
        <f t="shared" si="62"/>
        <v>A</v>
      </c>
    </row>
    <row r="1319" spans="1:12" ht="14.25" customHeight="1">
      <c r="A1319" s="3">
        <v>1318</v>
      </c>
      <c r="B1319" s="3" t="s">
        <v>2990</v>
      </c>
      <c r="C1319" s="3" t="s">
        <v>88</v>
      </c>
      <c r="D1319" s="3">
        <v>9876543289</v>
      </c>
      <c r="E1319" s="3" t="s">
        <v>4420</v>
      </c>
      <c r="F1319" s="3" t="str" cm="1">
        <f t="array" ref="F1319">IF(E1319="","",_xlfn.XLOOKUP(E1319,{"FIRST","SECOND","THIRD","FOURTH"},{"SEM-1","SEM-2","SEM-3","SEM-4"},""))</f>
        <v>SEM-3</v>
      </c>
      <c r="G1319" s="3">
        <v>43</v>
      </c>
      <c r="H1319" s="3">
        <v>87</v>
      </c>
      <c r="I1319" s="3">
        <v>62</v>
      </c>
      <c r="J1319" s="3">
        <f t="shared" si="60"/>
        <v>192</v>
      </c>
      <c r="K1319" s="3" t="str">
        <f t="shared" si="61"/>
        <v>P</v>
      </c>
      <c r="L1319" s="3" t="str">
        <f t="shared" si="62"/>
        <v>A</v>
      </c>
    </row>
    <row r="1320" spans="1:12" ht="14.25" customHeight="1">
      <c r="A1320" s="3">
        <v>1319</v>
      </c>
      <c r="B1320" s="3" t="s">
        <v>3557</v>
      </c>
      <c r="C1320" s="3" t="s">
        <v>651</v>
      </c>
      <c r="D1320" s="3">
        <v>9876543856</v>
      </c>
      <c r="E1320" s="3" t="s">
        <v>4418</v>
      </c>
      <c r="F1320" s="3" t="str" cm="1">
        <f t="array" ref="F1320">IF(E1320="","",_xlfn.XLOOKUP(E1320,{"FIRST","SECOND","THIRD","FOURTH"},{"SEM-1","SEM-2","SEM-3","SEM-4"},""))</f>
        <v>SEM-1</v>
      </c>
      <c r="G1320" s="3">
        <v>50</v>
      </c>
      <c r="H1320" s="3">
        <v>5</v>
      </c>
      <c r="I1320" s="3">
        <v>77</v>
      </c>
      <c r="J1320" s="3">
        <f t="shared" si="60"/>
        <v>132</v>
      </c>
      <c r="K1320" s="3" t="str">
        <f t="shared" si="61"/>
        <v>P</v>
      </c>
      <c r="L1320" s="3" t="str">
        <f t="shared" si="62"/>
        <v>C</v>
      </c>
    </row>
    <row r="1321" spans="1:12" ht="14.25" customHeight="1">
      <c r="A1321" s="3">
        <v>1320</v>
      </c>
      <c r="B1321" s="3" t="s">
        <v>3962</v>
      </c>
      <c r="C1321" s="3" t="s">
        <v>1052</v>
      </c>
      <c r="D1321" s="3">
        <v>9876544261</v>
      </c>
      <c r="E1321" s="3" t="s">
        <v>4418</v>
      </c>
      <c r="F1321" s="3" t="str" cm="1">
        <f t="array" ref="F1321">IF(E1321="","",_xlfn.XLOOKUP(E1321,{"FIRST","SECOND","THIRD","FOURTH"},{"SEM-1","SEM-2","SEM-3","SEM-4"},""))</f>
        <v>SEM-1</v>
      </c>
      <c r="G1321" s="3">
        <v>38</v>
      </c>
      <c r="H1321" s="3">
        <v>79</v>
      </c>
      <c r="I1321" s="3">
        <v>98</v>
      </c>
      <c r="J1321" s="3">
        <f t="shared" si="60"/>
        <v>215</v>
      </c>
      <c r="K1321" s="3" t="str">
        <f t="shared" si="61"/>
        <v>P</v>
      </c>
      <c r="L1321" s="3" t="str">
        <f t="shared" si="62"/>
        <v>A</v>
      </c>
    </row>
    <row r="1322" spans="1:12" ht="14.25" customHeight="1">
      <c r="A1322" s="3">
        <v>1321</v>
      </c>
      <c r="B1322" s="3" t="s">
        <v>2993</v>
      </c>
      <c r="C1322" s="3" t="s">
        <v>91</v>
      </c>
      <c r="D1322" s="3">
        <v>9876543292</v>
      </c>
      <c r="E1322" s="3" t="s">
        <v>4419</v>
      </c>
      <c r="F1322" s="3" t="str" cm="1">
        <f t="array" ref="F1322">IF(E1322="","",_xlfn.XLOOKUP(E1322,{"FIRST","SECOND","THIRD","FOURTH"},{"SEM-1","SEM-2","SEM-3","SEM-4"},""))</f>
        <v>SEM-2</v>
      </c>
      <c r="G1322" s="3">
        <v>60</v>
      </c>
      <c r="H1322" s="3">
        <v>57</v>
      </c>
      <c r="I1322" s="3">
        <v>69</v>
      </c>
      <c r="J1322" s="3">
        <f t="shared" si="60"/>
        <v>186</v>
      </c>
      <c r="K1322" s="3" t="str">
        <f t="shared" si="61"/>
        <v>P</v>
      </c>
      <c r="L1322" s="3" t="str">
        <f t="shared" si="62"/>
        <v>B</v>
      </c>
    </row>
    <row r="1323" spans="1:12" ht="14.25" customHeight="1">
      <c r="A1323" s="3">
        <v>1322</v>
      </c>
      <c r="B1323" s="3" t="s">
        <v>4281</v>
      </c>
      <c r="C1323" s="3" t="s">
        <v>1362</v>
      </c>
      <c r="D1323" s="3">
        <v>9876544580</v>
      </c>
      <c r="E1323" s="3" t="s">
        <v>4420</v>
      </c>
      <c r="F1323" s="3" t="str" cm="1">
        <f t="array" ref="F1323">IF(E1323="","",_xlfn.XLOOKUP(E1323,{"FIRST","SECOND","THIRD","FOURTH"},{"SEM-1","SEM-2","SEM-3","SEM-4"},""))</f>
        <v>SEM-3</v>
      </c>
      <c r="G1323" s="3">
        <v>19</v>
      </c>
      <c r="H1323" s="3">
        <v>81</v>
      </c>
      <c r="I1323" s="3">
        <v>65</v>
      </c>
      <c r="J1323" s="3">
        <f t="shared" si="60"/>
        <v>165</v>
      </c>
      <c r="K1323" s="3" t="str">
        <f t="shared" si="61"/>
        <v>P</v>
      </c>
      <c r="L1323" s="3" t="str">
        <f t="shared" si="62"/>
        <v>B</v>
      </c>
    </row>
    <row r="1324" spans="1:12" ht="14.25" customHeight="1">
      <c r="A1324" s="3">
        <v>1323</v>
      </c>
      <c r="B1324" s="3" t="s">
        <v>4240</v>
      </c>
      <c r="C1324" s="3" t="s">
        <v>1323</v>
      </c>
      <c r="D1324" s="3">
        <v>9876544539</v>
      </c>
      <c r="E1324" s="3" t="s">
        <v>4420</v>
      </c>
      <c r="F1324" s="3" t="str" cm="1">
        <f t="array" ref="F1324">IF(E1324="","",_xlfn.XLOOKUP(E1324,{"FIRST","SECOND","THIRD","FOURTH"},{"SEM-1","SEM-2","SEM-3","SEM-4"},""))</f>
        <v>SEM-3</v>
      </c>
      <c r="G1324" s="3">
        <v>66</v>
      </c>
      <c r="H1324" s="3">
        <v>34</v>
      </c>
      <c r="I1324" s="3">
        <v>58</v>
      </c>
      <c r="J1324" s="3">
        <f t="shared" si="60"/>
        <v>158</v>
      </c>
      <c r="K1324" s="3" t="str">
        <f t="shared" si="61"/>
        <v>P</v>
      </c>
      <c r="L1324" s="3" t="str">
        <f t="shared" si="62"/>
        <v>B</v>
      </c>
    </row>
    <row r="1325" spans="1:12" ht="14.25" customHeight="1">
      <c r="A1325" s="3">
        <v>1324</v>
      </c>
      <c r="B1325" s="3" t="s">
        <v>3342</v>
      </c>
      <c r="C1325" s="3" t="s">
        <v>438</v>
      </c>
      <c r="D1325" s="3">
        <v>9876543641</v>
      </c>
      <c r="E1325" s="3" t="s">
        <v>4418</v>
      </c>
      <c r="F1325" s="3" t="str" cm="1">
        <f t="array" ref="F1325">IF(E1325="","",_xlfn.XLOOKUP(E1325,{"FIRST","SECOND","THIRD","FOURTH"},{"SEM-1","SEM-2","SEM-3","SEM-4"},""))</f>
        <v>SEM-1</v>
      </c>
      <c r="G1325" s="3">
        <v>85</v>
      </c>
      <c r="H1325" s="3">
        <v>26</v>
      </c>
      <c r="I1325" s="3">
        <v>90</v>
      </c>
      <c r="J1325" s="3">
        <f t="shared" si="60"/>
        <v>201</v>
      </c>
      <c r="K1325" s="3" t="str">
        <f t="shared" si="61"/>
        <v>P</v>
      </c>
      <c r="L1325" s="3" t="str">
        <f t="shared" si="62"/>
        <v>A</v>
      </c>
    </row>
    <row r="1326" spans="1:12" ht="14.25" customHeight="1">
      <c r="A1326" s="3">
        <v>1325</v>
      </c>
      <c r="B1326" s="3" t="s">
        <v>3002</v>
      </c>
      <c r="C1326" s="3" t="s">
        <v>100</v>
      </c>
      <c r="D1326" s="3">
        <v>9876543301</v>
      </c>
      <c r="E1326" s="3" t="s">
        <v>4418</v>
      </c>
      <c r="F1326" s="3" t="str" cm="1">
        <f t="array" ref="F1326">IF(E1326="","",_xlfn.XLOOKUP(E1326,{"FIRST","SECOND","THIRD","FOURTH"},{"SEM-1","SEM-2","SEM-3","SEM-4"},""))</f>
        <v>SEM-1</v>
      </c>
      <c r="G1326" s="3">
        <v>73</v>
      </c>
      <c r="H1326" s="3">
        <v>22</v>
      </c>
      <c r="I1326" s="3">
        <v>59</v>
      </c>
      <c r="J1326" s="3">
        <f t="shared" si="60"/>
        <v>154</v>
      </c>
      <c r="K1326" s="3" t="str">
        <f t="shared" si="61"/>
        <v>P</v>
      </c>
      <c r="L1326" s="3" t="str">
        <f t="shared" si="62"/>
        <v>B</v>
      </c>
    </row>
    <row r="1327" spans="1:12" ht="14.25" customHeight="1">
      <c r="A1327" s="3">
        <v>1326</v>
      </c>
      <c r="B1327" s="3" t="s">
        <v>3876</v>
      </c>
      <c r="C1327" s="3" t="s">
        <v>967</v>
      </c>
      <c r="D1327" s="3">
        <v>9876544175</v>
      </c>
      <c r="E1327" s="3" t="s">
        <v>4420</v>
      </c>
      <c r="F1327" s="3" t="str" cm="1">
        <f t="array" ref="F1327">IF(E1327="","",_xlfn.XLOOKUP(E1327,{"FIRST","SECOND","THIRD","FOURTH"},{"SEM-1","SEM-2","SEM-3","SEM-4"},""))</f>
        <v>SEM-3</v>
      </c>
      <c r="G1327" s="3">
        <v>59</v>
      </c>
      <c r="H1327" s="3">
        <v>33</v>
      </c>
      <c r="I1327" s="3">
        <v>64</v>
      </c>
      <c r="J1327" s="3">
        <f t="shared" si="60"/>
        <v>156</v>
      </c>
      <c r="K1327" s="3" t="str">
        <f t="shared" si="61"/>
        <v>P</v>
      </c>
      <c r="L1327" s="3" t="str">
        <f t="shared" si="62"/>
        <v>B</v>
      </c>
    </row>
    <row r="1328" spans="1:12" ht="14.25" customHeight="1">
      <c r="A1328" s="3">
        <v>1327</v>
      </c>
      <c r="B1328" s="3" t="s">
        <v>4121</v>
      </c>
      <c r="C1328" s="3" t="s">
        <v>1206</v>
      </c>
      <c r="D1328" s="3">
        <v>9876544420</v>
      </c>
      <c r="E1328" s="3" t="s">
        <v>4419</v>
      </c>
      <c r="F1328" s="3" t="str" cm="1">
        <f t="array" ref="F1328">IF(E1328="","",_xlfn.XLOOKUP(E1328,{"FIRST","SECOND","THIRD","FOURTH"},{"SEM-1","SEM-2","SEM-3","SEM-4"},""))</f>
        <v>SEM-2</v>
      </c>
      <c r="G1328" s="3">
        <v>89</v>
      </c>
      <c r="H1328" s="3">
        <v>10</v>
      </c>
      <c r="I1328" s="3">
        <v>13</v>
      </c>
      <c r="J1328" s="3">
        <f t="shared" si="60"/>
        <v>112</v>
      </c>
      <c r="K1328" s="3" t="str">
        <f t="shared" si="61"/>
        <v>P</v>
      </c>
      <c r="L1328" s="3" t="str">
        <f t="shared" si="62"/>
        <v>FAIL</v>
      </c>
    </row>
    <row r="1329" spans="1:12" ht="14.25" customHeight="1">
      <c r="A1329" s="3">
        <v>1328</v>
      </c>
      <c r="B1329" s="3" t="s">
        <v>2972</v>
      </c>
      <c r="C1329" s="3" t="s">
        <v>70</v>
      </c>
      <c r="D1329" s="3">
        <v>9876543271</v>
      </c>
      <c r="E1329" s="3" t="s">
        <v>4420</v>
      </c>
      <c r="F1329" s="3" t="str" cm="1">
        <f t="array" ref="F1329">IF(E1329="","",_xlfn.XLOOKUP(E1329,{"FIRST","SECOND","THIRD","FOURTH"},{"SEM-1","SEM-2","SEM-3","SEM-4"},""))</f>
        <v>SEM-3</v>
      </c>
      <c r="G1329" s="3">
        <v>92</v>
      </c>
      <c r="H1329" s="3">
        <v>91</v>
      </c>
      <c r="I1329" s="3">
        <v>75</v>
      </c>
      <c r="J1329" s="3">
        <f t="shared" si="60"/>
        <v>258</v>
      </c>
      <c r="K1329" s="3" t="str">
        <f t="shared" si="61"/>
        <v>P</v>
      </c>
      <c r="L1329" s="3" t="str">
        <f t="shared" si="62"/>
        <v>A</v>
      </c>
    </row>
    <row r="1330" spans="1:12" ht="14.25" customHeight="1">
      <c r="A1330" s="3">
        <v>1329</v>
      </c>
      <c r="B1330" s="3" t="s">
        <v>3221</v>
      </c>
      <c r="C1330" s="3" t="s">
        <v>318</v>
      </c>
      <c r="D1330" s="3">
        <v>9876543520</v>
      </c>
      <c r="E1330" s="3" t="s">
        <v>4418</v>
      </c>
      <c r="F1330" s="3" t="str" cm="1">
        <f t="array" ref="F1330">IF(E1330="","",_xlfn.XLOOKUP(E1330,{"FIRST","SECOND","THIRD","FOURTH"},{"SEM-1","SEM-2","SEM-3","SEM-4"},""))</f>
        <v>SEM-1</v>
      </c>
      <c r="G1330" s="3">
        <v>36</v>
      </c>
      <c r="H1330" s="3">
        <v>40</v>
      </c>
      <c r="I1330" s="3">
        <v>31</v>
      </c>
      <c r="J1330" s="3">
        <f t="shared" si="60"/>
        <v>107</v>
      </c>
      <c r="K1330" s="3" t="str">
        <f t="shared" si="61"/>
        <v>F</v>
      </c>
      <c r="L1330" s="3" t="str">
        <f t="shared" si="62"/>
        <v>FAIL</v>
      </c>
    </row>
    <row r="1331" spans="1:12" ht="14.25" customHeight="1">
      <c r="A1331" s="3">
        <v>1330</v>
      </c>
      <c r="B1331" s="3" t="s">
        <v>3225</v>
      </c>
      <c r="C1331" s="3" t="s">
        <v>322</v>
      </c>
      <c r="D1331" s="3">
        <v>9876543524</v>
      </c>
      <c r="E1331" s="3" t="s">
        <v>4418</v>
      </c>
      <c r="F1331" s="3" t="str" cm="1">
        <f t="array" ref="F1331">IF(E1331="","",_xlfn.XLOOKUP(E1331,{"FIRST","SECOND","THIRD","FOURTH"},{"SEM-1","SEM-2","SEM-3","SEM-4"},""))</f>
        <v>SEM-1</v>
      </c>
      <c r="G1331" s="3">
        <v>75</v>
      </c>
      <c r="H1331" s="3">
        <v>49</v>
      </c>
      <c r="I1331" s="3">
        <v>8</v>
      </c>
      <c r="J1331" s="3">
        <f t="shared" si="60"/>
        <v>132</v>
      </c>
      <c r="K1331" s="3" t="str">
        <f t="shared" si="61"/>
        <v>P</v>
      </c>
      <c r="L1331" s="3" t="str">
        <f t="shared" si="62"/>
        <v>C</v>
      </c>
    </row>
    <row r="1332" spans="1:12" ht="14.25" customHeight="1">
      <c r="A1332" s="3">
        <v>1331</v>
      </c>
      <c r="B1332" s="3" t="s">
        <v>3398</v>
      </c>
      <c r="C1332" s="3" t="s">
        <v>494</v>
      </c>
      <c r="D1332" s="3">
        <v>9876543697</v>
      </c>
      <c r="E1332" s="3" t="s">
        <v>4420</v>
      </c>
      <c r="F1332" s="3" t="str" cm="1">
        <f t="array" ref="F1332">IF(E1332="","",_xlfn.XLOOKUP(E1332,{"FIRST","SECOND","THIRD","FOURTH"},{"SEM-1","SEM-2","SEM-3","SEM-4"},""))</f>
        <v>SEM-3</v>
      </c>
      <c r="G1332" s="3">
        <v>59</v>
      </c>
      <c r="H1332" s="3">
        <v>27</v>
      </c>
      <c r="I1332" s="3">
        <v>35</v>
      </c>
      <c r="J1332" s="3">
        <f t="shared" si="60"/>
        <v>121</v>
      </c>
      <c r="K1332" s="3" t="str">
        <f t="shared" si="61"/>
        <v>P</v>
      </c>
      <c r="L1332" s="3" t="str">
        <f t="shared" si="62"/>
        <v>C</v>
      </c>
    </row>
    <row r="1333" spans="1:12" ht="14.25" customHeight="1">
      <c r="A1333" s="3">
        <v>1332</v>
      </c>
      <c r="B1333" s="3" t="s">
        <v>3706</v>
      </c>
      <c r="C1333" s="3" t="s">
        <v>799</v>
      </c>
      <c r="D1333" s="3">
        <v>9876544005</v>
      </c>
      <c r="E1333" s="3" t="s">
        <v>4418</v>
      </c>
      <c r="F1333" s="3" t="str" cm="1">
        <f t="array" ref="F1333">IF(E1333="","",_xlfn.XLOOKUP(E1333,{"FIRST","SECOND","THIRD","FOURTH"},{"SEM-1","SEM-2","SEM-3","SEM-4"},""))</f>
        <v>SEM-1</v>
      </c>
      <c r="G1333" s="3">
        <v>89</v>
      </c>
      <c r="H1333" s="3">
        <v>15</v>
      </c>
      <c r="I1333" s="3">
        <v>44</v>
      </c>
      <c r="J1333" s="3">
        <f t="shared" si="60"/>
        <v>148</v>
      </c>
      <c r="K1333" s="3" t="str">
        <f t="shared" si="61"/>
        <v>P</v>
      </c>
      <c r="L1333" s="3" t="str">
        <f t="shared" si="62"/>
        <v>C</v>
      </c>
    </row>
    <row r="1334" spans="1:12" ht="14.25" customHeight="1">
      <c r="A1334" s="3">
        <v>1333</v>
      </c>
      <c r="B1334" s="3" t="s">
        <v>3455</v>
      </c>
      <c r="C1334" s="3" t="s">
        <v>551</v>
      </c>
      <c r="D1334" s="3">
        <v>9876543754</v>
      </c>
      <c r="E1334" s="3" t="s">
        <v>4418</v>
      </c>
      <c r="F1334" s="3" t="str" cm="1">
        <f t="array" ref="F1334">IF(E1334="","",_xlfn.XLOOKUP(E1334,{"FIRST","SECOND","THIRD","FOURTH"},{"SEM-1","SEM-2","SEM-3","SEM-4"},""))</f>
        <v>SEM-1</v>
      </c>
      <c r="G1334" s="3">
        <v>73</v>
      </c>
      <c r="H1334" s="3">
        <v>71</v>
      </c>
      <c r="I1334" s="3">
        <v>80</v>
      </c>
      <c r="J1334" s="3">
        <f t="shared" si="60"/>
        <v>224</v>
      </c>
      <c r="K1334" s="3" t="str">
        <f t="shared" si="61"/>
        <v>P</v>
      </c>
      <c r="L1334" s="3" t="str">
        <f t="shared" si="62"/>
        <v>A</v>
      </c>
    </row>
    <row r="1335" spans="1:12" ht="14.25" customHeight="1">
      <c r="A1335" s="3">
        <v>1334</v>
      </c>
      <c r="B1335" s="3" t="s">
        <v>4261</v>
      </c>
      <c r="C1335" s="3" t="s">
        <v>551</v>
      </c>
      <c r="D1335" s="3">
        <v>9876544560</v>
      </c>
      <c r="E1335" s="3" t="s">
        <v>4418</v>
      </c>
      <c r="F1335" s="3" t="str" cm="1">
        <f t="array" ref="F1335">IF(E1335="","",_xlfn.XLOOKUP(E1335,{"FIRST","SECOND","THIRD","FOURTH"},{"SEM-1","SEM-2","SEM-3","SEM-4"},""))</f>
        <v>SEM-1</v>
      </c>
      <c r="G1335" s="3">
        <v>16</v>
      </c>
      <c r="H1335" s="3">
        <v>14</v>
      </c>
      <c r="I1335" s="3">
        <v>25</v>
      </c>
      <c r="J1335" s="3">
        <f t="shared" si="60"/>
        <v>55</v>
      </c>
      <c r="K1335" s="3" t="str">
        <f t="shared" si="61"/>
        <v>F</v>
      </c>
      <c r="L1335" s="3" t="str">
        <f t="shared" si="62"/>
        <v>FAIL</v>
      </c>
    </row>
    <row r="1336" spans="1:12" ht="14.25" customHeight="1">
      <c r="A1336" s="3">
        <v>1335</v>
      </c>
      <c r="B1336" s="3" t="s">
        <v>4406</v>
      </c>
      <c r="C1336" s="3" t="s">
        <v>1485</v>
      </c>
      <c r="D1336" s="3">
        <v>9876544705</v>
      </c>
      <c r="E1336" s="3" t="s">
        <v>4419</v>
      </c>
      <c r="F1336" s="3" t="str" cm="1">
        <f t="array" ref="F1336">IF(E1336="","",_xlfn.XLOOKUP(E1336,{"FIRST","SECOND","THIRD","FOURTH"},{"SEM-1","SEM-2","SEM-3","SEM-4"},""))</f>
        <v>SEM-2</v>
      </c>
      <c r="G1336" s="3">
        <v>40</v>
      </c>
      <c r="H1336" s="3">
        <v>22</v>
      </c>
      <c r="I1336" s="3">
        <v>22</v>
      </c>
      <c r="J1336" s="3">
        <f t="shared" si="60"/>
        <v>84</v>
      </c>
      <c r="K1336" s="3" t="str">
        <f t="shared" si="61"/>
        <v>F</v>
      </c>
      <c r="L1336" s="3" t="str">
        <f t="shared" si="62"/>
        <v>FAIL</v>
      </c>
    </row>
    <row r="1337" spans="1:12" ht="14.25" customHeight="1">
      <c r="A1337" s="3">
        <v>1336</v>
      </c>
      <c r="B1337" s="3" t="s">
        <v>3452</v>
      </c>
      <c r="C1337" s="3" t="s">
        <v>548</v>
      </c>
      <c r="D1337" s="3">
        <v>9876543751</v>
      </c>
      <c r="E1337" s="3" t="s">
        <v>4419</v>
      </c>
      <c r="F1337" s="3" t="str" cm="1">
        <f t="array" ref="F1337">IF(E1337="","",_xlfn.XLOOKUP(E1337,{"FIRST","SECOND","THIRD","FOURTH"},{"SEM-1","SEM-2","SEM-3","SEM-4"},""))</f>
        <v>SEM-2</v>
      </c>
      <c r="G1337" s="3">
        <v>91</v>
      </c>
      <c r="H1337" s="3">
        <v>31</v>
      </c>
      <c r="I1337" s="3">
        <v>79</v>
      </c>
      <c r="J1337" s="3">
        <f t="shared" si="60"/>
        <v>201</v>
      </c>
      <c r="K1337" s="3" t="str">
        <f t="shared" si="61"/>
        <v>P</v>
      </c>
      <c r="L1337" s="3" t="str">
        <f t="shared" si="62"/>
        <v>A</v>
      </c>
    </row>
    <row r="1338" spans="1:12" ht="14.25" customHeight="1">
      <c r="A1338" s="3">
        <v>1337</v>
      </c>
      <c r="B1338" s="3" t="s">
        <v>4025</v>
      </c>
      <c r="C1338" s="3" t="s">
        <v>1114</v>
      </c>
      <c r="D1338" s="3">
        <v>9876544324</v>
      </c>
      <c r="E1338" s="3" t="s">
        <v>4420</v>
      </c>
      <c r="F1338" s="3" t="str" cm="1">
        <f t="array" ref="F1338">IF(E1338="","",_xlfn.XLOOKUP(E1338,{"FIRST","SECOND","THIRD","FOURTH"},{"SEM-1","SEM-2","SEM-3","SEM-4"},""))</f>
        <v>SEM-3</v>
      </c>
      <c r="G1338" s="3">
        <v>63</v>
      </c>
      <c r="H1338" s="3">
        <v>44</v>
      </c>
      <c r="I1338" s="3">
        <v>12</v>
      </c>
      <c r="J1338" s="3">
        <f t="shared" si="60"/>
        <v>119</v>
      </c>
      <c r="K1338" s="3" t="str">
        <f t="shared" si="61"/>
        <v>F</v>
      </c>
      <c r="L1338" s="3" t="str">
        <f t="shared" si="62"/>
        <v>FAIL</v>
      </c>
    </row>
    <row r="1339" spans="1:12" ht="14.25" customHeight="1">
      <c r="A1339" s="3">
        <v>1338</v>
      </c>
      <c r="B1339" s="3" t="s">
        <v>3511</v>
      </c>
      <c r="C1339" s="3" t="s">
        <v>606</v>
      </c>
      <c r="D1339" s="3">
        <v>9876543810</v>
      </c>
      <c r="E1339" s="3" t="s">
        <v>4418</v>
      </c>
      <c r="F1339" s="3" t="str" cm="1">
        <f t="array" ref="F1339">IF(E1339="","",_xlfn.XLOOKUP(E1339,{"FIRST","SECOND","THIRD","FOURTH"},{"SEM-1","SEM-2","SEM-3","SEM-4"},""))</f>
        <v>SEM-1</v>
      </c>
      <c r="G1339" s="3">
        <v>28</v>
      </c>
      <c r="H1339" s="3">
        <v>56</v>
      </c>
      <c r="I1339" s="3">
        <v>10</v>
      </c>
      <c r="J1339" s="3">
        <f t="shared" si="60"/>
        <v>94</v>
      </c>
      <c r="K1339" s="3" t="str">
        <f t="shared" si="61"/>
        <v>F</v>
      </c>
      <c r="L1339" s="3" t="str">
        <f t="shared" si="62"/>
        <v>FAIL</v>
      </c>
    </row>
    <row r="1340" spans="1:12" ht="14.25" customHeight="1">
      <c r="A1340" s="3">
        <v>1339</v>
      </c>
      <c r="B1340" s="3" t="s">
        <v>4324</v>
      </c>
      <c r="C1340" s="3" t="s">
        <v>1403</v>
      </c>
      <c r="D1340" s="3">
        <v>9876544623</v>
      </c>
      <c r="E1340" s="3" t="s">
        <v>4418</v>
      </c>
      <c r="F1340" s="3" t="str" cm="1">
        <f t="array" ref="F1340">IF(E1340="","",_xlfn.XLOOKUP(E1340,{"FIRST","SECOND","THIRD","FOURTH"},{"SEM-1","SEM-2","SEM-3","SEM-4"},""))</f>
        <v>SEM-1</v>
      </c>
      <c r="G1340" s="3">
        <v>57</v>
      </c>
      <c r="H1340" s="3">
        <v>76</v>
      </c>
      <c r="I1340" s="3">
        <v>23</v>
      </c>
      <c r="J1340" s="3">
        <f t="shared" si="60"/>
        <v>156</v>
      </c>
      <c r="K1340" s="3" t="str">
        <f t="shared" si="61"/>
        <v>P</v>
      </c>
      <c r="L1340" s="3" t="str">
        <f t="shared" si="62"/>
        <v>B</v>
      </c>
    </row>
    <row r="1341" spans="1:12" ht="14.25" customHeight="1">
      <c r="A1341" s="3">
        <v>1340</v>
      </c>
      <c r="B1341" s="3" t="s">
        <v>4133</v>
      </c>
      <c r="C1341" s="3" t="s">
        <v>1218</v>
      </c>
      <c r="D1341" s="3">
        <v>9876544432</v>
      </c>
      <c r="E1341" s="3" t="s">
        <v>4419</v>
      </c>
      <c r="F1341" s="3" t="str" cm="1">
        <f t="array" ref="F1341">IF(E1341="","",_xlfn.XLOOKUP(E1341,{"FIRST","SECOND","THIRD","FOURTH"},{"SEM-1","SEM-2","SEM-3","SEM-4"},""))</f>
        <v>SEM-2</v>
      </c>
      <c r="G1341" s="3">
        <v>66</v>
      </c>
      <c r="H1341" s="3">
        <v>54</v>
      </c>
      <c r="I1341" s="3">
        <v>59</v>
      </c>
      <c r="J1341" s="3">
        <f t="shared" si="60"/>
        <v>179</v>
      </c>
      <c r="K1341" s="3" t="str">
        <f t="shared" si="61"/>
        <v>P</v>
      </c>
      <c r="L1341" s="3" t="str">
        <f t="shared" si="62"/>
        <v>B</v>
      </c>
    </row>
    <row r="1342" spans="1:12" ht="14.25" customHeight="1">
      <c r="A1342" s="3">
        <v>1341</v>
      </c>
      <c r="B1342" s="3" t="s">
        <v>4408</v>
      </c>
      <c r="C1342" s="3" t="s">
        <v>1487</v>
      </c>
      <c r="D1342" s="3">
        <v>9876544707</v>
      </c>
      <c r="E1342" s="3" t="s">
        <v>4420</v>
      </c>
      <c r="F1342" s="3" t="str" cm="1">
        <f t="array" ref="F1342">IF(E1342="","",_xlfn.XLOOKUP(E1342,{"FIRST","SECOND","THIRD","FOURTH"},{"SEM-1","SEM-2","SEM-3","SEM-4"},""))</f>
        <v>SEM-3</v>
      </c>
      <c r="G1342" s="3">
        <v>66</v>
      </c>
      <c r="H1342" s="3">
        <v>65</v>
      </c>
      <c r="I1342" s="3">
        <v>23</v>
      </c>
      <c r="J1342" s="3">
        <f t="shared" si="60"/>
        <v>154</v>
      </c>
      <c r="K1342" s="3" t="str">
        <f t="shared" si="61"/>
        <v>P</v>
      </c>
      <c r="L1342" s="3" t="str">
        <f t="shared" si="62"/>
        <v>B</v>
      </c>
    </row>
    <row r="1343" spans="1:12" ht="14.25" customHeight="1">
      <c r="A1343" s="3">
        <v>1342</v>
      </c>
      <c r="B1343" s="3" t="s">
        <v>4228</v>
      </c>
      <c r="C1343" s="3" t="s">
        <v>1311</v>
      </c>
      <c r="D1343" s="3">
        <v>9876544527</v>
      </c>
      <c r="E1343" s="3" t="s">
        <v>4418</v>
      </c>
      <c r="F1343" s="3" t="str" cm="1">
        <f t="array" ref="F1343">IF(E1343="","",_xlfn.XLOOKUP(E1343,{"FIRST","SECOND","THIRD","FOURTH"},{"SEM-1","SEM-2","SEM-3","SEM-4"},""))</f>
        <v>SEM-1</v>
      </c>
      <c r="G1343" s="3">
        <v>11</v>
      </c>
      <c r="H1343" s="3">
        <v>13</v>
      </c>
      <c r="I1343" s="3">
        <v>89</v>
      </c>
      <c r="J1343" s="3">
        <f t="shared" si="60"/>
        <v>113</v>
      </c>
      <c r="K1343" s="3" t="str">
        <f t="shared" si="61"/>
        <v>P</v>
      </c>
      <c r="L1343" s="3" t="str">
        <f t="shared" si="62"/>
        <v>FAIL</v>
      </c>
    </row>
    <row r="1344" spans="1:12" ht="14.25" customHeight="1">
      <c r="A1344" s="3">
        <v>1343</v>
      </c>
      <c r="B1344" s="3" t="s">
        <v>4409</v>
      </c>
      <c r="C1344" s="3" t="s">
        <v>1488</v>
      </c>
      <c r="D1344" s="3">
        <v>9876544708</v>
      </c>
      <c r="E1344" s="3" t="s">
        <v>4418</v>
      </c>
      <c r="F1344" s="3" t="str" cm="1">
        <f t="array" ref="F1344">IF(E1344="","",_xlfn.XLOOKUP(E1344,{"FIRST","SECOND","THIRD","FOURTH"},{"SEM-1","SEM-2","SEM-3","SEM-4"},""))</f>
        <v>SEM-1</v>
      </c>
      <c r="G1344" s="3">
        <v>48</v>
      </c>
      <c r="H1344" s="3">
        <v>57</v>
      </c>
      <c r="I1344" s="3">
        <v>53</v>
      </c>
      <c r="J1344" s="3">
        <f t="shared" si="60"/>
        <v>158</v>
      </c>
      <c r="K1344" s="3" t="str">
        <f t="shared" si="61"/>
        <v>P</v>
      </c>
      <c r="L1344" s="3" t="str">
        <f t="shared" si="62"/>
        <v>B</v>
      </c>
    </row>
    <row r="1345" spans="1:12" ht="14.25" customHeight="1">
      <c r="A1345" s="3">
        <v>1344</v>
      </c>
      <c r="B1345" s="3" t="s">
        <v>3482</v>
      </c>
      <c r="C1345" s="3" t="s">
        <v>578</v>
      </c>
      <c r="D1345" s="3">
        <v>9876543781</v>
      </c>
      <c r="E1345" s="3" t="s">
        <v>4419</v>
      </c>
      <c r="F1345" s="3" t="str" cm="1">
        <f t="array" ref="F1345">IF(E1345="","",_xlfn.XLOOKUP(E1345,{"FIRST","SECOND","THIRD","FOURTH"},{"SEM-1","SEM-2","SEM-3","SEM-4"},""))</f>
        <v>SEM-2</v>
      </c>
      <c r="G1345" s="3">
        <v>29</v>
      </c>
      <c r="H1345" s="3">
        <v>8</v>
      </c>
      <c r="I1345" s="3">
        <v>96</v>
      </c>
      <c r="J1345" s="3">
        <f t="shared" si="60"/>
        <v>133</v>
      </c>
      <c r="K1345" s="3" t="str">
        <f t="shared" si="61"/>
        <v>P</v>
      </c>
      <c r="L1345" s="3" t="str">
        <f t="shared" si="62"/>
        <v>C</v>
      </c>
    </row>
    <row r="1346" spans="1:12" ht="14.25" customHeight="1">
      <c r="A1346" s="3">
        <v>1345</v>
      </c>
      <c r="B1346" s="3" t="s">
        <v>3346</v>
      </c>
      <c r="C1346" s="3" t="s">
        <v>442</v>
      </c>
      <c r="D1346" s="3">
        <v>9876543645</v>
      </c>
      <c r="E1346" s="3" t="s">
        <v>4419</v>
      </c>
      <c r="F1346" s="3" t="str" cm="1">
        <f t="array" ref="F1346">IF(E1346="","",_xlfn.XLOOKUP(E1346,{"FIRST","SECOND","THIRD","FOURTH"},{"SEM-1","SEM-2","SEM-3","SEM-4"},""))</f>
        <v>SEM-2</v>
      </c>
      <c r="G1346" s="3">
        <v>59</v>
      </c>
      <c r="H1346" s="3">
        <v>66</v>
      </c>
      <c r="I1346" s="3">
        <v>8</v>
      </c>
      <c r="J1346" s="3">
        <f t="shared" ref="J1346:J1409" si="63">SUM(G1346:I1346)</f>
        <v>133</v>
      </c>
      <c r="K1346" s="3" t="str">
        <f t="shared" ref="K1346:K1409" si="64">IF(OR(G1346&gt;=70,H1346&gt;=70,I1346&gt;=70,J1346&gt;=120),"P","F")</f>
        <v>P</v>
      </c>
      <c r="L1346" s="3" t="str">
        <f t="shared" ref="L1346:L1409" si="65">IF(J1346&gt;=190,"A",IF(J1346&gt;=150,"B",IF(J1346&gt;=120,"C","FAIL")))</f>
        <v>C</v>
      </c>
    </row>
    <row r="1347" spans="1:12" ht="14.25" customHeight="1">
      <c r="A1347" s="3">
        <v>1346</v>
      </c>
      <c r="B1347" s="3" t="s">
        <v>3244</v>
      </c>
      <c r="C1347" s="3" t="s">
        <v>341</v>
      </c>
      <c r="D1347" s="3">
        <v>9876543543</v>
      </c>
      <c r="E1347" s="3" t="s">
        <v>4420</v>
      </c>
      <c r="F1347" s="3" t="str" cm="1">
        <f t="array" ref="F1347">IF(E1347="","",_xlfn.XLOOKUP(E1347,{"FIRST","SECOND","THIRD","FOURTH"},{"SEM-1","SEM-2","SEM-3","SEM-4"},""))</f>
        <v>SEM-3</v>
      </c>
      <c r="G1347" s="3">
        <v>30</v>
      </c>
      <c r="H1347" s="3">
        <v>42</v>
      </c>
      <c r="I1347" s="3">
        <v>38</v>
      </c>
      <c r="J1347" s="3">
        <f t="shared" si="63"/>
        <v>110</v>
      </c>
      <c r="K1347" s="3" t="str">
        <f t="shared" si="64"/>
        <v>F</v>
      </c>
      <c r="L1347" s="3" t="str">
        <f t="shared" si="65"/>
        <v>FAIL</v>
      </c>
    </row>
    <row r="1348" spans="1:12" ht="14.25" customHeight="1">
      <c r="A1348" s="3">
        <v>1347</v>
      </c>
      <c r="B1348" s="3" t="s">
        <v>3122</v>
      </c>
      <c r="C1348" s="3" t="s">
        <v>220</v>
      </c>
      <c r="D1348" s="3">
        <v>9876543421</v>
      </c>
      <c r="E1348" s="3" t="s">
        <v>4420</v>
      </c>
      <c r="F1348" s="3" t="str" cm="1">
        <f t="array" ref="F1348">IF(E1348="","",_xlfn.XLOOKUP(E1348,{"FIRST","SECOND","THIRD","FOURTH"},{"SEM-1","SEM-2","SEM-3","SEM-4"},""))</f>
        <v>SEM-3</v>
      </c>
      <c r="G1348" s="3">
        <v>38</v>
      </c>
      <c r="H1348" s="3">
        <v>87</v>
      </c>
      <c r="I1348" s="3">
        <v>39</v>
      </c>
      <c r="J1348" s="3">
        <f t="shared" si="63"/>
        <v>164</v>
      </c>
      <c r="K1348" s="3" t="str">
        <f t="shared" si="64"/>
        <v>P</v>
      </c>
      <c r="L1348" s="3" t="str">
        <f t="shared" si="65"/>
        <v>B</v>
      </c>
    </row>
    <row r="1349" spans="1:12" ht="14.25" customHeight="1">
      <c r="A1349" s="3">
        <v>1348</v>
      </c>
      <c r="B1349" s="3" t="s">
        <v>3647</v>
      </c>
      <c r="C1349" s="3" t="s">
        <v>741</v>
      </c>
      <c r="D1349" s="3">
        <v>9876543946</v>
      </c>
      <c r="E1349" s="3" t="s">
        <v>4418</v>
      </c>
      <c r="F1349" s="3" t="str" cm="1">
        <f t="array" ref="F1349">IF(E1349="","",_xlfn.XLOOKUP(E1349,{"FIRST","SECOND","THIRD","FOURTH"},{"SEM-1","SEM-2","SEM-3","SEM-4"},""))</f>
        <v>SEM-1</v>
      </c>
      <c r="G1349" s="3">
        <v>12</v>
      </c>
      <c r="H1349" s="3">
        <v>65</v>
      </c>
      <c r="I1349" s="3">
        <v>13</v>
      </c>
      <c r="J1349" s="3">
        <f t="shared" si="63"/>
        <v>90</v>
      </c>
      <c r="K1349" s="3" t="str">
        <f t="shared" si="64"/>
        <v>F</v>
      </c>
      <c r="L1349" s="3" t="str">
        <f t="shared" si="65"/>
        <v>FAIL</v>
      </c>
    </row>
    <row r="1350" spans="1:12" ht="14.25" customHeight="1">
      <c r="A1350" s="3">
        <v>1349</v>
      </c>
      <c r="B1350" s="3" t="s">
        <v>4276</v>
      </c>
      <c r="C1350" s="3" t="s">
        <v>1357</v>
      </c>
      <c r="D1350" s="3">
        <v>9876544575</v>
      </c>
      <c r="E1350" s="3" t="s">
        <v>4419</v>
      </c>
      <c r="F1350" s="3" t="str" cm="1">
        <f t="array" ref="F1350">IF(E1350="","",_xlfn.XLOOKUP(E1350,{"FIRST","SECOND","THIRD","FOURTH"},{"SEM-1","SEM-2","SEM-3","SEM-4"},""))</f>
        <v>SEM-2</v>
      </c>
      <c r="G1350" s="3">
        <v>3</v>
      </c>
      <c r="H1350" s="3">
        <v>8</v>
      </c>
      <c r="I1350" s="3">
        <v>84</v>
      </c>
      <c r="J1350" s="3">
        <f t="shared" si="63"/>
        <v>95</v>
      </c>
      <c r="K1350" s="3" t="str">
        <f t="shared" si="64"/>
        <v>P</v>
      </c>
      <c r="L1350" s="3" t="str">
        <f t="shared" si="65"/>
        <v>FAIL</v>
      </c>
    </row>
    <row r="1351" spans="1:12" ht="14.25" customHeight="1">
      <c r="A1351" s="3">
        <v>1350</v>
      </c>
      <c r="B1351" s="3" t="s">
        <v>4375</v>
      </c>
      <c r="C1351" s="3" t="s">
        <v>1454</v>
      </c>
      <c r="D1351" s="3">
        <v>9876544674</v>
      </c>
      <c r="E1351" s="3" t="s">
        <v>4418</v>
      </c>
      <c r="F1351" s="3" t="str" cm="1">
        <f t="array" ref="F1351">IF(E1351="","",_xlfn.XLOOKUP(E1351,{"FIRST","SECOND","THIRD","FOURTH"},{"SEM-1","SEM-2","SEM-3","SEM-4"},""))</f>
        <v>SEM-1</v>
      </c>
      <c r="G1351" s="3">
        <v>75</v>
      </c>
      <c r="H1351" s="3">
        <v>38</v>
      </c>
      <c r="I1351" s="3">
        <v>87</v>
      </c>
      <c r="J1351" s="3">
        <f t="shared" si="63"/>
        <v>200</v>
      </c>
      <c r="K1351" s="3" t="str">
        <f t="shared" si="64"/>
        <v>P</v>
      </c>
      <c r="L1351" s="3" t="str">
        <f t="shared" si="65"/>
        <v>A</v>
      </c>
    </row>
    <row r="1352" spans="1:12" ht="14.25" customHeight="1">
      <c r="A1352" s="3">
        <v>1351</v>
      </c>
      <c r="B1352" s="3" t="s">
        <v>2996</v>
      </c>
      <c r="C1352" s="3" t="s">
        <v>94</v>
      </c>
      <c r="D1352" s="3">
        <v>9876543295</v>
      </c>
      <c r="E1352" s="3" t="s">
        <v>4420</v>
      </c>
      <c r="F1352" s="3" t="str" cm="1">
        <f t="array" ref="F1352">IF(E1352="","",_xlfn.XLOOKUP(E1352,{"FIRST","SECOND","THIRD","FOURTH"},{"SEM-1","SEM-2","SEM-3","SEM-4"},""))</f>
        <v>SEM-3</v>
      </c>
      <c r="G1352" s="3">
        <v>67</v>
      </c>
      <c r="H1352" s="3">
        <v>0</v>
      </c>
      <c r="I1352" s="3">
        <v>93</v>
      </c>
      <c r="J1352" s="3">
        <f t="shared" si="63"/>
        <v>160</v>
      </c>
      <c r="K1352" s="3" t="str">
        <f t="shared" si="64"/>
        <v>P</v>
      </c>
      <c r="L1352" s="3" t="str">
        <f t="shared" si="65"/>
        <v>B</v>
      </c>
    </row>
    <row r="1353" spans="1:12" ht="14.25" customHeight="1">
      <c r="A1353" s="3">
        <v>1352</v>
      </c>
      <c r="B1353" s="3" t="s">
        <v>3109</v>
      </c>
      <c r="C1353" s="3" t="s">
        <v>207</v>
      </c>
      <c r="D1353" s="3">
        <v>9876543408</v>
      </c>
      <c r="E1353" s="3" t="s">
        <v>4420</v>
      </c>
      <c r="F1353" s="3" t="str" cm="1">
        <f t="array" ref="F1353">IF(E1353="","",_xlfn.XLOOKUP(E1353,{"FIRST","SECOND","THIRD","FOURTH"},{"SEM-1","SEM-2","SEM-3","SEM-4"},""))</f>
        <v>SEM-3</v>
      </c>
      <c r="G1353" s="3">
        <v>27</v>
      </c>
      <c r="H1353" s="3">
        <v>90</v>
      </c>
      <c r="I1353" s="3">
        <v>51</v>
      </c>
      <c r="J1353" s="3">
        <f t="shared" si="63"/>
        <v>168</v>
      </c>
      <c r="K1353" s="3" t="str">
        <f t="shared" si="64"/>
        <v>P</v>
      </c>
      <c r="L1353" s="3" t="str">
        <f t="shared" si="65"/>
        <v>B</v>
      </c>
    </row>
    <row r="1354" spans="1:12" ht="14.25" customHeight="1">
      <c r="A1354" s="3">
        <v>1353</v>
      </c>
      <c r="B1354" s="3" t="s">
        <v>4007</v>
      </c>
      <c r="C1354" s="3" t="s">
        <v>1096</v>
      </c>
      <c r="D1354" s="3">
        <v>9876544306</v>
      </c>
      <c r="E1354" s="3" t="s">
        <v>4418</v>
      </c>
      <c r="F1354" s="3" t="str" cm="1">
        <f t="array" ref="F1354">IF(E1354="","",_xlfn.XLOOKUP(E1354,{"FIRST","SECOND","THIRD","FOURTH"},{"SEM-1","SEM-2","SEM-3","SEM-4"},""))</f>
        <v>SEM-1</v>
      </c>
      <c r="G1354" s="3">
        <v>57</v>
      </c>
      <c r="H1354" s="3">
        <v>40</v>
      </c>
      <c r="I1354" s="3">
        <v>52</v>
      </c>
      <c r="J1354" s="3">
        <f t="shared" si="63"/>
        <v>149</v>
      </c>
      <c r="K1354" s="3" t="str">
        <f t="shared" si="64"/>
        <v>P</v>
      </c>
      <c r="L1354" s="3" t="str">
        <f t="shared" si="65"/>
        <v>C</v>
      </c>
    </row>
    <row r="1355" spans="1:12" ht="14.25" customHeight="1">
      <c r="A1355" s="3">
        <v>1354</v>
      </c>
      <c r="B1355" s="3" t="s">
        <v>3234</v>
      </c>
      <c r="C1355" s="3" t="s">
        <v>331</v>
      </c>
      <c r="D1355" s="3">
        <v>9876543533</v>
      </c>
      <c r="E1355" s="3" t="s">
        <v>4420</v>
      </c>
      <c r="F1355" s="3" t="str" cm="1">
        <f t="array" ref="F1355">IF(E1355="","",_xlfn.XLOOKUP(E1355,{"FIRST","SECOND","THIRD","FOURTH"},{"SEM-1","SEM-2","SEM-3","SEM-4"},""))</f>
        <v>SEM-3</v>
      </c>
      <c r="G1355" s="3">
        <v>97</v>
      </c>
      <c r="H1355" s="3">
        <v>76</v>
      </c>
      <c r="I1355" s="3">
        <v>52</v>
      </c>
      <c r="J1355" s="3">
        <f t="shared" si="63"/>
        <v>225</v>
      </c>
      <c r="K1355" s="3" t="str">
        <f t="shared" si="64"/>
        <v>P</v>
      </c>
      <c r="L1355" s="3" t="str">
        <f t="shared" si="65"/>
        <v>A</v>
      </c>
    </row>
    <row r="1356" spans="1:12" ht="14.25" customHeight="1">
      <c r="A1356" s="3">
        <v>1355</v>
      </c>
      <c r="B1356" s="3" t="s">
        <v>4405</v>
      </c>
      <c r="C1356" s="3" t="s">
        <v>1484</v>
      </c>
      <c r="D1356" s="3">
        <v>9876544704</v>
      </c>
      <c r="E1356" s="3" t="s">
        <v>4418</v>
      </c>
      <c r="F1356" s="3" t="str" cm="1">
        <f t="array" ref="F1356">IF(E1356="","",_xlfn.XLOOKUP(E1356,{"FIRST","SECOND","THIRD","FOURTH"},{"SEM-1","SEM-2","SEM-3","SEM-4"},""))</f>
        <v>SEM-1</v>
      </c>
      <c r="G1356" s="3">
        <v>44</v>
      </c>
      <c r="H1356" s="3">
        <v>21</v>
      </c>
      <c r="I1356" s="3">
        <v>34</v>
      </c>
      <c r="J1356" s="3">
        <f t="shared" si="63"/>
        <v>99</v>
      </c>
      <c r="K1356" s="3" t="str">
        <f t="shared" si="64"/>
        <v>F</v>
      </c>
      <c r="L1356" s="3" t="str">
        <f t="shared" si="65"/>
        <v>FAIL</v>
      </c>
    </row>
    <row r="1357" spans="1:12" ht="14.25" customHeight="1">
      <c r="A1357" s="3">
        <v>1356</v>
      </c>
      <c r="B1357" s="3" t="s">
        <v>3609</v>
      </c>
      <c r="C1357" s="3" t="s">
        <v>703</v>
      </c>
      <c r="D1357" s="3">
        <v>9876543908</v>
      </c>
      <c r="E1357" s="3" t="s">
        <v>4420</v>
      </c>
      <c r="F1357" s="3" t="str" cm="1">
        <f t="array" ref="F1357">IF(E1357="","",_xlfn.XLOOKUP(E1357,{"FIRST","SECOND","THIRD","FOURTH"},{"SEM-1","SEM-2","SEM-3","SEM-4"},""))</f>
        <v>SEM-3</v>
      </c>
      <c r="G1357" s="3">
        <v>0</v>
      </c>
      <c r="H1357" s="3">
        <v>83</v>
      </c>
      <c r="I1357" s="3">
        <v>40</v>
      </c>
      <c r="J1357" s="3">
        <f t="shared" si="63"/>
        <v>123</v>
      </c>
      <c r="K1357" s="3" t="str">
        <f t="shared" si="64"/>
        <v>P</v>
      </c>
      <c r="L1357" s="3" t="str">
        <f t="shared" si="65"/>
        <v>C</v>
      </c>
    </row>
    <row r="1358" spans="1:12" ht="14.25" customHeight="1">
      <c r="A1358" s="3">
        <v>1357</v>
      </c>
      <c r="B1358" s="3" t="s">
        <v>4089</v>
      </c>
      <c r="C1358" s="3" t="s">
        <v>1175</v>
      </c>
      <c r="D1358" s="3">
        <v>9876544388</v>
      </c>
      <c r="E1358" s="3" t="s">
        <v>4419</v>
      </c>
      <c r="F1358" s="3" t="str" cm="1">
        <f t="array" ref="F1358">IF(E1358="","",_xlfn.XLOOKUP(E1358,{"FIRST","SECOND","THIRD","FOURTH"},{"SEM-1","SEM-2","SEM-3","SEM-4"},""))</f>
        <v>SEM-2</v>
      </c>
      <c r="G1358" s="3">
        <v>92</v>
      </c>
      <c r="H1358" s="3">
        <v>59</v>
      </c>
      <c r="I1358" s="3">
        <v>88</v>
      </c>
      <c r="J1358" s="3">
        <f t="shared" si="63"/>
        <v>239</v>
      </c>
      <c r="K1358" s="3" t="str">
        <f t="shared" si="64"/>
        <v>P</v>
      </c>
      <c r="L1358" s="3" t="str">
        <f t="shared" si="65"/>
        <v>A</v>
      </c>
    </row>
    <row r="1359" spans="1:12" ht="14.25" customHeight="1">
      <c r="A1359" s="3">
        <v>1358</v>
      </c>
      <c r="B1359" s="3" t="s">
        <v>3262</v>
      </c>
      <c r="C1359" s="3" t="s">
        <v>359</v>
      </c>
      <c r="D1359" s="3">
        <v>9876543561</v>
      </c>
      <c r="E1359" s="3" t="s">
        <v>4420</v>
      </c>
      <c r="F1359" s="3" t="str" cm="1">
        <f t="array" ref="F1359">IF(E1359="","",_xlfn.XLOOKUP(E1359,{"FIRST","SECOND","THIRD","FOURTH"},{"SEM-1","SEM-2","SEM-3","SEM-4"},""))</f>
        <v>SEM-3</v>
      </c>
      <c r="G1359" s="3">
        <v>48</v>
      </c>
      <c r="H1359" s="3">
        <v>75</v>
      </c>
      <c r="I1359" s="3">
        <v>93</v>
      </c>
      <c r="J1359" s="3">
        <f t="shared" si="63"/>
        <v>216</v>
      </c>
      <c r="K1359" s="3" t="str">
        <f t="shared" si="64"/>
        <v>P</v>
      </c>
      <c r="L1359" s="3" t="str">
        <f t="shared" si="65"/>
        <v>A</v>
      </c>
    </row>
    <row r="1360" spans="1:12" ht="14.25" customHeight="1">
      <c r="A1360" s="3">
        <v>1359</v>
      </c>
      <c r="B1360" s="3" t="s">
        <v>4124</v>
      </c>
      <c r="C1360" s="3" t="s">
        <v>1209</v>
      </c>
      <c r="D1360" s="3">
        <v>9876544423</v>
      </c>
      <c r="E1360" s="3" t="s">
        <v>4418</v>
      </c>
      <c r="F1360" s="3" t="str" cm="1">
        <f t="array" ref="F1360">IF(E1360="","",_xlfn.XLOOKUP(E1360,{"FIRST","SECOND","THIRD","FOURTH"},{"SEM-1","SEM-2","SEM-3","SEM-4"},""))</f>
        <v>SEM-1</v>
      </c>
      <c r="G1360" s="3">
        <v>51</v>
      </c>
      <c r="H1360" s="3">
        <v>50</v>
      </c>
      <c r="I1360" s="3">
        <v>58</v>
      </c>
      <c r="J1360" s="3">
        <f t="shared" si="63"/>
        <v>159</v>
      </c>
      <c r="K1360" s="3" t="str">
        <f t="shared" si="64"/>
        <v>P</v>
      </c>
      <c r="L1360" s="3" t="str">
        <f t="shared" si="65"/>
        <v>B</v>
      </c>
    </row>
    <row r="1361" spans="1:12" ht="14.25" customHeight="1">
      <c r="A1361" s="3">
        <v>1360</v>
      </c>
      <c r="B1361" s="3" t="s">
        <v>3886</v>
      </c>
      <c r="C1361" s="3" t="s">
        <v>977</v>
      </c>
      <c r="D1361" s="3">
        <v>9876544185</v>
      </c>
      <c r="E1361" s="3" t="s">
        <v>4418</v>
      </c>
      <c r="F1361" s="3" t="str" cm="1">
        <f t="array" ref="F1361">IF(E1361="","",_xlfn.XLOOKUP(E1361,{"FIRST","SECOND","THIRD","FOURTH"},{"SEM-1","SEM-2","SEM-3","SEM-4"},""))</f>
        <v>SEM-1</v>
      </c>
      <c r="G1361" s="3">
        <v>85</v>
      </c>
      <c r="H1361" s="3">
        <v>22</v>
      </c>
      <c r="I1361" s="3">
        <v>26</v>
      </c>
      <c r="J1361" s="3">
        <f t="shared" si="63"/>
        <v>133</v>
      </c>
      <c r="K1361" s="3" t="str">
        <f t="shared" si="64"/>
        <v>P</v>
      </c>
      <c r="L1361" s="3" t="str">
        <f t="shared" si="65"/>
        <v>C</v>
      </c>
    </row>
    <row r="1362" spans="1:12" ht="14.25" customHeight="1">
      <c r="A1362" s="3">
        <v>1361</v>
      </c>
      <c r="B1362" s="3" t="s">
        <v>3230</v>
      </c>
      <c r="C1362" s="3" t="s">
        <v>327</v>
      </c>
      <c r="D1362" s="3">
        <v>9876543529</v>
      </c>
      <c r="E1362" s="3" t="s">
        <v>4419</v>
      </c>
      <c r="F1362" s="3" t="str" cm="1">
        <f t="array" ref="F1362">IF(E1362="","",_xlfn.XLOOKUP(E1362,{"FIRST","SECOND","THIRD","FOURTH"},{"SEM-1","SEM-2","SEM-3","SEM-4"},""))</f>
        <v>SEM-2</v>
      </c>
      <c r="G1362" s="3">
        <v>97</v>
      </c>
      <c r="H1362" s="3">
        <v>71</v>
      </c>
      <c r="I1362" s="3">
        <v>60</v>
      </c>
      <c r="J1362" s="3">
        <f t="shared" si="63"/>
        <v>228</v>
      </c>
      <c r="K1362" s="3" t="str">
        <f t="shared" si="64"/>
        <v>P</v>
      </c>
      <c r="L1362" s="3" t="str">
        <f t="shared" si="65"/>
        <v>A</v>
      </c>
    </row>
    <row r="1363" spans="1:12" ht="14.25" customHeight="1">
      <c r="A1363" s="3">
        <v>1362</v>
      </c>
      <c r="B1363" s="3" t="s">
        <v>3200</v>
      </c>
      <c r="C1363" s="3" t="s">
        <v>298</v>
      </c>
      <c r="D1363" s="3">
        <v>9876543499</v>
      </c>
      <c r="E1363" s="3" t="s">
        <v>4420</v>
      </c>
      <c r="F1363" s="3" t="str" cm="1">
        <f t="array" ref="F1363">IF(E1363="","",_xlfn.XLOOKUP(E1363,{"FIRST","SECOND","THIRD","FOURTH"},{"SEM-1","SEM-2","SEM-3","SEM-4"},""))</f>
        <v>SEM-3</v>
      </c>
      <c r="G1363" s="3">
        <v>9</v>
      </c>
      <c r="H1363" s="3">
        <v>44</v>
      </c>
      <c r="I1363" s="3">
        <v>60</v>
      </c>
      <c r="J1363" s="3">
        <f t="shared" si="63"/>
        <v>113</v>
      </c>
      <c r="K1363" s="3" t="str">
        <f t="shared" si="64"/>
        <v>F</v>
      </c>
      <c r="L1363" s="3" t="str">
        <f t="shared" si="65"/>
        <v>FAIL</v>
      </c>
    </row>
    <row r="1364" spans="1:12" ht="14.25" customHeight="1">
      <c r="A1364" s="3">
        <v>1363</v>
      </c>
      <c r="B1364" s="3" t="s">
        <v>3428</v>
      </c>
      <c r="C1364" s="3" t="s">
        <v>524</v>
      </c>
      <c r="D1364" s="3">
        <v>9876543727</v>
      </c>
      <c r="E1364" s="3" t="s">
        <v>4420</v>
      </c>
      <c r="F1364" s="3" t="str" cm="1">
        <f t="array" ref="F1364">IF(E1364="","",_xlfn.XLOOKUP(E1364,{"FIRST","SECOND","THIRD","FOURTH"},{"SEM-1","SEM-2","SEM-3","SEM-4"},""))</f>
        <v>SEM-3</v>
      </c>
      <c r="G1364" s="3">
        <v>39</v>
      </c>
      <c r="H1364" s="3">
        <v>91</v>
      </c>
      <c r="I1364" s="3">
        <v>50</v>
      </c>
      <c r="J1364" s="3">
        <f t="shared" si="63"/>
        <v>180</v>
      </c>
      <c r="K1364" s="3" t="str">
        <f t="shared" si="64"/>
        <v>P</v>
      </c>
      <c r="L1364" s="3" t="str">
        <f t="shared" si="65"/>
        <v>B</v>
      </c>
    </row>
    <row r="1365" spans="1:12" ht="14.25" customHeight="1">
      <c r="A1365" s="3">
        <v>1364</v>
      </c>
      <c r="B1365" s="3" t="s">
        <v>4189</v>
      </c>
      <c r="C1365" s="3" t="s">
        <v>1274</v>
      </c>
      <c r="D1365" s="3">
        <v>9876544488</v>
      </c>
      <c r="E1365" s="3" t="s">
        <v>4420</v>
      </c>
      <c r="F1365" s="3" t="str" cm="1">
        <f t="array" ref="F1365">IF(E1365="","",_xlfn.XLOOKUP(E1365,{"FIRST","SECOND","THIRD","FOURTH"},{"SEM-1","SEM-2","SEM-3","SEM-4"},""))</f>
        <v>SEM-3</v>
      </c>
      <c r="G1365" s="3">
        <v>1</v>
      </c>
      <c r="H1365" s="3">
        <v>97</v>
      </c>
      <c r="I1365" s="3">
        <v>34</v>
      </c>
      <c r="J1365" s="3">
        <f t="shared" si="63"/>
        <v>132</v>
      </c>
      <c r="K1365" s="3" t="str">
        <f t="shared" si="64"/>
        <v>P</v>
      </c>
      <c r="L1365" s="3" t="str">
        <f t="shared" si="65"/>
        <v>C</v>
      </c>
    </row>
    <row r="1366" spans="1:12" ht="14.25" customHeight="1">
      <c r="A1366" s="3">
        <v>1365</v>
      </c>
      <c r="B1366" s="3" t="s">
        <v>4331</v>
      </c>
      <c r="C1366" s="3" t="s">
        <v>1410</v>
      </c>
      <c r="D1366" s="3">
        <v>9876544630</v>
      </c>
      <c r="E1366" s="3" t="s">
        <v>4418</v>
      </c>
      <c r="F1366" s="3" t="str" cm="1">
        <f t="array" ref="F1366">IF(E1366="","",_xlfn.XLOOKUP(E1366,{"FIRST","SECOND","THIRD","FOURTH"},{"SEM-1","SEM-2","SEM-3","SEM-4"},""))</f>
        <v>SEM-1</v>
      </c>
      <c r="G1366" s="3">
        <v>76</v>
      </c>
      <c r="H1366" s="3">
        <v>69</v>
      </c>
      <c r="I1366" s="3">
        <v>69</v>
      </c>
      <c r="J1366" s="3">
        <f t="shared" si="63"/>
        <v>214</v>
      </c>
      <c r="K1366" s="3" t="str">
        <f t="shared" si="64"/>
        <v>P</v>
      </c>
      <c r="L1366" s="3" t="str">
        <f t="shared" si="65"/>
        <v>A</v>
      </c>
    </row>
    <row r="1367" spans="1:12" ht="14.25" customHeight="1">
      <c r="A1367" s="3">
        <v>1366</v>
      </c>
      <c r="B1367" s="3" t="s">
        <v>3069</v>
      </c>
      <c r="C1367" s="3" t="s">
        <v>167</v>
      </c>
      <c r="D1367" s="3">
        <v>9876543368</v>
      </c>
      <c r="E1367" s="3" t="s">
        <v>4418</v>
      </c>
      <c r="F1367" s="3" t="str" cm="1">
        <f t="array" ref="F1367">IF(E1367="","",_xlfn.XLOOKUP(E1367,{"FIRST","SECOND","THIRD","FOURTH"},{"SEM-1","SEM-2","SEM-3","SEM-4"},""))</f>
        <v>SEM-1</v>
      </c>
      <c r="G1367" s="3">
        <v>84</v>
      </c>
      <c r="H1367" s="3">
        <v>91</v>
      </c>
      <c r="I1367" s="3">
        <v>80</v>
      </c>
      <c r="J1367" s="3">
        <f t="shared" si="63"/>
        <v>255</v>
      </c>
      <c r="K1367" s="3" t="str">
        <f t="shared" si="64"/>
        <v>P</v>
      </c>
      <c r="L1367" s="3" t="str">
        <f t="shared" si="65"/>
        <v>A</v>
      </c>
    </row>
    <row r="1368" spans="1:12" ht="14.25" customHeight="1">
      <c r="A1368" s="3">
        <v>1367</v>
      </c>
      <c r="B1368" s="3" t="s">
        <v>3853</v>
      </c>
      <c r="C1368" s="3" t="s">
        <v>945</v>
      </c>
      <c r="D1368" s="3">
        <v>9876544152</v>
      </c>
      <c r="E1368" s="3" t="s">
        <v>4418</v>
      </c>
      <c r="F1368" s="3" t="str" cm="1">
        <f t="array" ref="F1368">IF(E1368="","",_xlfn.XLOOKUP(E1368,{"FIRST","SECOND","THIRD","FOURTH"},{"SEM-1","SEM-2","SEM-3","SEM-4"},""))</f>
        <v>SEM-1</v>
      </c>
      <c r="G1368" s="3">
        <v>0</v>
      </c>
      <c r="H1368" s="3">
        <v>0</v>
      </c>
      <c r="I1368" s="3">
        <v>97</v>
      </c>
      <c r="J1368" s="3">
        <f t="shared" si="63"/>
        <v>97</v>
      </c>
      <c r="K1368" s="3" t="str">
        <f t="shared" si="64"/>
        <v>P</v>
      </c>
      <c r="L1368" s="3" t="str">
        <f t="shared" si="65"/>
        <v>FAIL</v>
      </c>
    </row>
    <row r="1369" spans="1:12" ht="14.25" customHeight="1">
      <c r="A1369" s="3">
        <v>1368</v>
      </c>
      <c r="B1369" s="3" t="s">
        <v>3969</v>
      </c>
      <c r="C1369" s="3" t="s">
        <v>1059</v>
      </c>
      <c r="D1369" s="3">
        <v>9876544268</v>
      </c>
      <c r="E1369" s="3" t="s">
        <v>4419</v>
      </c>
      <c r="F1369" s="3" t="str" cm="1">
        <f t="array" ref="F1369">IF(E1369="","",_xlfn.XLOOKUP(E1369,{"FIRST","SECOND","THIRD","FOURTH"},{"SEM-1","SEM-2","SEM-3","SEM-4"},""))</f>
        <v>SEM-2</v>
      </c>
      <c r="G1369" s="3">
        <v>77</v>
      </c>
      <c r="H1369" s="3">
        <v>41</v>
      </c>
      <c r="I1369" s="3">
        <v>60</v>
      </c>
      <c r="J1369" s="3">
        <f t="shared" si="63"/>
        <v>178</v>
      </c>
      <c r="K1369" s="3" t="str">
        <f t="shared" si="64"/>
        <v>P</v>
      </c>
      <c r="L1369" s="3" t="str">
        <f t="shared" si="65"/>
        <v>B</v>
      </c>
    </row>
    <row r="1370" spans="1:12" ht="14.25" customHeight="1">
      <c r="A1370" s="3">
        <v>1369</v>
      </c>
      <c r="B1370" s="3" t="s">
        <v>3450</v>
      </c>
      <c r="C1370" s="3" t="s">
        <v>546</v>
      </c>
      <c r="D1370" s="3">
        <v>9876543749</v>
      </c>
      <c r="E1370" s="3" t="s">
        <v>4420</v>
      </c>
      <c r="F1370" s="3" t="str" cm="1">
        <f t="array" ref="F1370">IF(E1370="","",_xlfn.XLOOKUP(E1370,{"FIRST","SECOND","THIRD","FOURTH"},{"SEM-1","SEM-2","SEM-3","SEM-4"},""))</f>
        <v>SEM-3</v>
      </c>
      <c r="G1370" s="3">
        <v>70</v>
      </c>
      <c r="H1370" s="3">
        <v>15</v>
      </c>
      <c r="I1370" s="3">
        <v>29</v>
      </c>
      <c r="J1370" s="3">
        <f t="shared" si="63"/>
        <v>114</v>
      </c>
      <c r="K1370" s="3" t="str">
        <f t="shared" si="64"/>
        <v>P</v>
      </c>
      <c r="L1370" s="3" t="str">
        <f t="shared" si="65"/>
        <v>FAIL</v>
      </c>
    </row>
    <row r="1371" spans="1:12" ht="14.25" customHeight="1">
      <c r="A1371" s="3">
        <v>1370</v>
      </c>
      <c r="B1371" s="3" t="s">
        <v>4122</v>
      </c>
      <c r="C1371" s="3" t="s">
        <v>1207</v>
      </c>
      <c r="D1371" s="3">
        <v>9876544421</v>
      </c>
      <c r="E1371" s="3" t="s">
        <v>4420</v>
      </c>
      <c r="F1371" s="3" t="str" cm="1">
        <f t="array" ref="F1371">IF(E1371="","",_xlfn.XLOOKUP(E1371,{"FIRST","SECOND","THIRD","FOURTH"},{"SEM-1","SEM-2","SEM-3","SEM-4"},""))</f>
        <v>SEM-3</v>
      </c>
      <c r="G1371" s="3">
        <v>10</v>
      </c>
      <c r="H1371" s="3">
        <v>53</v>
      </c>
      <c r="I1371" s="3">
        <v>19</v>
      </c>
      <c r="J1371" s="3">
        <f t="shared" si="63"/>
        <v>82</v>
      </c>
      <c r="K1371" s="3" t="str">
        <f t="shared" si="64"/>
        <v>F</v>
      </c>
      <c r="L1371" s="3" t="str">
        <f t="shared" si="65"/>
        <v>FAIL</v>
      </c>
    </row>
    <row r="1372" spans="1:12" ht="14.25" customHeight="1">
      <c r="A1372" s="3">
        <v>1371</v>
      </c>
      <c r="B1372" s="3" t="s">
        <v>4063</v>
      </c>
      <c r="C1372" s="3" t="s">
        <v>1150</v>
      </c>
      <c r="D1372" s="3">
        <v>9876544362</v>
      </c>
      <c r="E1372" s="3" t="s">
        <v>4420</v>
      </c>
      <c r="F1372" s="3" t="str" cm="1">
        <f t="array" ref="F1372">IF(E1372="","",_xlfn.XLOOKUP(E1372,{"FIRST","SECOND","THIRD","FOURTH"},{"SEM-1","SEM-2","SEM-3","SEM-4"},""))</f>
        <v>SEM-3</v>
      </c>
      <c r="G1372" s="3">
        <v>33</v>
      </c>
      <c r="H1372" s="3">
        <v>34</v>
      </c>
      <c r="I1372" s="3">
        <v>92</v>
      </c>
      <c r="J1372" s="3">
        <f t="shared" si="63"/>
        <v>159</v>
      </c>
      <c r="K1372" s="3" t="str">
        <f t="shared" si="64"/>
        <v>P</v>
      </c>
      <c r="L1372" s="3" t="str">
        <f t="shared" si="65"/>
        <v>B</v>
      </c>
    </row>
    <row r="1373" spans="1:12" ht="14.25" customHeight="1">
      <c r="A1373" s="3">
        <v>1372</v>
      </c>
      <c r="B1373" s="3" t="s">
        <v>3097</v>
      </c>
      <c r="C1373" s="3" t="s">
        <v>195</v>
      </c>
      <c r="D1373" s="3">
        <v>9876543396</v>
      </c>
      <c r="E1373" s="3" t="s">
        <v>4418</v>
      </c>
      <c r="F1373" s="3" t="str" cm="1">
        <f t="array" ref="F1373">IF(E1373="","",_xlfn.XLOOKUP(E1373,{"FIRST","SECOND","THIRD","FOURTH"},{"SEM-1","SEM-2","SEM-3","SEM-4"},""))</f>
        <v>SEM-1</v>
      </c>
      <c r="G1373" s="3">
        <v>24</v>
      </c>
      <c r="H1373" s="3">
        <v>100</v>
      </c>
      <c r="I1373" s="3">
        <v>28</v>
      </c>
      <c r="J1373" s="3">
        <f t="shared" si="63"/>
        <v>152</v>
      </c>
      <c r="K1373" s="3" t="str">
        <f t="shared" si="64"/>
        <v>P</v>
      </c>
      <c r="L1373" s="3" t="str">
        <f t="shared" si="65"/>
        <v>B</v>
      </c>
    </row>
    <row r="1374" spans="1:12" ht="14.25" customHeight="1">
      <c r="A1374" s="3">
        <v>1373</v>
      </c>
      <c r="B1374" s="3" t="s">
        <v>3601</v>
      </c>
      <c r="C1374" s="3" t="s">
        <v>695</v>
      </c>
      <c r="D1374" s="3">
        <v>9876543900</v>
      </c>
      <c r="E1374" s="3" t="s">
        <v>4419</v>
      </c>
      <c r="F1374" s="3" t="str" cm="1">
        <f t="array" ref="F1374">IF(E1374="","",_xlfn.XLOOKUP(E1374,{"FIRST","SECOND","THIRD","FOURTH"},{"SEM-1","SEM-2","SEM-3","SEM-4"},""))</f>
        <v>SEM-2</v>
      </c>
      <c r="G1374" s="3">
        <v>4</v>
      </c>
      <c r="H1374" s="3">
        <v>72</v>
      </c>
      <c r="I1374" s="3">
        <v>71</v>
      </c>
      <c r="J1374" s="3">
        <f t="shared" si="63"/>
        <v>147</v>
      </c>
      <c r="K1374" s="3" t="str">
        <f t="shared" si="64"/>
        <v>P</v>
      </c>
      <c r="L1374" s="3" t="str">
        <f t="shared" si="65"/>
        <v>C</v>
      </c>
    </row>
    <row r="1375" spans="1:12" ht="14.25" customHeight="1">
      <c r="A1375" s="3">
        <v>1374</v>
      </c>
      <c r="B1375" s="3" t="s">
        <v>2967</v>
      </c>
      <c r="C1375" s="3" t="s">
        <v>65</v>
      </c>
      <c r="D1375" s="3">
        <v>9876543266</v>
      </c>
      <c r="E1375" s="3" t="s">
        <v>4418</v>
      </c>
      <c r="F1375" s="3" t="str" cm="1">
        <f t="array" ref="F1375">IF(E1375="","",_xlfn.XLOOKUP(E1375,{"FIRST","SECOND","THIRD","FOURTH"},{"SEM-1","SEM-2","SEM-3","SEM-4"},""))</f>
        <v>SEM-1</v>
      </c>
      <c r="G1375" s="3">
        <v>23</v>
      </c>
      <c r="H1375" s="3">
        <v>92</v>
      </c>
      <c r="I1375" s="3">
        <v>19</v>
      </c>
      <c r="J1375" s="3">
        <f t="shared" si="63"/>
        <v>134</v>
      </c>
      <c r="K1375" s="3" t="str">
        <f t="shared" si="64"/>
        <v>P</v>
      </c>
      <c r="L1375" s="3" t="str">
        <f t="shared" si="65"/>
        <v>C</v>
      </c>
    </row>
    <row r="1376" spans="1:12" ht="14.25" customHeight="1">
      <c r="A1376" s="3">
        <v>1375</v>
      </c>
      <c r="B1376" s="3" t="s">
        <v>3815</v>
      </c>
      <c r="C1376" s="3" t="s">
        <v>907</v>
      </c>
      <c r="D1376" s="3">
        <v>9876544114</v>
      </c>
      <c r="E1376" s="3" t="s">
        <v>4419</v>
      </c>
      <c r="F1376" s="3" t="str" cm="1">
        <f t="array" ref="F1376">IF(E1376="","",_xlfn.XLOOKUP(E1376,{"FIRST","SECOND","THIRD","FOURTH"},{"SEM-1","SEM-2","SEM-3","SEM-4"},""))</f>
        <v>SEM-2</v>
      </c>
      <c r="G1376" s="3">
        <v>59</v>
      </c>
      <c r="H1376" s="3">
        <v>10</v>
      </c>
      <c r="I1376" s="3">
        <v>24</v>
      </c>
      <c r="J1376" s="3">
        <f t="shared" si="63"/>
        <v>93</v>
      </c>
      <c r="K1376" s="3" t="str">
        <f t="shared" si="64"/>
        <v>F</v>
      </c>
      <c r="L1376" s="3" t="str">
        <f t="shared" si="65"/>
        <v>FAIL</v>
      </c>
    </row>
    <row r="1377" spans="1:12" ht="14.25" customHeight="1">
      <c r="A1377" s="3">
        <v>1376</v>
      </c>
      <c r="B1377" s="3" t="s">
        <v>4344</v>
      </c>
      <c r="C1377" s="3" t="s">
        <v>1423</v>
      </c>
      <c r="D1377" s="3">
        <v>9876544643</v>
      </c>
      <c r="E1377" s="3" t="s">
        <v>4419</v>
      </c>
      <c r="F1377" s="3" t="str" cm="1">
        <f t="array" ref="F1377">IF(E1377="","",_xlfn.XLOOKUP(E1377,{"FIRST","SECOND","THIRD","FOURTH"},{"SEM-1","SEM-2","SEM-3","SEM-4"},""))</f>
        <v>SEM-2</v>
      </c>
      <c r="G1377" s="3">
        <v>53</v>
      </c>
      <c r="H1377" s="3">
        <v>59</v>
      </c>
      <c r="I1377" s="3">
        <v>12</v>
      </c>
      <c r="J1377" s="3">
        <f t="shared" si="63"/>
        <v>124</v>
      </c>
      <c r="K1377" s="3" t="str">
        <f t="shared" si="64"/>
        <v>P</v>
      </c>
      <c r="L1377" s="3" t="str">
        <f t="shared" si="65"/>
        <v>C</v>
      </c>
    </row>
    <row r="1378" spans="1:12" ht="14.25" customHeight="1">
      <c r="A1378" s="3">
        <v>1377</v>
      </c>
      <c r="B1378" s="3" t="s">
        <v>3997</v>
      </c>
      <c r="C1378" s="3" t="s">
        <v>1086</v>
      </c>
      <c r="D1378" s="3">
        <v>9876544296</v>
      </c>
      <c r="E1378" s="3" t="s">
        <v>4419</v>
      </c>
      <c r="F1378" s="3" t="str" cm="1">
        <f t="array" ref="F1378">IF(E1378="","",_xlfn.XLOOKUP(E1378,{"FIRST","SECOND","THIRD","FOURTH"},{"SEM-1","SEM-2","SEM-3","SEM-4"},""))</f>
        <v>SEM-2</v>
      </c>
      <c r="G1378" s="3">
        <v>40</v>
      </c>
      <c r="H1378" s="3">
        <v>51</v>
      </c>
      <c r="I1378" s="3">
        <v>41</v>
      </c>
      <c r="J1378" s="3">
        <f t="shared" si="63"/>
        <v>132</v>
      </c>
      <c r="K1378" s="3" t="str">
        <f t="shared" si="64"/>
        <v>P</v>
      </c>
      <c r="L1378" s="3" t="str">
        <f t="shared" si="65"/>
        <v>C</v>
      </c>
    </row>
    <row r="1379" spans="1:12" ht="14.25" customHeight="1">
      <c r="A1379" s="3">
        <v>1378</v>
      </c>
      <c r="B1379" s="3" t="s">
        <v>3723</v>
      </c>
      <c r="C1379" s="3" t="s">
        <v>816</v>
      </c>
      <c r="D1379" s="3">
        <v>9876544022</v>
      </c>
      <c r="E1379" s="3" t="s">
        <v>4418</v>
      </c>
      <c r="F1379" s="3" t="str" cm="1">
        <f t="array" ref="F1379">IF(E1379="","",_xlfn.XLOOKUP(E1379,{"FIRST","SECOND","THIRD","FOURTH"},{"SEM-1","SEM-2","SEM-3","SEM-4"},""))</f>
        <v>SEM-1</v>
      </c>
      <c r="G1379" s="3">
        <v>56</v>
      </c>
      <c r="H1379" s="3">
        <v>0</v>
      </c>
      <c r="I1379" s="3">
        <v>9</v>
      </c>
      <c r="J1379" s="3">
        <f t="shared" si="63"/>
        <v>65</v>
      </c>
      <c r="K1379" s="3" t="str">
        <f t="shared" si="64"/>
        <v>F</v>
      </c>
      <c r="L1379" s="3" t="str">
        <f t="shared" si="65"/>
        <v>FAIL</v>
      </c>
    </row>
    <row r="1380" spans="1:12" ht="14.25" customHeight="1">
      <c r="A1380" s="3">
        <v>1379</v>
      </c>
      <c r="B1380" s="3" t="s">
        <v>2965</v>
      </c>
      <c r="C1380" s="3" t="s">
        <v>63</v>
      </c>
      <c r="D1380" s="3">
        <v>9876543264</v>
      </c>
      <c r="E1380" s="3" t="s">
        <v>4419</v>
      </c>
      <c r="F1380" s="3" t="str" cm="1">
        <f t="array" ref="F1380">IF(E1380="","",_xlfn.XLOOKUP(E1380,{"FIRST","SECOND","THIRD","FOURTH"},{"SEM-1","SEM-2","SEM-3","SEM-4"},""))</f>
        <v>SEM-2</v>
      </c>
      <c r="G1380" s="3">
        <v>20</v>
      </c>
      <c r="H1380" s="3">
        <v>40</v>
      </c>
      <c r="I1380" s="3">
        <v>18</v>
      </c>
      <c r="J1380" s="3">
        <f t="shared" si="63"/>
        <v>78</v>
      </c>
      <c r="K1380" s="3" t="str">
        <f t="shared" si="64"/>
        <v>F</v>
      </c>
      <c r="L1380" s="3" t="str">
        <f t="shared" si="65"/>
        <v>FAIL</v>
      </c>
    </row>
    <row r="1381" spans="1:12" ht="14.25" customHeight="1">
      <c r="A1381" s="3">
        <v>1380</v>
      </c>
      <c r="B1381" s="3" t="s">
        <v>4365</v>
      </c>
      <c r="C1381" s="3" t="s">
        <v>1444</v>
      </c>
      <c r="D1381" s="3">
        <v>9876544664</v>
      </c>
      <c r="E1381" s="3" t="s">
        <v>4418</v>
      </c>
      <c r="F1381" s="3" t="str" cm="1">
        <f t="array" ref="F1381">IF(E1381="","",_xlfn.XLOOKUP(E1381,{"FIRST","SECOND","THIRD","FOURTH"},{"SEM-1","SEM-2","SEM-3","SEM-4"},""))</f>
        <v>SEM-1</v>
      </c>
      <c r="G1381" s="3">
        <v>72</v>
      </c>
      <c r="H1381" s="3">
        <v>100</v>
      </c>
      <c r="I1381" s="3">
        <v>69</v>
      </c>
      <c r="J1381" s="3">
        <f t="shared" si="63"/>
        <v>241</v>
      </c>
      <c r="K1381" s="3" t="str">
        <f t="shared" si="64"/>
        <v>P</v>
      </c>
      <c r="L1381" s="3" t="str">
        <f t="shared" si="65"/>
        <v>A</v>
      </c>
    </row>
    <row r="1382" spans="1:12" ht="14.25" customHeight="1">
      <c r="A1382" s="3">
        <v>1381</v>
      </c>
      <c r="B1382" s="3" t="s">
        <v>3669</v>
      </c>
      <c r="C1382" s="3" t="s">
        <v>762</v>
      </c>
      <c r="D1382" s="3">
        <v>9876543968</v>
      </c>
      <c r="E1382" s="3" t="s">
        <v>4419</v>
      </c>
      <c r="F1382" s="3" t="str" cm="1">
        <f t="array" ref="F1382">IF(E1382="","",_xlfn.XLOOKUP(E1382,{"FIRST","SECOND","THIRD","FOURTH"},{"SEM-1","SEM-2","SEM-3","SEM-4"},""))</f>
        <v>SEM-2</v>
      </c>
      <c r="G1382" s="3">
        <v>51</v>
      </c>
      <c r="H1382" s="3">
        <v>19</v>
      </c>
      <c r="I1382" s="3">
        <v>36</v>
      </c>
      <c r="J1382" s="3">
        <f t="shared" si="63"/>
        <v>106</v>
      </c>
      <c r="K1382" s="3" t="str">
        <f t="shared" si="64"/>
        <v>F</v>
      </c>
      <c r="L1382" s="3" t="str">
        <f t="shared" si="65"/>
        <v>FAIL</v>
      </c>
    </row>
    <row r="1383" spans="1:12" ht="14.25" customHeight="1">
      <c r="A1383" s="3">
        <v>1382</v>
      </c>
      <c r="B1383" s="3" t="s">
        <v>3280</v>
      </c>
      <c r="C1383" s="3" t="s">
        <v>377</v>
      </c>
      <c r="D1383" s="3">
        <v>9876543579</v>
      </c>
      <c r="E1383" s="3" t="s">
        <v>4418</v>
      </c>
      <c r="F1383" s="3" t="str" cm="1">
        <f t="array" ref="F1383">IF(E1383="","",_xlfn.XLOOKUP(E1383,{"FIRST","SECOND","THIRD","FOURTH"},{"SEM-1","SEM-2","SEM-3","SEM-4"},""))</f>
        <v>SEM-1</v>
      </c>
      <c r="G1383" s="3">
        <v>74</v>
      </c>
      <c r="H1383" s="3">
        <v>35</v>
      </c>
      <c r="I1383" s="3">
        <v>74</v>
      </c>
      <c r="J1383" s="3">
        <f t="shared" si="63"/>
        <v>183</v>
      </c>
      <c r="K1383" s="3" t="str">
        <f t="shared" si="64"/>
        <v>P</v>
      </c>
      <c r="L1383" s="3" t="str">
        <f t="shared" si="65"/>
        <v>B</v>
      </c>
    </row>
    <row r="1384" spans="1:12" ht="14.25" customHeight="1">
      <c r="A1384" s="3">
        <v>1383</v>
      </c>
      <c r="B1384" s="3" t="s">
        <v>3394</v>
      </c>
      <c r="C1384" s="3" t="s">
        <v>490</v>
      </c>
      <c r="D1384" s="3">
        <v>9876543693</v>
      </c>
      <c r="E1384" s="3" t="s">
        <v>4418</v>
      </c>
      <c r="F1384" s="3" t="str" cm="1">
        <f t="array" ref="F1384">IF(E1384="","",_xlfn.XLOOKUP(E1384,{"FIRST","SECOND","THIRD","FOURTH"},{"SEM-1","SEM-2","SEM-3","SEM-4"},""))</f>
        <v>SEM-1</v>
      </c>
      <c r="G1384" s="3">
        <v>79</v>
      </c>
      <c r="H1384" s="3">
        <v>94</v>
      </c>
      <c r="I1384" s="3">
        <v>27</v>
      </c>
      <c r="J1384" s="3">
        <f t="shared" si="63"/>
        <v>200</v>
      </c>
      <c r="K1384" s="3" t="str">
        <f t="shared" si="64"/>
        <v>P</v>
      </c>
      <c r="L1384" s="3" t="str">
        <f t="shared" si="65"/>
        <v>A</v>
      </c>
    </row>
    <row r="1385" spans="1:12" ht="14.25" customHeight="1">
      <c r="A1385" s="3">
        <v>1384</v>
      </c>
      <c r="B1385" s="3" t="s">
        <v>3883</v>
      </c>
      <c r="C1385" s="3" t="s">
        <v>974</v>
      </c>
      <c r="D1385" s="3">
        <v>9876544182</v>
      </c>
      <c r="E1385" s="3" t="s">
        <v>4419</v>
      </c>
      <c r="F1385" s="3" t="str" cm="1">
        <f t="array" ref="F1385">IF(E1385="","",_xlfn.XLOOKUP(E1385,{"FIRST","SECOND","THIRD","FOURTH"},{"SEM-1","SEM-2","SEM-3","SEM-4"},""))</f>
        <v>SEM-2</v>
      </c>
      <c r="G1385" s="3">
        <v>74</v>
      </c>
      <c r="H1385" s="3">
        <v>61</v>
      </c>
      <c r="I1385" s="3">
        <v>28</v>
      </c>
      <c r="J1385" s="3">
        <f t="shared" si="63"/>
        <v>163</v>
      </c>
      <c r="K1385" s="3" t="str">
        <f t="shared" si="64"/>
        <v>P</v>
      </c>
      <c r="L1385" s="3" t="str">
        <f t="shared" si="65"/>
        <v>B</v>
      </c>
    </row>
    <row r="1386" spans="1:12" ht="14.25" customHeight="1">
      <c r="A1386" s="3">
        <v>1385</v>
      </c>
      <c r="B1386" s="3" t="s">
        <v>3432</v>
      </c>
      <c r="C1386" s="3" t="s">
        <v>528</v>
      </c>
      <c r="D1386" s="3">
        <v>9876543731</v>
      </c>
      <c r="E1386" s="3" t="s">
        <v>4420</v>
      </c>
      <c r="F1386" s="3" t="str" cm="1">
        <f t="array" ref="F1386">IF(E1386="","",_xlfn.XLOOKUP(E1386,{"FIRST","SECOND","THIRD","FOURTH"},{"SEM-1","SEM-2","SEM-3","SEM-4"},""))</f>
        <v>SEM-3</v>
      </c>
      <c r="G1386" s="3">
        <v>56</v>
      </c>
      <c r="H1386" s="3">
        <v>39</v>
      </c>
      <c r="I1386" s="3">
        <v>84</v>
      </c>
      <c r="J1386" s="3">
        <f t="shared" si="63"/>
        <v>179</v>
      </c>
      <c r="K1386" s="3" t="str">
        <f t="shared" si="64"/>
        <v>P</v>
      </c>
      <c r="L1386" s="3" t="str">
        <f t="shared" si="65"/>
        <v>B</v>
      </c>
    </row>
    <row r="1387" spans="1:12" ht="14.25" customHeight="1">
      <c r="A1387" s="3">
        <v>1386</v>
      </c>
      <c r="B1387" s="3" t="s">
        <v>3258</v>
      </c>
      <c r="C1387" s="3" t="s">
        <v>355</v>
      </c>
      <c r="D1387" s="3">
        <v>9876543557</v>
      </c>
      <c r="E1387" s="3" t="s">
        <v>4420</v>
      </c>
      <c r="F1387" s="3" t="str" cm="1">
        <f t="array" ref="F1387">IF(E1387="","",_xlfn.XLOOKUP(E1387,{"FIRST","SECOND","THIRD","FOURTH"},{"SEM-1","SEM-2","SEM-3","SEM-4"},""))</f>
        <v>SEM-3</v>
      </c>
      <c r="G1387" s="3">
        <v>81</v>
      </c>
      <c r="H1387" s="3">
        <v>65</v>
      </c>
      <c r="I1387" s="3">
        <v>12</v>
      </c>
      <c r="J1387" s="3">
        <f t="shared" si="63"/>
        <v>158</v>
      </c>
      <c r="K1387" s="3" t="str">
        <f t="shared" si="64"/>
        <v>P</v>
      </c>
      <c r="L1387" s="3" t="str">
        <f t="shared" si="65"/>
        <v>B</v>
      </c>
    </row>
    <row r="1388" spans="1:12" ht="14.25" customHeight="1">
      <c r="A1388" s="3">
        <v>1387</v>
      </c>
      <c r="B1388" s="3" t="s">
        <v>4307</v>
      </c>
      <c r="C1388" s="3" t="s">
        <v>1387</v>
      </c>
      <c r="D1388" s="3">
        <v>9876544606</v>
      </c>
      <c r="E1388" s="3" t="s">
        <v>4418</v>
      </c>
      <c r="F1388" s="3" t="str" cm="1">
        <f t="array" ref="F1388">IF(E1388="","",_xlfn.XLOOKUP(E1388,{"FIRST","SECOND","THIRD","FOURTH"},{"SEM-1","SEM-2","SEM-3","SEM-4"},""))</f>
        <v>SEM-1</v>
      </c>
      <c r="G1388" s="3">
        <v>50</v>
      </c>
      <c r="H1388" s="3">
        <v>78</v>
      </c>
      <c r="I1388" s="3">
        <v>83</v>
      </c>
      <c r="J1388" s="3">
        <f t="shared" si="63"/>
        <v>211</v>
      </c>
      <c r="K1388" s="3" t="str">
        <f t="shared" si="64"/>
        <v>P</v>
      </c>
      <c r="L1388" s="3" t="str">
        <f t="shared" si="65"/>
        <v>A</v>
      </c>
    </row>
    <row r="1389" spans="1:12" ht="14.25" customHeight="1">
      <c r="A1389" s="3">
        <v>1388</v>
      </c>
      <c r="B1389" s="3" t="s">
        <v>3061</v>
      </c>
      <c r="C1389" s="3" t="s">
        <v>159</v>
      </c>
      <c r="D1389" s="3">
        <v>9876543360</v>
      </c>
      <c r="E1389" s="3" t="s">
        <v>4419</v>
      </c>
      <c r="F1389" s="3" t="str" cm="1">
        <f t="array" ref="F1389">IF(E1389="","",_xlfn.XLOOKUP(E1389,{"FIRST","SECOND","THIRD","FOURTH"},{"SEM-1","SEM-2","SEM-3","SEM-4"},""))</f>
        <v>SEM-2</v>
      </c>
      <c r="G1389" s="3">
        <v>22</v>
      </c>
      <c r="H1389" s="3">
        <v>17</v>
      </c>
      <c r="I1389" s="3">
        <v>92</v>
      </c>
      <c r="J1389" s="3">
        <f t="shared" si="63"/>
        <v>131</v>
      </c>
      <c r="K1389" s="3" t="str">
        <f t="shared" si="64"/>
        <v>P</v>
      </c>
      <c r="L1389" s="3" t="str">
        <f t="shared" si="65"/>
        <v>C</v>
      </c>
    </row>
    <row r="1390" spans="1:12" ht="14.25" customHeight="1">
      <c r="A1390" s="3">
        <v>1389</v>
      </c>
      <c r="B1390" s="3" t="s">
        <v>4015</v>
      </c>
      <c r="C1390" s="3" t="s">
        <v>1104</v>
      </c>
      <c r="D1390" s="3">
        <v>9876544314</v>
      </c>
      <c r="E1390" s="3" t="s">
        <v>4419</v>
      </c>
      <c r="F1390" s="3" t="str" cm="1">
        <f t="array" ref="F1390">IF(E1390="","",_xlfn.XLOOKUP(E1390,{"FIRST","SECOND","THIRD","FOURTH"},{"SEM-1","SEM-2","SEM-3","SEM-4"},""))</f>
        <v>SEM-2</v>
      </c>
      <c r="G1390" s="3">
        <v>83</v>
      </c>
      <c r="H1390" s="3">
        <v>75</v>
      </c>
      <c r="I1390" s="3">
        <v>18</v>
      </c>
      <c r="J1390" s="3">
        <f t="shared" si="63"/>
        <v>176</v>
      </c>
      <c r="K1390" s="3" t="str">
        <f t="shared" si="64"/>
        <v>P</v>
      </c>
      <c r="L1390" s="3" t="str">
        <f t="shared" si="65"/>
        <v>B</v>
      </c>
    </row>
    <row r="1391" spans="1:12" ht="14.25" customHeight="1">
      <c r="A1391" s="3">
        <v>1390</v>
      </c>
      <c r="B1391" s="3" t="s">
        <v>4345</v>
      </c>
      <c r="C1391" s="3" t="s">
        <v>1424</v>
      </c>
      <c r="D1391" s="3">
        <v>9876544644</v>
      </c>
      <c r="E1391" s="3" t="s">
        <v>4419</v>
      </c>
      <c r="F1391" s="3" t="str" cm="1">
        <f t="array" ref="F1391">IF(E1391="","",_xlfn.XLOOKUP(E1391,{"FIRST","SECOND","THIRD","FOURTH"},{"SEM-1","SEM-2","SEM-3","SEM-4"},""))</f>
        <v>SEM-2</v>
      </c>
      <c r="G1391" s="3">
        <v>51</v>
      </c>
      <c r="H1391" s="3">
        <v>20</v>
      </c>
      <c r="I1391" s="3">
        <v>77</v>
      </c>
      <c r="J1391" s="3">
        <f t="shared" si="63"/>
        <v>148</v>
      </c>
      <c r="K1391" s="3" t="str">
        <f t="shared" si="64"/>
        <v>P</v>
      </c>
      <c r="L1391" s="3" t="str">
        <f t="shared" si="65"/>
        <v>C</v>
      </c>
    </row>
    <row r="1392" spans="1:12" ht="14.25" customHeight="1">
      <c r="A1392" s="3">
        <v>1391</v>
      </c>
      <c r="B1392" s="3" t="s">
        <v>4100</v>
      </c>
      <c r="C1392" s="3" t="s">
        <v>1185</v>
      </c>
      <c r="D1392" s="3">
        <v>9876544399</v>
      </c>
      <c r="E1392" s="3" t="s">
        <v>4419</v>
      </c>
      <c r="F1392" s="3" t="str" cm="1">
        <f t="array" ref="F1392">IF(E1392="","",_xlfn.XLOOKUP(E1392,{"FIRST","SECOND","THIRD","FOURTH"},{"SEM-1","SEM-2","SEM-3","SEM-4"},""))</f>
        <v>SEM-2</v>
      </c>
      <c r="G1392" s="3">
        <v>1</v>
      </c>
      <c r="H1392" s="3">
        <v>9</v>
      </c>
      <c r="I1392" s="3">
        <v>57</v>
      </c>
      <c r="J1392" s="3">
        <f t="shared" si="63"/>
        <v>67</v>
      </c>
      <c r="K1392" s="3" t="str">
        <f t="shared" si="64"/>
        <v>F</v>
      </c>
      <c r="L1392" s="3" t="str">
        <f t="shared" si="65"/>
        <v>FAIL</v>
      </c>
    </row>
    <row r="1393" spans="1:12" ht="14.25" customHeight="1">
      <c r="A1393" s="3">
        <v>1392</v>
      </c>
      <c r="B1393" s="3" t="s">
        <v>4201</v>
      </c>
      <c r="C1393" s="3" t="s">
        <v>1285</v>
      </c>
      <c r="D1393" s="3">
        <v>9876544500</v>
      </c>
      <c r="E1393" s="3" t="s">
        <v>4418</v>
      </c>
      <c r="F1393" s="3" t="str" cm="1">
        <f t="array" ref="F1393">IF(E1393="","",_xlfn.XLOOKUP(E1393,{"FIRST","SECOND","THIRD","FOURTH"},{"SEM-1","SEM-2","SEM-3","SEM-4"},""))</f>
        <v>SEM-1</v>
      </c>
      <c r="G1393" s="3">
        <v>82</v>
      </c>
      <c r="H1393" s="3">
        <v>4</v>
      </c>
      <c r="I1393" s="3">
        <v>37</v>
      </c>
      <c r="J1393" s="3">
        <f t="shared" si="63"/>
        <v>123</v>
      </c>
      <c r="K1393" s="3" t="str">
        <f t="shared" si="64"/>
        <v>P</v>
      </c>
      <c r="L1393" s="3" t="str">
        <f t="shared" si="65"/>
        <v>C</v>
      </c>
    </row>
    <row r="1394" spans="1:12" ht="14.25" customHeight="1">
      <c r="A1394" s="3">
        <v>1393</v>
      </c>
      <c r="B1394" s="3" t="s">
        <v>3390</v>
      </c>
      <c r="C1394" s="3" t="s">
        <v>486</v>
      </c>
      <c r="D1394" s="3">
        <v>9876543689</v>
      </c>
      <c r="E1394" s="3" t="s">
        <v>4419</v>
      </c>
      <c r="F1394" s="3" t="str" cm="1">
        <f t="array" ref="F1394">IF(E1394="","",_xlfn.XLOOKUP(E1394,{"FIRST","SECOND","THIRD","FOURTH"},{"SEM-1","SEM-2","SEM-3","SEM-4"},""))</f>
        <v>SEM-2</v>
      </c>
      <c r="G1394" s="3">
        <v>39</v>
      </c>
      <c r="H1394" s="3">
        <v>11</v>
      </c>
      <c r="I1394" s="3">
        <v>70</v>
      </c>
      <c r="J1394" s="3">
        <f t="shared" si="63"/>
        <v>120</v>
      </c>
      <c r="K1394" s="3" t="str">
        <f t="shared" si="64"/>
        <v>P</v>
      </c>
      <c r="L1394" s="3" t="str">
        <f t="shared" si="65"/>
        <v>C</v>
      </c>
    </row>
    <row r="1395" spans="1:12" ht="14.25" customHeight="1">
      <c r="A1395" s="3">
        <v>1394</v>
      </c>
      <c r="B1395" s="3" t="s">
        <v>4285</v>
      </c>
      <c r="C1395" s="3" t="s">
        <v>1366</v>
      </c>
      <c r="D1395" s="3">
        <v>9876544584</v>
      </c>
      <c r="E1395" s="3" t="s">
        <v>4420</v>
      </c>
      <c r="F1395" s="3" t="str" cm="1">
        <f t="array" ref="F1395">IF(E1395="","",_xlfn.XLOOKUP(E1395,{"FIRST","SECOND","THIRD","FOURTH"},{"SEM-1","SEM-2","SEM-3","SEM-4"},""))</f>
        <v>SEM-3</v>
      </c>
      <c r="G1395" s="3">
        <v>62</v>
      </c>
      <c r="H1395" s="3">
        <v>20</v>
      </c>
      <c r="I1395" s="3">
        <v>58</v>
      </c>
      <c r="J1395" s="3">
        <f t="shared" si="63"/>
        <v>140</v>
      </c>
      <c r="K1395" s="3" t="str">
        <f t="shared" si="64"/>
        <v>P</v>
      </c>
      <c r="L1395" s="3" t="str">
        <f t="shared" si="65"/>
        <v>C</v>
      </c>
    </row>
    <row r="1396" spans="1:12" ht="14.25" customHeight="1">
      <c r="A1396" s="3">
        <v>1395</v>
      </c>
      <c r="B1396" s="3" t="s">
        <v>3874</v>
      </c>
      <c r="C1396" s="3" t="s">
        <v>965</v>
      </c>
      <c r="D1396" s="3">
        <v>9876544173</v>
      </c>
      <c r="E1396" s="3" t="s">
        <v>4419</v>
      </c>
      <c r="F1396" s="3" t="str" cm="1">
        <f t="array" ref="F1396">IF(E1396="","",_xlfn.XLOOKUP(E1396,{"FIRST","SECOND","THIRD","FOURTH"},{"SEM-1","SEM-2","SEM-3","SEM-4"},""))</f>
        <v>SEM-2</v>
      </c>
      <c r="G1396" s="3">
        <v>42</v>
      </c>
      <c r="H1396" s="3">
        <v>22</v>
      </c>
      <c r="I1396" s="3">
        <v>93</v>
      </c>
      <c r="J1396" s="3">
        <f t="shared" si="63"/>
        <v>157</v>
      </c>
      <c r="K1396" s="3" t="str">
        <f t="shared" si="64"/>
        <v>P</v>
      </c>
      <c r="L1396" s="3" t="str">
        <f t="shared" si="65"/>
        <v>B</v>
      </c>
    </row>
    <row r="1397" spans="1:12" ht="14.25" customHeight="1">
      <c r="A1397" s="3">
        <v>1396</v>
      </c>
      <c r="B1397" s="3" t="s">
        <v>3987</v>
      </c>
      <c r="C1397" s="3" t="s">
        <v>1077</v>
      </c>
      <c r="D1397" s="3">
        <v>9876544286</v>
      </c>
      <c r="E1397" s="3" t="s">
        <v>4419</v>
      </c>
      <c r="F1397" s="3" t="str" cm="1">
        <f t="array" ref="F1397">IF(E1397="","",_xlfn.XLOOKUP(E1397,{"FIRST","SECOND","THIRD","FOURTH"},{"SEM-1","SEM-2","SEM-3","SEM-4"},""))</f>
        <v>SEM-2</v>
      </c>
      <c r="G1397" s="3">
        <v>14</v>
      </c>
      <c r="H1397" s="3">
        <v>1</v>
      </c>
      <c r="I1397" s="3">
        <v>56</v>
      </c>
      <c r="J1397" s="3">
        <f t="shared" si="63"/>
        <v>71</v>
      </c>
      <c r="K1397" s="3" t="str">
        <f t="shared" si="64"/>
        <v>F</v>
      </c>
      <c r="L1397" s="3" t="str">
        <f t="shared" si="65"/>
        <v>FAIL</v>
      </c>
    </row>
    <row r="1398" spans="1:12" ht="14.25" customHeight="1">
      <c r="A1398" s="3">
        <v>1397</v>
      </c>
      <c r="B1398" s="3" t="s">
        <v>4016</v>
      </c>
      <c r="C1398" s="3" t="s">
        <v>1105</v>
      </c>
      <c r="D1398" s="3">
        <v>9876544315</v>
      </c>
      <c r="E1398" s="3" t="s">
        <v>4420</v>
      </c>
      <c r="F1398" s="3" t="str" cm="1">
        <f t="array" ref="F1398">IF(E1398="","",_xlfn.XLOOKUP(E1398,{"FIRST","SECOND","THIRD","FOURTH"},{"SEM-1","SEM-2","SEM-3","SEM-4"},""))</f>
        <v>SEM-3</v>
      </c>
      <c r="G1398" s="3">
        <v>79</v>
      </c>
      <c r="H1398" s="3">
        <v>56</v>
      </c>
      <c r="I1398" s="3">
        <v>13</v>
      </c>
      <c r="J1398" s="3">
        <f t="shared" si="63"/>
        <v>148</v>
      </c>
      <c r="K1398" s="3" t="str">
        <f t="shared" si="64"/>
        <v>P</v>
      </c>
      <c r="L1398" s="3" t="str">
        <f t="shared" si="65"/>
        <v>C</v>
      </c>
    </row>
    <row r="1399" spans="1:12" ht="14.25" customHeight="1">
      <c r="A1399" s="3">
        <v>1398</v>
      </c>
      <c r="B1399" s="3" t="s">
        <v>2929</v>
      </c>
      <c r="C1399" s="3" t="s">
        <v>27</v>
      </c>
      <c r="D1399" s="3">
        <v>9876543228</v>
      </c>
      <c r="E1399" s="3" t="s">
        <v>4419</v>
      </c>
      <c r="F1399" s="3" t="str" cm="1">
        <f t="array" ref="F1399">IF(E1399="","",_xlfn.XLOOKUP(E1399,{"FIRST","SECOND","THIRD","FOURTH"},{"SEM-1","SEM-2","SEM-3","SEM-4"},""))</f>
        <v>SEM-2</v>
      </c>
      <c r="G1399" s="3">
        <v>24</v>
      </c>
      <c r="H1399" s="3">
        <v>1</v>
      </c>
      <c r="I1399" s="3">
        <v>94</v>
      </c>
      <c r="J1399" s="3">
        <f t="shared" si="63"/>
        <v>119</v>
      </c>
      <c r="K1399" s="3" t="str">
        <f t="shared" si="64"/>
        <v>P</v>
      </c>
      <c r="L1399" s="3" t="str">
        <f t="shared" si="65"/>
        <v>FAIL</v>
      </c>
    </row>
    <row r="1400" spans="1:12" ht="14.25" customHeight="1">
      <c r="A1400" s="3">
        <v>1399</v>
      </c>
      <c r="B1400" s="3" t="s">
        <v>3946</v>
      </c>
      <c r="C1400" s="3" t="s">
        <v>1036</v>
      </c>
      <c r="D1400" s="3">
        <v>9876544245</v>
      </c>
      <c r="E1400" s="3" t="s">
        <v>4419</v>
      </c>
      <c r="F1400" s="3" t="str" cm="1">
        <f t="array" ref="F1400">IF(E1400="","",_xlfn.XLOOKUP(E1400,{"FIRST","SECOND","THIRD","FOURTH"},{"SEM-1","SEM-2","SEM-3","SEM-4"},""))</f>
        <v>SEM-2</v>
      </c>
      <c r="G1400" s="3">
        <v>21</v>
      </c>
      <c r="H1400" s="3">
        <v>91</v>
      </c>
      <c r="I1400" s="3">
        <v>29</v>
      </c>
      <c r="J1400" s="3">
        <f t="shared" si="63"/>
        <v>141</v>
      </c>
      <c r="K1400" s="3" t="str">
        <f t="shared" si="64"/>
        <v>P</v>
      </c>
      <c r="L1400" s="3" t="str">
        <f t="shared" si="65"/>
        <v>C</v>
      </c>
    </row>
    <row r="1401" spans="1:12" ht="14.25" customHeight="1">
      <c r="A1401" s="3">
        <v>1400</v>
      </c>
      <c r="B1401" s="3" t="s">
        <v>3728</v>
      </c>
      <c r="C1401" s="3" t="s">
        <v>821</v>
      </c>
      <c r="D1401" s="3">
        <v>9876544027</v>
      </c>
      <c r="E1401" s="3" t="s">
        <v>4</v>
      </c>
      <c r="F1401" s="3" t="str" cm="1">
        <f t="array" ref="F1401">IF(E1401="","",_xlfn.XLOOKUP(E1401,{"FIRST","SECOND","THIRD","FOURTH"},{"SEM-1","SEM-2","SEM-3","SEM-4"},""))</f>
        <v/>
      </c>
      <c r="G1401" s="3">
        <v>9</v>
      </c>
      <c r="H1401" s="3">
        <v>84</v>
      </c>
      <c r="I1401" s="3">
        <v>78</v>
      </c>
      <c r="J1401" s="3">
        <f t="shared" si="63"/>
        <v>171</v>
      </c>
      <c r="K1401" s="3" t="str">
        <f t="shared" si="64"/>
        <v>P</v>
      </c>
      <c r="L1401" s="3" t="str">
        <f t="shared" si="65"/>
        <v>B</v>
      </c>
    </row>
    <row r="1402" spans="1:12" ht="14.25" customHeight="1">
      <c r="A1402" s="3">
        <v>1401</v>
      </c>
      <c r="B1402" s="3" t="s">
        <v>3671</v>
      </c>
      <c r="C1402" s="3" t="s">
        <v>764</v>
      </c>
      <c r="D1402" s="3">
        <v>9876543970</v>
      </c>
      <c r="E1402" s="3" t="s">
        <v>4420</v>
      </c>
      <c r="F1402" s="3" t="str" cm="1">
        <f t="array" ref="F1402">IF(E1402="","",_xlfn.XLOOKUP(E1402,{"FIRST","SECOND","THIRD","FOURTH"},{"SEM-1","SEM-2","SEM-3","SEM-4"},""))</f>
        <v>SEM-3</v>
      </c>
      <c r="G1402" s="3">
        <v>92</v>
      </c>
      <c r="H1402" s="3">
        <v>95</v>
      </c>
      <c r="I1402" s="3">
        <v>95</v>
      </c>
      <c r="J1402" s="3">
        <f t="shared" si="63"/>
        <v>282</v>
      </c>
      <c r="K1402" s="3" t="str">
        <f t="shared" si="64"/>
        <v>P</v>
      </c>
      <c r="L1402" s="3" t="str">
        <f t="shared" si="65"/>
        <v>A</v>
      </c>
    </row>
    <row r="1403" spans="1:12" ht="14.25" customHeight="1">
      <c r="A1403" s="3">
        <v>1402</v>
      </c>
      <c r="B1403" s="3" t="s">
        <v>3513</v>
      </c>
      <c r="C1403" s="3" t="s">
        <v>608</v>
      </c>
      <c r="D1403" s="3">
        <v>9876543812</v>
      </c>
      <c r="E1403" s="3" t="s">
        <v>4418</v>
      </c>
      <c r="F1403" s="3" t="str" cm="1">
        <f t="array" ref="F1403">IF(E1403="","",_xlfn.XLOOKUP(E1403,{"FIRST","SECOND","THIRD","FOURTH"},{"SEM-1","SEM-2","SEM-3","SEM-4"},""))</f>
        <v>SEM-1</v>
      </c>
      <c r="G1403" s="3">
        <v>100</v>
      </c>
      <c r="H1403" s="3">
        <v>29</v>
      </c>
      <c r="I1403" s="3">
        <v>87</v>
      </c>
      <c r="J1403" s="3">
        <f t="shared" si="63"/>
        <v>216</v>
      </c>
      <c r="K1403" s="3" t="str">
        <f t="shared" si="64"/>
        <v>P</v>
      </c>
      <c r="L1403" s="3" t="str">
        <f t="shared" si="65"/>
        <v>A</v>
      </c>
    </row>
    <row r="1404" spans="1:12" ht="14.25" customHeight="1">
      <c r="A1404" s="3">
        <v>1403</v>
      </c>
      <c r="B1404" s="3" t="s">
        <v>4127</v>
      </c>
      <c r="C1404" s="3" t="s">
        <v>1212</v>
      </c>
      <c r="D1404" s="3">
        <v>9876544426</v>
      </c>
      <c r="E1404" s="3" t="s">
        <v>4420</v>
      </c>
      <c r="F1404" s="3" t="str" cm="1">
        <f t="array" ref="F1404">IF(E1404="","",_xlfn.XLOOKUP(E1404,{"FIRST","SECOND","THIRD","FOURTH"},{"SEM-1","SEM-2","SEM-3","SEM-4"},""))</f>
        <v>SEM-3</v>
      </c>
      <c r="G1404" s="3">
        <v>35</v>
      </c>
      <c r="H1404" s="3">
        <v>65</v>
      </c>
      <c r="I1404" s="3">
        <v>12</v>
      </c>
      <c r="J1404" s="3">
        <f t="shared" si="63"/>
        <v>112</v>
      </c>
      <c r="K1404" s="3" t="str">
        <f t="shared" si="64"/>
        <v>F</v>
      </c>
      <c r="L1404" s="3" t="str">
        <f t="shared" si="65"/>
        <v>FAIL</v>
      </c>
    </row>
    <row r="1405" spans="1:12" ht="14.25" customHeight="1">
      <c r="A1405" s="3">
        <v>1404</v>
      </c>
      <c r="B1405" s="3" t="s">
        <v>2986</v>
      </c>
      <c r="C1405" s="3" t="s">
        <v>84</v>
      </c>
      <c r="D1405" s="3">
        <v>9876543285</v>
      </c>
      <c r="E1405" s="3" t="s">
        <v>4420</v>
      </c>
      <c r="F1405" s="3" t="str" cm="1">
        <f t="array" ref="F1405">IF(E1405="","",_xlfn.XLOOKUP(E1405,{"FIRST","SECOND","THIRD","FOURTH"},{"SEM-1","SEM-2","SEM-3","SEM-4"},""))</f>
        <v>SEM-3</v>
      </c>
      <c r="G1405" s="3">
        <v>61</v>
      </c>
      <c r="H1405" s="3">
        <v>80</v>
      </c>
      <c r="I1405" s="3">
        <v>42</v>
      </c>
      <c r="J1405" s="3">
        <f t="shared" si="63"/>
        <v>183</v>
      </c>
      <c r="K1405" s="3" t="str">
        <f t="shared" si="64"/>
        <v>P</v>
      </c>
      <c r="L1405" s="3" t="str">
        <f t="shared" si="65"/>
        <v>B</v>
      </c>
    </row>
    <row r="1406" spans="1:12" ht="14.25" customHeight="1">
      <c r="A1406" s="3">
        <v>1405</v>
      </c>
      <c r="B1406" s="3" t="s">
        <v>3937</v>
      </c>
      <c r="C1406" s="3" t="s">
        <v>1027</v>
      </c>
      <c r="D1406" s="3">
        <v>9876544236</v>
      </c>
      <c r="E1406" s="3" t="s">
        <v>4418</v>
      </c>
      <c r="F1406" s="3" t="str" cm="1">
        <f t="array" ref="F1406">IF(E1406="","",_xlfn.XLOOKUP(E1406,{"FIRST","SECOND","THIRD","FOURTH"},{"SEM-1","SEM-2","SEM-3","SEM-4"},""))</f>
        <v>SEM-1</v>
      </c>
      <c r="G1406" s="3">
        <v>66</v>
      </c>
      <c r="H1406" s="3">
        <v>76</v>
      </c>
      <c r="I1406" s="3">
        <v>99</v>
      </c>
      <c r="J1406" s="3">
        <f t="shared" si="63"/>
        <v>241</v>
      </c>
      <c r="K1406" s="3" t="str">
        <f t="shared" si="64"/>
        <v>P</v>
      </c>
      <c r="L1406" s="3" t="str">
        <f t="shared" si="65"/>
        <v>A</v>
      </c>
    </row>
    <row r="1407" spans="1:12" ht="14.25" customHeight="1">
      <c r="A1407" s="3">
        <v>1406</v>
      </c>
      <c r="B1407" s="3" t="s">
        <v>4371</v>
      </c>
      <c r="C1407" s="3" t="s">
        <v>1450</v>
      </c>
      <c r="D1407" s="3">
        <v>9876544670</v>
      </c>
      <c r="E1407" s="3" t="s">
        <v>4418</v>
      </c>
      <c r="F1407" s="3" t="str" cm="1">
        <f t="array" ref="F1407">IF(E1407="","",_xlfn.XLOOKUP(E1407,{"FIRST","SECOND","THIRD","FOURTH"},{"SEM-1","SEM-2","SEM-3","SEM-4"},""))</f>
        <v>SEM-1</v>
      </c>
      <c r="G1407" s="3">
        <v>90</v>
      </c>
      <c r="H1407" s="3">
        <v>69</v>
      </c>
      <c r="I1407" s="3">
        <v>15</v>
      </c>
      <c r="J1407" s="3">
        <f t="shared" si="63"/>
        <v>174</v>
      </c>
      <c r="K1407" s="3" t="str">
        <f t="shared" si="64"/>
        <v>P</v>
      </c>
      <c r="L1407" s="3" t="str">
        <f t="shared" si="65"/>
        <v>B</v>
      </c>
    </row>
    <row r="1408" spans="1:12" ht="14.25" customHeight="1">
      <c r="A1408" s="3">
        <v>1407</v>
      </c>
      <c r="B1408" s="3" t="s">
        <v>3650</v>
      </c>
      <c r="C1408" s="3" t="s">
        <v>744</v>
      </c>
      <c r="D1408" s="3">
        <v>9876543949</v>
      </c>
      <c r="E1408" s="3" t="s">
        <v>4420</v>
      </c>
      <c r="F1408" s="3" t="str" cm="1">
        <f t="array" ref="F1408">IF(E1408="","",_xlfn.XLOOKUP(E1408,{"FIRST","SECOND","THIRD","FOURTH"},{"SEM-1","SEM-2","SEM-3","SEM-4"},""))</f>
        <v>SEM-3</v>
      </c>
      <c r="G1408" s="3">
        <v>81</v>
      </c>
      <c r="H1408" s="3">
        <v>43</v>
      </c>
      <c r="I1408" s="3">
        <v>82</v>
      </c>
      <c r="J1408" s="3">
        <f t="shared" si="63"/>
        <v>206</v>
      </c>
      <c r="K1408" s="3" t="str">
        <f t="shared" si="64"/>
        <v>P</v>
      </c>
      <c r="L1408" s="3" t="str">
        <f t="shared" si="65"/>
        <v>A</v>
      </c>
    </row>
    <row r="1409" spans="1:12" ht="14.25" customHeight="1">
      <c r="A1409" s="3">
        <v>1408</v>
      </c>
      <c r="B1409" s="3" t="s">
        <v>3047</v>
      </c>
      <c r="C1409" s="3" t="s">
        <v>145</v>
      </c>
      <c r="D1409" s="3">
        <v>9876543346</v>
      </c>
      <c r="E1409" s="3" t="s">
        <v>4420</v>
      </c>
      <c r="F1409" s="3" t="str" cm="1">
        <f t="array" ref="F1409">IF(E1409="","",_xlfn.XLOOKUP(E1409,{"FIRST","SECOND","THIRD","FOURTH"},{"SEM-1","SEM-2","SEM-3","SEM-4"},""))</f>
        <v>SEM-3</v>
      </c>
      <c r="G1409" s="3">
        <v>55</v>
      </c>
      <c r="H1409" s="3">
        <v>36</v>
      </c>
      <c r="I1409" s="3">
        <v>10</v>
      </c>
      <c r="J1409" s="3">
        <f t="shared" si="63"/>
        <v>101</v>
      </c>
      <c r="K1409" s="3" t="str">
        <f t="shared" si="64"/>
        <v>F</v>
      </c>
      <c r="L1409" s="3" t="str">
        <f t="shared" si="65"/>
        <v>FAIL</v>
      </c>
    </row>
    <row r="1410" spans="1:12" ht="14.25" customHeight="1">
      <c r="A1410" s="3">
        <v>1409</v>
      </c>
      <c r="B1410" s="3" t="s">
        <v>4413</v>
      </c>
      <c r="C1410" s="3" t="s">
        <v>1492</v>
      </c>
      <c r="D1410" s="3">
        <v>9876544712</v>
      </c>
      <c r="E1410" s="3" t="s">
        <v>4419</v>
      </c>
      <c r="F1410" s="3" t="str" cm="1">
        <f t="array" ref="F1410">IF(E1410="","",_xlfn.XLOOKUP(E1410,{"FIRST","SECOND","THIRD","FOURTH"},{"SEM-1","SEM-2","SEM-3","SEM-4"},""))</f>
        <v>SEM-2</v>
      </c>
      <c r="G1410" s="3">
        <v>46</v>
      </c>
      <c r="H1410" s="3">
        <v>33</v>
      </c>
      <c r="I1410" s="3">
        <v>51</v>
      </c>
      <c r="J1410" s="3">
        <f t="shared" ref="J1410:J1473" si="66">SUM(G1410:I1410)</f>
        <v>130</v>
      </c>
      <c r="K1410" s="3" t="str">
        <f t="shared" ref="K1410:K1473" si="67">IF(OR(G1410&gt;=70,H1410&gt;=70,I1410&gt;=70,J1410&gt;=120),"P","F")</f>
        <v>P</v>
      </c>
      <c r="L1410" s="3" t="str">
        <f t="shared" ref="L1410:L1473" si="68">IF(J1410&gt;=190,"A",IF(J1410&gt;=150,"B",IF(J1410&gt;=120,"C","FAIL")))</f>
        <v>C</v>
      </c>
    </row>
    <row r="1411" spans="1:12" ht="14.25" customHeight="1">
      <c r="A1411" s="3">
        <v>1410</v>
      </c>
      <c r="B1411" s="3" t="s">
        <v>3071</v>
      </c>
      <c r="C1411" s="3" t="s">
        <v>169</v>
      </c>
      <c r="D1411" s="3">
        <v>9876543370</v>
      </c>
      <c r="E1411" s="3" t="s">
        <v>4420</v>
      </c>
      <c r="F1411" s="3" t="str" cm="1">
        <f t="array" ref="F1411">IF(E1411="","",_xlfn.XLOOKUP(E1411,{"FIRST","SECOND","THIRD","FOURTH"},{"SEM-1","SEM-2","SEM-3","SEM-4"},""))</f>
        <v>SEM-3</v>
      </c>
      <c r="G1411" s="3">
        <v>67</v>
      </c>
      <c r="H1411" s="3">
        <v>95</v>
      </c>
      <c r="I1411" s="3">
        <v>61</v>
      </c>
      <c r="J1411" s="3">
        <f t="shared" si="66"/>
        <v>223</v>
      </c>
      <c r="K1411" s="3" t="str">
        <f t="shared" si="67"/>
        <v>P</v>
      </c>
      <c r="L1411" s="3" t="str">
        <f t="shared" si="68"/>
        <v>A</v>
      </c>
    </row>
    <row r="1412" spans="1:12" ht="14.25" customHeight="1">
      <c r="A1412" s="3">
        <v>1411</v>
      </c>
      <c r="B1412" s="3" t="s">
        <v>3965</v>
      </c>
      <c r="C1412" s="3" t="s">
        <v>1055</v>
      </c>
      <c r="D1412" s="3">
        <v>9876544264</v>
      </c>
      <c r="E1412" s="3" t="s">
        <v>4420</v>
      </c>
      <c r="F1412" s="3" t="str" cm="1">
        <f t="array" ref="F1412">IF(E1412="","",_xlfn.XLOOKUP(E1412,{"FIRST","SECOND","THIRD","FOURTH"},{"SEM-1","SEM-2","SEM-3","SEM-4"},""))</f>
        <v>SEM-3</v>
      </c>
      <c r="G1412" s="3">
        <v>21</v>
      </c>
      <c r="H1412" s="3">
        <v>20</v>
      </c>
      <c r="I1412" s="3">
        <v>48</v>
      </c>
      <c r="J1412" s="3">
        <f t="shared" si="66"/>
        <v>89</v>
      </c>
      <c r="K1412" s="3" t="str">
        <f t="shared" si="67"/>
        <v>F</v>
      </c>
      <c r="L1412" s="3" t="str">
        <f t="shared" si="68"/>
        <v>FAIL</v>
      </c>
    </row>
    <row r="1413" spans="1:12" ht="14.25" customHeight="1">
      <c r="A1413" s="3">
        <v>1412</v>
      </c>
      <c r="B1413" s="3" t="s">
        <v>3822</v>
      </c>
      <c r="C1413" s="3" t="s">
        <v>914</v>
      </c>
      <c r="D1413" s="3">
        <v>9876544121</v>
      </c>
      <c r="E1413" s="3" t="s">
        <v>4418</v>
      </c>
      <c r="F1413" s="3" t="str" cm="1">
        <f t="array" ref="F1413">IF(E1413="","",_xlfn.XLOOKUP(E1413,{"FIRST","SECOND","THIRD","FOURTH"},{"SEM-1","SEM-2","SEM-3","SEM-4"},""))</f>
        <v>SEM-1</v>
      </c>
      <c r="G1413" s="3">
        <v>81</v>
      </c>
      <c r="H1413" s="3">
        <v>87</v>
      </c>
      <c r="I1413" s="3">
        <v>99</v>
      </c>
      <c r="J1413" s="3">
        <f t="shared" si="66"/>
        <v>267</v>
      </c>
      <c r="K1413" s="3" t="str">
        <f t="shared" si="67"/>
        <v>P</v>
      </c>
      <c r="L1413" s="3" t="str">
        <f t="shared" si="68"/>
        <v>A</v>
      </c>
    </row>
    <row r="1414" spans="1:12" ht="14.25" customHeight="1">
      <c r="A1414" s="3">
        <v>1413</v>
      </c>
      <c r="B1414" s="3" t="s">
        <v>3628</v>
      </c>
      <c r="C1414" s="3" t="s">
        <v>722</v>
      </c>
      <c r="D1414" s="3">
        <v>9876543927</v>
      </c>
      <c r="E1414" s="3" t="s">
        <v>4419</v>
      </c>
      <c r="F1414" s="3" t="str" cm="1">
        <f t="array" ref="F1414">IF(E1414="","",_xlfn.XLOOKUP(E1414,{"FIRST","SECOND","THIRD","FOURTH"},{"SEM-1","SEM-2","SEM-3","SEM-4"},""))</f>
        <v>SEM-2</v>
      </c>
      <c r="G1414" s="3">
        <v>8</v>
      </c>
      <c r="H1414" s="3">
        <v>98</v>
      </c>
      <c r="I1414" s="3">
        <v>11</v>
      </c>
      <c r="J1414" s="3">
        <f t="shared" si="66"/>
        <v>117</v>
      </c>
      <c r="K1414" s="3" t="str">
        <f t="shared" si="67"/>
        <v>P</v>
      </c>
      <c r="L1414" s="3" t="str">
        <f t="shared" si="68"/>
        <v>FAIL</v>
      </c>
    </row>
    <row r="1415" spans="1:12" ht="14.25" customHeight="1">
      <c r="A1415" s="3">
        <v>1414</v>
      </c>
      <c r="B1415" s="3" t="s">
        <v>3552</v>
      </c>
      <c r="C1415" s="3" t="s">
        <v>646</v>
      </c>
      <c r="D1415" s="3">
        <v>9876543851</v>
      </c>
      <c r="E1415" s="3" t="s">
        <v>4420</v>
      </c>
      <c r="F1415" s="3" t="str" cm="1">
        <f t="array" ref="F1415">IF(E1415="","",_xlfn.XLOOKUP(E1415,{"FIRST","SECOND","THIRD","FOURTH"},{"SEM-1","SEM-2","SEM-3","SEM-4"},""))</f>
        <v>SEM-3</v>
      </c>
      <c r="G1415" s="3">
        <v>84</v>
      </c>
      <c r="H1415" s="3">
        <v>85</v>
      </c>
      <c r="I1415" s="3">
        <v>97</v>
      </c>
      <c r="J1415" s="3">
        <f t="shared" si="66"/>
        <v>266</v>
      </c>
      <c r="K1415" s="3" t="str">
        <f t="shared" si="67"/>
        <v>P</v>
      </c>
      <c r="L1415" s="3" t="str">
        <f t="shared" si="68"/>
        <v>A</v>
      </c>
    </row>
    <row r="1416" spans="1:12" ht="14.25" customHeight="1">
      <c r="A1416" s="3">
        <v>1415</v>
      </c>
      <c r="B1416" s="3" t="s">
        <v>3163</v>
      </c>
      <c r="C1416" s="3" t="s">
        <v>261</v>
      </c>
      <c r="D1416" s="3">
        <v>9876543462</v>
      </c>
      <c r="E1416" s="3" t="s">
        <v>4419</v>
      </c>
      <c r="F1416" s="3" t="str" cm="1">
        <f t="array" ref="F1416">IF(E1416="","",_xlfn.XLOOKUP(E1416,{"FIRST","SECOND","THIRD","FOURTH"},{"SEM-1","SEM-2","SEM-3","SEM-4"},""))</f>
        <v>SEM-2</v>
      </c>
      <c r="G1416" s="3">
        <v>43</v>
      </c>
      <c r="H1416" s="3">
        <v>82</v>
      </c>
      <c r="I1416" s="3">
        <v>85</v>
      </c>
      <c r="J1416" s="3">
        <f t="shared" si="66"/>
        <v>210</v>
      </c>
      <c r="K1416" s="3" t="str">
        <f t="shared" si="67"/>
        <v>P</v>
      </c>
      <c r="L1416" s="3" t="str">
        <f t="shared" si="68"/>
        <v>A</v>
      </c>
    </row>
    <row r="1417" spans="1:12" ht="14.25" customHeight="1">
      <c r="A1417" s="3">
        <v>1416</v>
      </c>
      <c r="B1417" s="3" t="s">
        <v>3818</v>
      </c>
      <c r="C1417" s="3" t="s">
        <v>910</v>
      </c>
      <c r="D1417" s="3">
        <v>9876544117</v>
      </c>
      <c r="E1417" s="3" t="s">
        <v>4418</v>
      </c>
      <c r="F1417" s="3" t="str" cm="1">
        <f t="array" ref="F1417">IF(E1417="","",_xlfn.XLOOKUP(E1417,{"FIRST","SECOND","THIRD","FOURTH"},{"SEM-1","SEM-2","SEM-3","SEM-4"},""))</f>
        <v>SEM-1</v>
      </c>
      <c r="G1417" s="3">
        <v>82</v>
      </c>
      <c r="H1417" s="3">
        <v>47</v>
      </c>
      <c r="I1417" s="3">
        <v>34</v>
      </c>
      <c r="J1417" s="3">
        <f t="shared" si="66"/>
        <v>163</v>
      </c>
      <c r="K1417" s="3" t="str">
        <f t="shared" si="67"/>
        <v>P</v>
      </c>
      <c r="L1417" s="3" t="str">
        <f t="shared" si="68"/>
        <v>B</v>
      </c>
    </row>
    <row r="1418" spans="1:12" ht="14.25" customHeight="1">
      <c r="A1418" s="3">
        <v>1417</v>
      </c>
      <c r="B1418" s="3" t="s">
        <v>3095</v>
      </c>
      <c r="C1418" s="3" t="s">
        <v>193</v>
      </c>
      <c r="D1418" s="3">
        <v>9876543394</v>
      </c>
      <c r="E1418" s="3" t="s">
        <v>4419</v>
      </c>
      <c r="F1418" s="3" t="str" cm="1">
        <f t="array" ref="F1418">IF(E1418="","",_xlfn.XLOOKUP(E1418,{"FIRST","SECOND","THIRD","FOURTH"},{"SEM-1","SEM-2","SEM-3","SEM-4"},""))</f>
        <v>SEM-2</v>
      </c>
      <c r="G1418" s="3">
        <v>60</v>
      </c>
      <c r="H1418" s="3">
        <v>66</v>
      </c>
      <c r="I1418" s="3">
        <v>16</v>
      </c>
      <c r="J1418" s="3">
        <f t="shared" si="66"/>
        <v>142</v>
      </c>
      <c r="K1418" s="3" t="str">
        <f t="shared" si="67"/>
        <v>P</v>
      </c>
      <c r="L1418" s="3" t="str">
        <f t="shared" si="68"/>
        <v>C</v>
      </c>
    </row>
    <row r="1419" spans="1:12" ht="14.25" customHeight="1">
      <c r="A1419" s="3">
        <v>1418</v>
      </c>
      <c r="B1419" s="3" t="s">
        <v>3537</v>
      </c>
      <c r="C1419" s="3" t="s">
        <v>631</v>
      </c>
      <c r="D1419" s="3">
        <v>9876543836</v>
      </c>
      <c r="E1419" s="3" t="s">
        <v>4419</v>
      </c>
      <c r="F1419" s="3" t="str" cm="1">
        <f t="array" ref="F1419">IF(E1419="","",_xlfn.XLOOKUP(E1419,{"FIRST","SECOND","THIRD","FOURTH"},{"SEM-1","SEM-2","SEM-3","SEM-4"},""))</f>
        <v>SEM-2</v>
      </c>
      <c r="G1419" s="3">
        <v>21</v>
      </c>
      <c r="H1419" s="3">
        <v>64</v>
      </c>
      <c r="I1419" s="3">
        <v>8</v>
      </c>
      <c r="J1419" s="3">
        <f t="shared" si="66"/>
        <v>93</v>
      </c>
      <c r="K1419" s="3" t="str">
        <f t="shared" si="67"/>
        <v>F</v>
      </c>
      <c r="L1419" s="3" t="str">
        <f t="shared" si="68"/>
        <v>FAIL</v>
      </c>
    </row>
    <row r="1420" spans="1:12" ht="14.25" customHeight="1">
      <c r="A1420" s="3">
        <v>1419</v>
      </c>
      <c r="B1420" s="3" t="s">
        <v>4160</v>
      </c>
      <c r="C1420" s="3" t="s">
        <v>1245</v>
      </c>
      <c r="D1420" s="3">
        <v>9876544459</v>
      </c>
      <c r="E1420" s="3" t="s">
        <v>4418</v>
      </c>
      <c r="F1420" s="3" t="str" cm="1">
        <f t="array" ref="F1420">IF(E1420="","",_xlfn.XLOOKUP(E1420,{"FIRST","SECOND","THIRD","FOURTH"},{"SEM-1","SEM-2","SEM-3","SEM-4"},""))</f>
        <v>SEM-1</v>
      </c>
      <c r="G1420" s="3">
        <v>37</v>
      </c>
      <c r="H1420" s="3">
        <v>55</v>
      </c>
      <c r="I1420" s="3">
        <v>13</v>
      </c>
      <c r="J1420" s="3">
        <f t="shared" si="66"/>
        <v>105</v>
      </c>
      <c r="K1420" s="3" t="str">
        <f t="shared" si="67"/>
        <v>F</v>
      </c>
      <c r="L1420" s="3" t="str">
        <f t="shared" si="68"/>
        <v>FAIL</v>
      </c>
    </row>
    <row r="1421" spans="1:12" ht="14.25" customHeight="1">
      <c r="A1421" s="3">
        <v>1420</v>
      </c>
      <c r="B1421" s="3" t="s">
        <v>3111</v>
      </c>
      <c r="C1421" s="3" t="s">
        <v>209</v>
      </c>
      <c r="D1421" s="3">
        <v>9876543410</v>
      </c>
      <c r="E1421" s="3" t="s">
        <v>4419</v>
      </c>
      <c r="F1421" s="3" t="str" cm="1">
        <f t="array" ref="F1421">IF(E1421="","",_xlfn.XLOOKUP(E1421,{"FIRST","SECOND","THIRD","FOURTH"},{"SEM-1","SEM-2","SEM-3","SEM-4"},""))</f>
        <v>SEM-2</v>
      </c>
      <c r="G1421" s="3">
        <v>48</v>
      </c>
      <c r="H1421" s="3">
        <v>14</v>
      </c>
      <c r="I1421" s="3">
        <v>63</v>
      </c>
      <c r="J1421" s="3">
        <f t="shared" si="66"/>
        <v>125</v>
      </c>
      <c r="K1421" s="3" t="str">
        <f t="shared" si="67"/>
        <v>P</v>
      </c>
      <c r="L1421" s="3" t="str">
        <f t="shared" si="68"/>
        <v>C</v>
      </c>
    </row>
    <row r="1422" spans="1:12" ht="14.25" customHeight="1">
      <c r="A1422" s="3">
        <v>1421</v>
      </c>
      <c r="B1422" s="3" t="s">
        <v>2947</v>
      </c>
      <c r="C1422" s="3" t="s">
        <v>45</v>
      </c>
      <c r="D1422" s="3">
        <v>9876543246</v>
      </c>
      <c r="E1422" s="3" t="s">
        <v>4419</v>
      </c>
      <c r="F1422" s="3" t="str" cm="1">
        <f t="array" ref="F1422">IF(E1422="","",_xlfn.XLOOKUP(E1422,{"FIRST","SECOND","THIRD","FOURTH"},{"SEM-1","SEM-2","SEM-3","SEM-4"},""))</f>
        <v>SEM-2</v>
      </c>
      <c r="G1422" s="3">
        <v>68</v>
      </c>
      <c r="H1422" s="3">
        <v>61</v>
      </c>
      <c r="I1422" s="3">
        <v>74</v>
      </c>
      <c r="J1422" s="3">
        <f t="shared" si="66"/>
        <v>203</v>
      </c>
      <c r="K1422" s="3" t="str">
        <f t="shared" si="67"/>
        <v>P</v>
      </c>
      <c r="L1422" s="3" t="str">
        <f t="shared" si="68"/>
        <v>A</v>
      </c>
    </row>
    <row r="1423" spans="1:12" ht="14.25" customHeight="1">
      <c r="A1423" s="3">
        <v>1422</v>
      </c>
      <c r="B1423" s="3" t="s">
        <v>4169</v>
      </c>
      <c r="C1423" s="3" t="s">
        <v>1254</v>
      </c>
      <c r="D1423" s="3">
        <v>9876544468</v>
      </c>
      <c r="E1423" s="3" t="s">
        <v>4419</v>
      </c>
      <c r="F1423" s="3" t="str" cm="1">
        <f t="array" ref="F1423">IF(E1423="","",_xlfn.XLOOKUP(E1423,{"FIRST","SECOND","THIRD","FOURTH"},{"SEM-1","SEM-2","SEM-3","SEM-4"},""))</f>
        <v>SEM-2</v>
      </c>
      <c r="G1423" s="3">
        <v>50</v>
      </c>
      <c r="H1423" s="3">
        <v>39</v>
      </c>
      <c r="I1423" s="3">
        <v>70</v>
      </c>
      <c r="J1423" s="3">
        <f t="shared" si="66"/>
        <v>159</v>
      </c>
      <c r="K1423" s="3" t="str">
        <f t="shared" si="67"/>
        <v>P</v>
      </c>
      <c r="L1423" s="3" t="str">
        <f t="shared" si="68"/>
        <v>B</v>
      </c>
    </row>
    <row r="1424" spans="1:12" ht="14.25" customHeight="1">
      <c r="A1424" s="3">
        <v>1423</v>
      </c>
      <c r="B1424" s="3" t="s">
        <v>4087</v>
      </c>
      <c r="C1424" s="3" t="s">
        <v>1173</v>
      </c>
      <c r="D1424" s="3">
        <v>9876544386</v>
      </c>
      <c r="E1424" s="3" t="s">
        <v>4419</v>
      </c>
      <c r="F1424" s="3" t="str" cm="1">
        <f t="array" ref="F1424">IF(E1424="","",_xlfn.XLOOKUP(E1424,{"FIRST","SECOND","THIRD","FOURTH"},{"SEM-1","SEM-2","SEM-3","SEM-4"},""))</f>
        <v>SEM-2</v>
      </c>
      <c r="G1424" s="3">
        <v>26</v>
      </c>
      <c r="H1424" s="3">
        <v>89</v>
      </c>
      <c r="I1424" s="3">
        <v>49</v>
      </c>
      <c r="J1424" s="3">
        <f t="shared" si="66"/>
        <v>164</v>
      </c>
      <c r="K1424" s="3" t="str">
        <f t="shared" si="67"/>
        <v>P</v>
      </c>
      <c r="L1424" s="3" t="str">
        <f t="shared" si="68"/>
        <v>B</v>
      </c>
    </row>
    <row r="1425" spans="1:12" ht="14.25" customHeight="1">
      <c r="A1425" s="3">
        <v>1424</v>
      </c>
      <c r="B1425" s="3" t="s">
        <v>3137</v>
      </c>
      <c r="C1425" s="3" t="s">
        <v>235</v>
      </c>
      <c r="D1425" s="3">
        <v>9876543436</v>
      </c>
      <c r="E1425" s="3" t="s">
        <v>4418</v>
      </c>
      <c r="F1425" s="3" t="str" cm="1">
        <f t="array" ref="F1425">IF(E1425="","",_xlfn.XLOOKUP(E1425,{"FIRST","SECOND","THIRD","FOURTH"},{"SEM-1","SEM-2","SEM-3","SEM-4"},""))</f>
        <v>SEM-1</v>
      </c>
      <c r="G1425" s="3">
        <v>95</v>
      </c>
      <c r="H1425" s="3">
        <v>67</v>
      </c>
      <c r="I1425" s="3">
        <v>63</v>
      </c>
      <c r="J1425" s="3">
        <f t="shared" si="66"/>
        <v>225</v>
      </c>
      <c r="K1425" s="3" t="str">
        <f t="shared" si="67"/>
        <v>P</v>
      </c>
      <c r="L1425" s="3" t="str">
        <f t="shared" si="68"/>
        <v>A</v>
      </c>
    </row>
    <row r="1426" spans="1:12" ht="14.25" customHeight="1">
      <c r="A1426" s="3">
        <v>1425</v>
      </c>
      <c r="B1426" s="3" t="s">
        <v>2960</v>
      </c>
      <c r="C1426" s="3" t="s">
        <v>58</v>
      </c>
      <c r="D1426" s="3">
        <v>9876543259</v>
      </c>
      <c r="E1426" s="3" t="s">
        <v>4420</v>
      </c>
      <c r="F1426" s="3" t="str" cm="1">
        <f t="array" ref="F1426">IF(E1426="","",_xlfn.XLOOKUP(E1426,{"FIRST","SECOND","THIRD","FOURTH"},{"SEM-1","SEM-2","SEM-3","SEM-4"},""))</f>
        <v>SEM-3</v>
      </c>
      <c r="G1426" s="3">
        <v>96</v>
      </c>
      <c r="H1426" s="3">
        <v>45</v>
      </c>
      <c r="I1426" s="3">
        <v>92</v>
      </c>
      <c r="J1426" s="3">
        <f t="shared" si="66"/>
        <v>233</v>
      </c>
      <c r="K1426" s="3" t="str">
        <f t="shared" si="67"/>
        <v>P</v>
      </c>
      <c r="L1426" s="3" t="str">
        <f t="shared" si="68"/>
        <v>A</v>
      </c>
    </row>
    <row r="1427" spans="1:12" ht="14.25" customHeight="1">
      <c r="A1427" s="3">
        <v>1426</v>
      </c>
      <c r="B1427" s="3" t="s">
        <v>3114</v>
      </c>
      <c r="C1427" s="3" t="s">
        <v>212</v>
      </c>
      <c r="D1427" s="3">
        <v>9876543413</v>
      </c>
      <c r="E1427" s="3" t="s">
        <v>4418</v>
      </c>
      <c r="F1427" s="3" t="str" cm="1">
        <f t="array" ref="F1427">IF(E1427="","",_xlfn.XLOOKUP(E1427,{"FIRST","SECOND","THIRD","FOURTH"},{"SEM-1","SEM-2","SEM-3","SEM-4"},""))</f>
        <v>SEM-1</v>
      </c>
      <c r="G1427" s="3">
        <v>44</v>
      </c>
      <c r="H1427" s="3">
        <v>52</v>
      </c>
      <c r="I1427" s="3">
        <v>59</v>
      </c>
      <c r="J1427" s="3">
        <f t="shared" si="66"/>
        <v>155</v>
      </c>
      <c r="K1427" s="3" t="str">
        <f t="shared" si="67"/>
        <v>P</v>
      </c>
      <c r="L1427" s="3" t="str">
        <f t="shared" si="68"/>
        <v>B</v>
      </c>
    </row>
    <row r="1428" spans="1:12" ht="14.25" customHeight="1">
      <c r="A1428" s="3">
        <v>1427</v>
      </c>
      <c r="B1428" s="3" t="s">
        <v>4217</v>
      </c>
      <c r="C1428" s="3" t="s">
        <v>1300</v>
      </c>
      <c r="D1428" s="3">
        <v>9876544516</v>
      </c>
      <c r="E1428" s="3" t="s">
        <v>4420</v>
      </c>
      <c r="F1428" s="3" t="str" cm="1">
        <f t="array" ref="F1428">IF(E1428="","",_xlfn.XLOOKUP(E1428,{"FIRST","SECOND","THIRD","FOURTH"},{"SEM-1","SEM-2","SEM-3","SEM-4"},""))</f>
        <v>SEM-3</v>
      </c>
      <c r="G1428" s="3">
        <v>71</v>
      </c>
      <c r="H1428" s="3">
        <v>81</v>
      </c>
      <c r="I1428" s="3">
        <v>81</v>
      </c>
      <c r="J1428" s="3">
        <f t="shared" si="66"/>
        <v>233</v>
      </c>
      <c r="K1428" s="3" t="str">
        <f t="shared" si="67"/>
        <v>P</v>
      </c>
      <c r="L1428" s="3" t="str">
        <f t="shared" si="68"/>
        <v>A</v>
      </c>
    </row>
    <row r="1429" spans="1:12" ht="14.25" customHeight="1">
      <c r="A1429" s="3">
        <v>1428</v>
      </c>
      <c r="B1429" s="3" t="s">
        <v>4101</v>
      </c>
      <c r="C1429" s="3" t="s">
        <v>1186</v>
      </c>
      <c r="D1429" s="3">
        <v>9876544400</v>
      </c>
      <c r="E1429" s="3" t="s">
        <v>4420</v>
      </c>
      <c r="F1429" s="3" t="str" cm="1">
        <f t="array" ref="F1429">IF(E1429="","",_xlfn.XLOOKUP(E1429,{"FIRST","SECOND","THIRD","FOURTH"},{"SEM-1","SEM-2","SEM-3","SEM-4"},""))</f>
        <v>SEM-3</v>
      </c>
      <c r="G1429" s="3">
        <v>32</v>
      </c>
      <c r="H1429" s="3">
        <v>85</v>
      </c>
      <c r="I1429" s="3">
        <v>54</v>
      </c>
      <c r="J1429" s="3">
        <f t="shared" si="66"/>
        <v>171</v>
      </c>
      <c r="K1429" s="3" t="str">
        <f t="shared" si="67"/>
        <v>P</v>
      </c>
      <c r="L1429" s="3" t="str">
        <f t="shared" si="68"/>
        <v>B</v>
      </c>
    </row>
    <row r="1430" spans="1:12" ht="14.25" customHeight="1">
      <c r="A1430" s="3">
        <v>1429</v>
      </c>
      <c r="B1430" s="3" t="s">
        <v>3506</v>
      </c>
      <c r="C1430" s="3" t="s">
        <v>601</v>
      </c>
      <c r="D1430" s="3">
        <v>9876543805</v>
      </c>
      <c r="E1430" s="3" t="s">
        <v>4418</v>
      </c>
      <c r="F1430" s="3" t="str" cm="1">
        <f t="array" ref="F1430">IF(E1430="","",_xlfn.XLOOKUP(E1430,{"FIRST","SECOND","THIRD","FOURTH"},{"SEM-1","SEM-2","SEM-3","SEM-4"},""))</f>
        <v>SEM-1</v>
      </c>
      <c r="G1430" s="3">
        <v>41</v>
      </c>
      <c r="H1430" s="3">
        <v>60</v>
      </c>
      <c r="I1430" s="3">
        <v>64</v>
      </c>
      <c r="J1430" s="3">
        <f t="shared" si="66"/>
        <v>165</v>
      </c>
      <c r="K1430" s="3" t="str">
        <f t="shared" si="67"/>
        <v>P</v>
      </c>
      <c r="L1430" s="3" t="str">
        <f t="shared" si="68"/>
        <v>B</v>
      </c>
    </row>
    <row r="1431" spans="1:12" ht="14.25" customHeight="1">
      <c r="A1431" s="3">
        <v>1430</v>
      </c>
      <c r="B1431" s="3" t="s">
        <v>3976</v>
      </c>
      <c r="C1431" s="3" t="s">
        <v>1066</v>
      </c>
      <c r="D1431" s="3">
        <v>9876544275</v>
      </c>
      <c r="E1431" s="3" t="s">
        <v>4419</v>
      </c>
      <c r="F1431" s="3" t="str" cm="1">
        <f t="array" ref="F1431">IF(E1431="","",_xlfn.XLOOKUP(E1431,{"FIRST","SECOND","THIRD","FOURTH"},{"SEM-1","SEM-2","SEM-3","SEM-4"},""))</f>
        <v>SEM-2</v>
      </c>
      <c r="G1431" s="3">
        <v>74</v>
      </c>
      <c r="H1431" s="3">
        <v>67</v>
      </c>
      <c r="I1431" s="3">
        <v>32</v>
      </c>
      <c r="J1431" s="3">
        <f t="shared" si="66"/>
        <v>173</v>
      </c>
      <c r="K1431" s="3" t="str">
        <f t="shared" si="67"/>
        <v>P</v>
      </c>
      <c r="L1431" s="3" t="str">
        <f t="shared" si="68"/>
        <v>B</v>
      </c>
    </row>
    <row r="1432" spans="1:12" ht="14.25" customHeight="1">
      <c r="A1432" s="3">
        <v>1431</v>
      </c>
      <c r="B1432" s="3" t="s">
        <v>3512</v>
      </c>
      <c r="C1432" s="3" t="s">
        <v>607</v>
      </c>
      <c r="D1432" s="3">
        <v>9876543811</v>
      </c>
      <c r="E1432" s="3" t="s">
        <v>4418</v>
      </c>
      <c r="F1432" s="3" t="str" cm="1">
        <f t="array" ref="F1432">IF(E1432="","",_xlfn.XLOOKUP(E1432,{"FIRST","SECOND","THIRD","FOURTH"},{"SEM-1","SEM-2","SEM-3","SEM-4"},""))</f>
        <v>SEM-1</v>
      </c>
      <c r="G1432" s="3">
        <v>58</v>
      </c>
      <c r="H1432" s="3">
        <v>98</v>
      </c>
      <c r="I1432" s="3">
        <v>48</v>
      </c>
      <c r="J1432" s="3">
        <f t="shared" si="66"/>
        <v>204</v>
      </c>
      <c r="K1432" s="3" t="str">
        <f t="shared" si="67"/>
        <v>P</v>
      </c>
      <c r="L1432" s="3" t="str">
        <f t="shared" si="68"/>
        <v>A</v>
      </c>
    </row>
    <row r="1433" spans="1:12" ht="14.25" customHeight="1">
      <c r="A1433" s="3">
        <v>1432</v>
      </c>
      <c r="B1433" s="3" t="s">
        <v>3612</v>
      </c>
      <c r="C1433" s="3" t="s">
        <v>706</v>
      </c>
      <c r="D1433" s="3">
        <v>9876543911</v>
      </c>
      <c r="E1433" s="3" t="s">
        <v>4419</v>
      </c>
      <c r="F1433" s="3" t="str" cm="1">
        <f t="array" ref="F1433">IF(E1433="","",_xlfn.XLOOKUP(E1433,{"FIRST","SECOND","THIRD","FOURTH"},{"SEM-1","SEM-2","SEM-3","SEM-4"},""))</f>
        <v>SEM-2</v>
      </c>
      <c r="G1433" s="3">
        <v>78</v>
      </c>
      <c r="H1433" s="3">
        <v>83</v>
      </c>
      <c r="I1433" s="3">
        <v>92</v>
      </c>
      <c r="J1433" s="3">
        <f t="shared" si="66"/>
        <v>253</v>
      </c>
      <c r="K1433" s="3" t="str">
        <f t="shared" si="67"/>
        <v>P</v>
      </c>
      <c r="L1433" s="3" t="str">
        <f t="shared" si="68"/>
        <v>A</v>
      </c>
    </row>
    <row r="1434" spans="1:12" ht="14.25" customHeight="1">
      <c r="A1434" s="3">
        <v>1433</v>
      </c>
      <c r="B1434" s="3" t="s">
        <v>4376</v>
      </c>
      <c r="C1434" s="3" t="s">
        <v>1455</v>
      </c>
      <c r="D1434" s="3">
        <v>9876544675</v>
      </c>
      <c r="E1434" s="3" t="s">
        <v>4420</v>
      </c>
      <c r="F1434" s="3" t="str" cm="1">
        <f t="array" ref="F1434">IF(E1434="","",_xlfn.XLOOKUP(E1434,{"FIRST","SECOND","THIRD","FOURTH"},{"SEM-1","SEM-2","SEM-3","SEM-4"},""))</f>
        <v>SEM-3</v>
      </c>
      <c r="G1434" s="3">
        <v>40</v>
      </c>
      <c r="H1434" s="3">
        <v>74</v>
      </c>
      <c r="I1434" s="3">
        <v>48</v>
      </c>
      <c r="J1434" s="3">
        <f t="shared" si="66"/>
        <v>162</v>
      </c>
      <c r="K1434" s="3" t="str">
        <f t="shared" si="67"/>
        <v>P</v>
      </c>
      <c r="L1434" s="3" t="str">
        <f t="shared" si="68"/>
        <v>B</v>
      </c>
    </row>
    <row r="1435" spans="1:12" ht="14.25" customHeight="1">
      <c r="A1435" s="3">
        <v>1434</v>
      </c>
      <c r="B1435" s="3" t="s">
        <v>3812</v>
      </c>
      <c r="C1435" s="3" t="s">
        <v>904</v>
      </c>
      <c r="D1435" s="3">
        <v>9876544111</v>
      </c>
      <c r="E1435" s="3" t="s">
        <v>4420</v>
      </c>
      <c r="F1435" s="3" t="str" cm="1">
        <f t="array" ref="F1435">IF(E1435="","",_xlfn.XLOOKUP(E1435,{"FIRST","SECOND","THIRD","FOURTH"},{"SEM-1","SEM-2","SEM-3","SEM-4"},""))</f>
        <v>SEM-3</v>
      </c>
      <c r="G1435" s="3">
        <v>99</v>
      </c>
      <c r="H1435" s="3">
        <v>52</v>
      </c>
      <c r="I1435" s="3">
        <v>14</v>
      </c>
      <c r="J1435" s="3">
        <f t="shared" si="66"/>
        <v>165</v>
      </c>
      <c r="K1435" s="3" t="str">
        <f t="shared" si="67"/>
        <v>P</v>
      </c>
      <c r="L1435" s="3" t="str">
        <f t="shared" si="68"/>
        <v>B</v>
      </c>
    </row>
    <row r="1436" spans="1:12" ht="14.25" customHeight="1">
      <c r="A1436" s="3">
        <v>1435</v>
      </c>
      <c r="B1436" s="3" t="s">
        <v>3594</v>
      </c>
      <c r="C1436" s="3" t="s">
        <v>688</v>
      </c>
      <c r="D1436" s="3">
        <v>9876543893</v>
      </c>
      <c r="E1436" s="3" t="s">
        <v>4419</v>
      </c>
      <c r="F1436" s="3" t="str" cm="1">
        <f t="array" ref="F1436">IF(E1436="","",_xlfn.XLOOKUP(E1436,{"FIRST","SECOND","THIRD","FOURTH"},{"SEM-1","SEM-2","SEM-3","SEM-4"},""))</f>
        <v>SEM-2</v>
      </c>
      <c r="G1436" s="3">
        <v>39</v>
      </c>
      <c r="H1436" s="3">
        <v>93</v>
      </c>
      <c r="I1436" s="3">
        <v>17</v>
      </c>
      <c r="J1436" s="3">
        <f t="shared" si="66"/>
        <v>149</v>
      </c>
      <c r="K1436" s="3" t="str">
        <f t="shared" si="67"/>
        <v>P</v>
      </c>
      <c r="L1436" s="3" t="str">
        <f t="shared" si="68"/>
        <v>C</v>
      </c>
    </row>
    <row r="1437" spans="1:12" ht="14.25" customHeight="1">
      <c r="A1437" s="3">
        <v>1436</v>
      </c>
      <c r="B1437" s="3" t="s">
        <v>4032</v>
      </c>
      <c r="C1437" s="3" t="s">
        <v>1121</v>
      </c>
      <c r="D1437" s="3">
        <v>9876544331</v>
      </c>
      <c r="E1437" s="3" t="s">
        <v>4419</v>
      </c>
      <c r="F1437" s="3" t="str" cm="1">
        <f t="array" ref="F1437">IF(E1437="","",_xlfn.XLOOKUP(E1437,{"FIRST","SECOND","THIRD","FOURTH"},{"SEM-1","SEM-2","SEM-3","SEM-4"},""))</f>
        <v>SEM-2</v>
      </c>
      <c r="G1437" s="3">
        <v>22</v>
      </c>
      <c r="H1437" s="3">
        <v>96</v>
      </c>
      <c r="I1437" s="3">
        <v>36</v>
      </c>
      <c r="J1437" s="3">
        <f t="shared" si="66"/>
        <v>154</v>
      </c>
      <c r="K1437" s="3" t="str">
        <f t="shared" si="67"/>
        <v>P</v>
      </c>
      <c r="L1437" s="3" t="str">
        <f t="shared" si="68"/>
        <v>B</v>
      </c>
    </row>
    <row r="1438" spans="1:12" ht="14.25" customHeight="1">
      <c r="A1438" s="3">
        <v>1437</v>
      </c>
      <c r="B1438" s="3" t="s">
        <v>3294</v>
      </c>
      <c r="C1438" s="3" t="s">
        <v>390</v>
      </c>
      <c r="D1438" s="3">
        <v>9876543593</v>
      </c>
      <c r="E1438" s="3" t="s">
        <v>4419</v>
      </c>
      <c r="F1438" s="3" t="str" cm="1">
        <f t="array" ref="F1438">IF(E1438="","",_xlfn.XLOOKUP(E1438,{"FIRST","SECOND","THIRD","FOURTH"},{"SEM-1","SEM-2","SEM-3","SEM-4"},""))</f>
        <v>SEM-2</v>
      </c>
      <c r="G1438" s="3">
        <v>50</v>
      </c>
      <c r="H1438" s="3">
        <v>87</v>
      </c>
      <c r="I1438" s="3">
        <v>54</v>
      </c>
      <c r="J1438" s="3">
        <f t="shared" si="66"/>
        <v>191</v>
      </c>
      <c r="K1438" s="3" t="str">
        <f t="shared" si="67"/>
        <v>P</v>
      </c>
      <c r="L1438" s="3" t="str">
        <f t="shared" si="68"/>
        <v>A</v>
      </c>
    </row>
    <row r="1439" spans="1:12" ht="14.25" customHeight="1">
      <c r="A1439" s="3">
        <v>1438</v>
      </c>
      <c r="B1439" s="3" t="s">
        <v>4086</v>
      </c>
      <c r="C1439" s="3" t="s">
        <v>1172</v>
      </c>
      <c r="D1439" s="3">
        <v>9876544385</v>
      </c>
      <c r="E1439" s="3" t="s">
        <v>4420</v>
      </c>
      <c r="F1439" s="3" t="str" cm="1">
        <f t="array" ref="F1439">IF(E1439="","",_xlfn.XLOOKUP(E1439,{"FIRST","SECOND","THIRD","FOURTH"},{"SEM-1","SEM-2","SEM-3","SEM-4"},""))</f>
        <v>SEM-3</v>
      </c>
      <c r="G1439" s="3">
        <v>2</v>
      </c>
      <c r="H1439" s="3">
        <v>56</v>
      </c>
      <c r="I1439" s="3">
        <v>50</v>
      </c>
      <c r="J1439" s="3">
        <f t="shared" si="66"/>
        <v>108</v>
      </c>
      <c r="K1439" s="3" t="str">
        <f t="shared" si="67"/>
        <v>F</v>
      </c>
      <c r="L1439" s="3" t="str">
        <f t="shared" si="68"/>
        <v>FAIL</v>
      </c>
    </row>
    <row r="1440" spans="1:12" ht="14.25" customHeight="1">
      <c r="A1440" s="3">
        <v>1439</v>
      </c>
      <c r="B1440" s="3" t="s">
        <v>4393</v>
      </c>
      <c r="C1440" s="3" t="s">
        <v>1472</v>
      </c>
      <c r="D1440" s="3">
        <v>9876544692</v>
      </c>
      <c r="E1440" s="3" t="s">
        <v>4420</v>
      </c>
      <c r="F1440" s="3" t="str" cm="1">
        <f t="array" ref="F1440">IF(E1440="","",_xlfn.XLOOKUP(E1440,{"FIRST","SECOND","THIRD","FOURTH"},{"SEM-1","SEM-2","SEM-3","SEM-4"},""))</f>
        <v>SEM-3</v>
      </c>
      <c r="G1440" s="3">
        <v>21</v>
      </c>
      <c r="H1440" s="3">
        <v>30</v>
      </c>
      <c r="I1440" s="3">
        <v>92</v>
      </c>
      <c r="J1440" s="3">
        <f t="shared" si="66"/>
        <v>143</v>
      </c>
      <c r="K1440" s="3" t="str">
        <f t="shared" si="67"/>
        <v>P</v>
      </c>
      <c r="L1440" s="3" t="str">
        <f t="shared" si="68"/>
        <v>C</v>
      </c>
    </row>
    <row r="1441" spans="1:12" ht="14.25" customHeight="1">
      <c r="A1441" s="3">
        <v>1440</v>
      </c>
      <c r="B1441" s="3" t="s">
        <v>3945</v>
      </c>
      <c r="C1441" s="3" t="s">
        <v>1035</v>
      </c>
      <c r="D1441" s="3">
        <v>9876544244</v>
      </c>
      <c r="E1441" s="3" t="s">
        <v>4418</v>
      </c>
      <c r="F1441" s="3" t="str" cm="1">
        <f t="array" ref="F1441">IF(E1441="","",_xlfn.XLOOKUP(E1441,{"FIRST","SECOND","THIRD","FOURTH"},{"SEM-1","SEM-2","SEM-3","SEM-4"},""))</f>
        <v>SEM-1</v>
      </c>
      <c r="G1441" s="3">
        <v>61</v>
      </c>
      <c r="H1441" s="3">
        <v>44</v>
      </c>
      <c r="I1441" s="3">
        <v>69</v>
      </c>
      <c r="J1441" s="3">
        <f t="shared" si="66"/>
        <v>174</v>
      </c>
      <c r="K1441" s="3" t="str">
        <f t="shared" si="67"/>
        <v>P</v>
      </c>
      <c r="L1441" s="3" t="str">
        <f t="shared" si="68"/>
        <v>B</v>
      </c>
    </row>
    <row r="1442" spans="1:12" ht="14.25" customHeight="1">
      <c r="A1442" s="3">
        <v>1441</v>
      </c>
      <c r="B1442" s="3" t="s">
        <v>3459</v>
      </c>
      <c r="C1442" s="3" t="s">
        <v>555</v>
      </c>
      <c r="D1442" s="3">
        <v>9876543758</v>
      </c>
      <c r="E1442" s="3" t="s">
        <v>4419</v>
      </c>
      <c r="F1442" s="3" t="str" cm="1">
        <f t="array" ref="F1442">IF(E1442="","",_xlfn.XLOOKUP(E1442,{"FIRST","SECOND","THIRD","FOURTH"},{"SEM-1","SEM-2","SEM-3","SEM-4"},""))</f>
        <v>SEM-2</v>
      </c>
      <c r="G1442" s="3">
        <v>33</v>
      </c>
      <c r="H1442" s="3">
        <v>32</v>
      </c>
      <c r="I1442" s="3">
        <v>40</v>
      </c>
      <c r="J1442" s="3">
        <f t="shared" si="66"/>
        <v>105</v>
      </c>
      <c r="K1442" s="3" t="str">
        <f t="shared" si="67"/>
        <v>F</v>
      </c>
      <c r="L1442" s="3" t="str">
        <f t="shared" si="68"/>
        <v>FAIL</v>
      </c>
    </row>
    <row r="1443" spans="1:12" ht="14.25" customHeight="1">
      <c r="A1443" s="3">
        <v>1442</v>
      </c>
      <c r="B1443" s="3" t="s">
        <v>3108</v>
      </c>
      <c r="C1443" s="3" t="s">
        <v>206</v>
      </c>
      <c r="D1443" s="3">
        <v>9876543407</v>
      </c>
      <c r="E1443" s="3" t="s">
        <v>4420</v>
      </c>
      <c r="F1443" s="3" t="str" cm="1">
        <f t="array" ref="F1443">IF(E1443="","",_xlfn.XLOOKUP(E1443,{"FIRST","SECOND","THIRD","FOURTH"},{"SEM-1","SEM-2","SEM-3","SEM-4"},""))</f>
        <v>SEM-3</v>
      </c>
      <c r="G1443" s="3">
        <v>32</v>
      </c>
      <c r="H1443" s="3">
        <v>65</v>
      </c>
      <c r="I1443" s="3">
        <v>35</v>
      </c>
      <c r="J1443" s="3">
        <f t="shared" si="66"/>
        <v>132</v>
      </c>
      <c r="K1443" s="3" t="str">
        <f t="shared" si="67"/>
        <v>P</v>
      </c>
      <c r="L1443" s="3" t="str">
        <f t="shared" si="68"/>
        <v>C</v>
      </c>
    </row>
    <row r="1444" spans="1:12" ht="14.25" customHeight="1">
      <c r="A1444" s="3">
        <v>1443</v>
      </c>
      <c r="B1444" s="3" t="s">
        <v>3678</v>
      </c>
      <c r="C1444" s="3" t="s">
        <v>771</v>
      </c>
      <c r="D1444" s="3">
        <v>9876543977</v>
      </c>
      <c r="E1444" s="3" t="s">
        <v>4419</v>
      </c>
      <c r="F1444" s="3" t="str" cm="1">
        <f t="array" ref="F1444">IF(E1444="","",_xlfn.XLOOKUP(E1444,{"FIRST","SECOND","THIRD","FOURTH"},{"SEM-1","SEM-2","SEM-3","SEM-4"},""))</f>
        <v>SEM-2</v>
      </c>
      <c r="G1444" s="3">
        <v>27</v>
      </c>
      <c r="H1444" s="3">
        <v>93</v>
      </c>
      <c r="I1444" s="3">
        <v>43</v>
      </c>
      <c r="J1444" s="3">
        <f t="shared" si="66"/>
        <v>163</v>
      </c>
      <c r="K1444" s="3" t="str">
        <f t="shared" si="67"/>
        <v>P</v>
      </c>
      <c r="L1444" s="3" t="str">
        <f t="shared" si="68"/>
        <v>B</v>
      </c>
    </row>
    <row r="1445" spans="1:12" ht="14.25" customHeight="1">
      <c r="A1445" s="3">
        <v>1444</v>
      </c>
      <c r="B1445" s="3" t="s">
        <v>4209</v>
      </c>
      <c r="C1445" s="3" t="s">
        <v>1293</v>
      </c>
      <c r="D1445" s="3">
        <v>9876544508</v>
      </c>
      <c r="E1445" s="3" t="s">
        <v>4419</v>
      </c>
      <c r="F1445" s="3" t="str" cm="1">
        <f t="array" ref="F1445">IF(E1445="","",_xlfn.XLOOKUP(E1445,{"FIRST","SECOND","THIRD","FOURTH"},{"SEM-1","SEM-2","SEM-3","SEM-4"},""))</f>
        <v>SEM-2</v>
      </c>
      <c r="G1445" s="3">
        <v>1</v>
      </c>
      <c r="H1445" s="3">
        <v>37</v>
      </c>
      <c r="I1445" s="3">
        <v>9</v>
      </c>
      <c r="J1445" s="3">
        <f t="shared" si="66"/>
        <v>47</v>
      </c>
      <c r="K1445" s="3" t="str">
        <f t="shared" si="67"/>
        <v>F</v>
      </c>
      <c r="L1445" s="3" t="str">
        <f t="shared" si="68"/>
        <v>FAIL</v>
      </c>
    </row>
    <row r="1446" spans="1:12" ht="14.25" customHeight="1">
      <c r="A1446" s="3">
        <v>1445</v>
      </c>
      <c r="B1446" s="3" t="s">
        <v>3098</v>
      </c>
      <c r="C1446" s="3" t="s">
        <v>196</v>
      </c>
      <c r="D1446" s="3">
        <v>9876543397</v>
      </c>
      <c r="E1446" s="3" t="s">
        <v>4420</v>
      </c>
      <c r="F1446" s="3" t="str" cm="1">
        <f t="array" ref="F1446">IF(E1446="","",_xlfn.XLOOKUP(E1446,{"FIRST","SECOND","THIRD","FOURTH"},{"SEM-1","SEM-2","SEM-3","SEM-4"},""))</f>
        <v>SEM-3</v>
      </c>
      <c r="G1446" s="3">
        <v>55</v>
      </c>
      <c r="H1446" s="3">
        <v>84</v>
      </c>
      <c r="I1446" s="3">
        <v>32</v>
      </c>
      <c r="J1446" s="3">
        <f t="shared" si="66"/>
        <v>171</v>
      </c>
      <c r="K1446" s="3" t="str">
        <f t="shared" si="67"/>
        <v>P</v>
      </c>
      <c r="L1446" s="3" t="str">
        <f t="shared" si="68"/>
        <v>B</v>
      </c>
    </row>
    <row r="1447" spans="1:12" ht="14.25" customHeight="1">
      <c r="A1447" s="3">
        <v>1446</v>
      </c>
      <c r="B1447" s="3" t="s">
        <v>4234</v>
      </c>
      <c r="C1447" s="3" t="s">
        <v>1317</v>
      </c>
      <c r="D1447" s="3">
        <v>9876544533</v>
      </c>
      <c r="E1447" s="3" t="s">
        <v>4420</v>
      </c>
      <c r="F1447" s="3" t="str" cm="1">
        <f t="array" ref="F1447">IF(E1447="","",_xlfn.XLOOKUP(E1447,{"FIRST","SECOND","THIRD","FOURTH"},{"SEM-1","SEM-2","SEM-3","SEM-4"},""))</f>
        <v>SEM-3</v>
      </c>
      <c r="G1447" s="3">
        <v>31</v>
      </c>
      <c r="H1447" s="3">
        <v>19</v>
      </c>
      <c r="I1447" s="3">
        <v>97</v>
      </c>
      <c r="J1447" s="3">
        <f t="shared" si="66"/>
        <v>147</v>
      </c>
      <c r="K1447" s="3" t="str">
        <f t="shared" si="67"/>
        <v>P</v>
      </c>
      <c r="L1447" s="3" t="str">
        <f t="shared" si="68"/>
        <v>C</v>
      </c>
    </row>
    <row r="1448" spans="1:12" ht="14.25" customHeight="1">
      <c r="A1448" s="3">
        <v>1447</v>
      </c>
      <c r="B1448" s="3" t="s">
        <v>3646</v>
      </c>
      <c r="C1448" s="3" t="s">
        <v>740</v>
      </c>
      <c r="D1448" s="3">
        <v>9876543945</v>
      </c>
      <c r="E1448" s="3" t="s">
        <v>4419</v>
      </c>
      <c r="F1448" s="3" t="str" cm="1">
        <f t="array" ref="F1448">IF(E1448="","",_xlfn.XLOOKUP(E1448,{"FIRST","SECOND","THIRD","FOURTH"},{"SEM-1","SEM-2","SEM-3","SEM-4"},""))</f>
        <v>SEM-2</v>
      </c>
      <c r="G1448" s="3">
        <v>79</v>
      </c>
      <c r="H1448" s="3">
        <v>99</v>
      </c>
      <c r="I1448" s="3">
        <v>99</v>
      </c>
      <c r="J1448" s="3">
        <f t="shared" si="66"/>
        <v>277</v>
      </c>
      <c r="K1448" s="3" t="str">
        <f t="shared" si="67"/>
        <v>P</v>
      </c>
      <c r="L1448" s="3" t="str">
        <f t="shared" si="68"/>
        <v>A</v>
      </c>
    </row>
    <row r="1449" spans="1:12" ht="14.25" customHeight="1">
      <c r="A1449" s="3">
        <v>1448</v>
      </c>
      <c r="B1449" s="3" t="s">
        <v>4187</v>
      </c>
      <c r="C1449" s="3" t="s">
        <v>1272</v>
      </c>
      <c r="D1449" s="3">
        <v>9876544486</v>
      </c>
      <c r="E1449" s="3" t="s">
        <v>4420</v>
      </c>
      <c r="F1449" s="3" t="str" cm="1">
        <f t="array" ref="F1449">IF(E1449="","",_xlfn.XLOOKUP(E1449,{"FIRST","SECOND","THIRD","FOURTH"},{"SEM-1","SEM-2","SEM-3","SEM-4"},""))</f>
        <v>SEM-3</v>
      </c>
      <c r="G1449" s="3">
        <v>14</v>
      </c>
      <c r="H1449" s="3">
        <v>93</v>
      </c>
      <c r="I1449" s="3">
        <v>82</v>
      </c>
      <c r="J1449" s="3">
        <f t="shared" si="66"/>
        <v>189</v>
      </c>
      <c r="K1449" s="3" t="str">
        <f t="shared" si="67"/>
        <v>P</v>
      </c>
      <c r="L1449" s="3" t="str">
        <f t="shared" si="68"/>
        <v>B</v>
      </c>
    </row>
    <row r="1450" spans="1:12" ht="14.25" customHeight="1">
      <c r="A1450" s="3">
        <v>1449</v>
      </c>
      <c r="B1450" s="3" t="s">
        <v>4243</v>
      </c>
      <c r="C1450" s="3" t="s">
        <v>1326</v>
      </c>
      <c r="D1450" s="3">
        <v>9876544542</v>
      </c>
      <c r="E1450" s="3" t="s">
        <v>4418</v>
      </c>
      <c r="F1450" s="3" t="str" cm="1">
        <f t="array" ref="F1450">IF(E1450="","",_xlfn.XLOOKUP(E1450,{"FIRST","SECOND","THIRD","FOURTH"},{"SEM-1","SEM-2","SEM-3","SEM-4"},""))</f>
        <v>SEM-1</v>
      </c>
      <c r="G1450" s="3">
        <v>82</v>
      </c>
      <c r="H1450" s="3">
        <v>14</v>
      </c>
      <c r="I1450" s="3">
        <v>22</v>
      </c>
      <c r="J1450" s="3">
        <f t="shared" si="66"/>
        <v>118</v>
      </c>
      <c r="K1450" s="3" t="str">
        <f t="shared" si="67"/>
        <v>P</v>
      </c>
      <c r="L1450" s="3" t="str">
        <f t="shared" si="68"/>
        <v>FAIL</v>
      </c>
    </row>
    <row r="1451" spans="1:12" ht="14.25" customHeight="1">
      <c r="A1451" s="3">
        <v>1450</v>
      </c>
      <c r="B1451" s="3" t="s">
        <v>3036</v>
      </c>
      <c r="C1451" s="3" t="s">
        <v>134</v>
      </c>
      <c r="D1451" s="3">
        <v>9876543335</v>
      </c>
      <c r="E1451" s="3" t="s">
        <v>4418</v>
      </c>
      <c r="F1451" s="3" t="str" cm="1">
        <f t="array" ref="F1451">IF(E1451="","",_xlfn.XLOOKUP(E1451,{"FIRST","SECOND","THIRD","FOURTH"},{"SEM-1","SEM-2","SEM-3","SEM-4"},""))</f>
        <v>SEM-1</v>
      </c>
      <c r="G1451" s="3">
        <v>17</v>
      </c>
      <c r="H1451" s="3">
        <v>73</v>
      </c>
      <c r="I1451" s="3">
        <v>42</v>
      </c>
      <c r="J1451" s="3">
        <f t="shared" si="66"/>
        <v>132</v>
      </c>
      <c r="K1451" s="3" t="str">
        <f t="shared" si="67"/>
        <v>P</v>
      </c>
      <c r="L1451" s="3" t="str">
        <f t="shared" si="68"/>
        <v>C</v>
      </c>
    </row>
    <row r="1452" spans="1:12" ht="14.25" customHeight="1">
      <c r="A1452" s="3">
        <v>1451</v>
      </c>
      <c r="B1452" s="3" t="s">
        <v>3561</v>
      </c>
      <c r="C1452" s="3" t="s">
        <v>655</v>
      </c>
      <c r="D1452" s="3">
        <v>9876543860</v>
      </c>
      <c r="E1452" s="3" t="s">
        <v>4419</v>
      </c>
      <c r="F1452" s="3" t="str" cm="1">
        <f t="array" ref="F1452">IF(E1452="","",_xlfn.XLOOKUP(E1452,{"FIRST","SECOND","THIRD","FOURTH"},{"SEM-1","SEM-2","SEM-3","SEM-4"},""))</f>
        <v>SEM-2</v>
      </c>
      <c r="G1452" s="3">
        <v>99</v>
      </c>
      <c r="H1452" s="3">
        <v>62</v>
      </c>
      <c r="I1452" s="3">
        <v>8</v>
      </c>
      <c r="J1452" s="3">
        <f t="shared" si="66"/>
        <v>169</v>
      </c>
      <c r="K1452" s="3" t="str">
        <f t="shared" si="67"/>
        <v>P</v>
      </c>
      <c r="L1452" s="3" t="str">
        <f t="shared" si="68"/>
        <v>B</v>
      </c>
    </row>
    <row r="1453" spans="1:12" ht="14.25" customHeight="1">
      <c r="A1453" s="3">
        <v>1452</v>
      </c>
      <c r="B1453" s="3" t="s">
        <v>4203</v>
      </c>
      <c r="C1453" s="3" t="s">
        <v>1287</v>
      </c>
      <c r="D1453" s="3">
        <v>9876544502</v>
      </c>
      <c r="E1453" s="3" t="s">
        <v>4419</v>
      </c>
      <c r="F1453" s="3" t="str" cm="1">
        <f t="array" ref="F1453">IF(E1453="","",_xlfn.XLOOKUP(E1453,{"FIRST","SECOND","THIRD","FOURTH"},{"SEM-1","SEM-2","SEM-3","SEM-4"},""))</f>
        <v>SEM-2</v>
      </c>
      <c r="G1453" s="3">
        <v>61</v>
      </c>
      <c r="H1453" s="3">
        <v>4</v>
      </c>
      <c r="I1453" s="3">
        <v>47</v>
      </c>
      <c r="J1453" s="3">
        <f t="shared" si="66"/>
        <v>112</v>
      </c>
      <c r="K1453" s="3" t="str">
        <f t="shared" si="67"/>
        <v>F</v>
      </c>
      <c r="L1453" s="3" t="str">
        <f t="shared" si="68"/>
        <v>FAIL</v>
      </c>
    </row>
    <row r="1454" spans="1:12" ht="14.25" customHeight="1">
      <c r="A1454" s="3">
        <v>1453</v>
      </c>
      <c r="B1454" s="3" t="s">
        <v>3469</v>
      </c>
      <c r="C1454" s="3" t="s">
        <v>565</v>
      </c>
      <c r="D1454" s="3">
        <v>9876543768</v>
      </c>
      <c r="E1454" s="3" t="s">
        <v>4419</v>
      </c>
      <c r="F1454" s="3" t="str" cm="1">
        <f t="array" ref="F1454">IF(E1454="","",_xlfn.XLOOKUP(E1454,{"FIRST","SECOND","THIRD","FOURTH"},{"SEM-1","SEM-2","SEM-3","SEM-4"},""))</f>
        <v>SEM-2</v>
      </c>
      <c r="G1454" s="3">
        <v>98</v>
      </c>
      <c r="H1454" s="3">
        <v>56</v>
      </c>
      <c r="I1454" s="3">
        <v>24</v>
      </c>
      <c r="J1454" s="3">
        <f t="shared" si="66"/>
        <v>178</v>
      </c>
      <c r="K1454" s="3" t="str">
        <f t="shared" si="67"/>
        <v>P</v>
      </c>
      <c r="L1454" s="3" t="str">
        <f t="shared" si="68"/>
        <v>B</v>
      </c>
    </row>
    <row r="1455" spans="1:12" ht="14.25" customHeight="1">
      <c r="A1455" s="3">
        <v>1454</v>
      </c>
      <c r="B1455" s="3" t="s">
        <v>3554</v>
      </c>
      <c r="C1455" s="3" t="s">
        <v>648</v>
      </c>
      <c r="D1455" s="3">
        <v>9876543853</v>
      </c>
      <c r="E1455" s="3" t="s">
        <v>4419</v>
      </c>
      <c r="F1455" s="3" t="str" cm="1">
        <f t="array" ref="F1455">IF(E1455="","",_xlfn.XLOOKUP(E1455,{"FIRST","SECOND","THIRD","FOURTH"},{"SEM-1","SEM-2","SEM-3","SEM-4"},""))</f>
        <v>SEM-2</v>
      </c>
      <c r="G1455" s="3">
        <v>26</v>
      </c>
      <c r="H1455" s="3">
        <v>58</v>
      </c>
      <c r="I1455" s="3">
        <v>83</v>
      </c>
      <c r="J1455" s="3">
        <f t="shared" si="66"/>
        <v>167</v>
      </c>
      <c r="K1455" s="3" t="str">
        <f t="shared" si="67"/>
        <v>P</v>
      </c>
      <c r="L1455" s="3" t="str">
        <f t="shared" si="68"/>
        <v>B</v>
      </c>
    </row>
    <row r="1456" spans="1:12" ht="14.25" customHeight="1">
      <c r="A1456" s="3">
        <v>1455</v>
      </c>
      <c r="B1456" s="3" t="s">
        <v>4188</v>
      </c>
      <c r="C1456" s="3" t="s">
        <v>1273</v>
      </c>
      <c r="D1456" s="3">
        <v>9876544487</v>
      </c>
      <c r="E1456" s="3" t="s">
        <v>4418</v>
      </c>
      <c r="F1456" s="3" t="str" cm="1">
        <f t="array" ref="F1456">IF(E1456="","",_xlfn.XLOOKUP(E1456,{"FIRST","SECOND","THIRD","FOURTH"},{"SEM-1","SEM-2","SEM-3","SEM-4"},""))</f>
        <v>SEM-1</v>
      </c>
      <c r="G1456" s="3">
        <v>18</v>
      </c>
      <c r="H1456" s="3">
        <v>21</v>
      </c>
      <c r="I1456" s="3">
        <v>50</v>
      </c>
      <c r="J1456" s="3">
        <f t="shared" si="66"/>
        <v>89</v>
      </c>
      <c r="K1456" s="3" t="str">
        <f t="shared" si="67"/>
        <v>F</v>
      </c>
      <c r="L1456" s="3" t="str">
        <f t="shared" si="68"/>
        <v>FAIL</v>
      </c>
    </row>
    <row r="1457" spans="1:12" ht="14.25" customHeight="1">
      <c r="A1457" s="3">
        <v>1456</v>
      </c>
      <c r="B1457" s="3" t="s">
        <v>3878</v>
      </c>
      <c r="C1457" s="3" t="s">
        <v>969</v>
      </c>
      <c r="D1457" s="3">
        <v>9876544177</v>
      </c>
      <c r="E1457" s="3" t="s">
        <v>4419</v>
      </c>
      <c r="F1457" s="3" t="str" cm="1">
        <f t="array" ref="F1457">IF(E1457="","",_xlfn.XLOOKUP(E1457,{"FIRST","SECOND","THIRD","FOURTH"},{"SEM-1","SEM-2","SEM-3","SEM-4"},""))</f>
        <v>SEM-2</v>
      </c>
      <c r="G1457" s="3">
        <v>66</v>
      </c>
      <c r="H1457" s="3">
        <v>94</v>
      </c>
      <c r="I1457" s="3">
        <v>11</v>
      </c>
      <c r="J1457" s="3">
        <f t="shared" si="66"/>
        <v>171</v>
      </c>
      <c r="K1457" s="3" t="str">
        <f t="shared" si="67"/>
        <v>P</v>
      </c>
      <c r="L1457" s="3" t="str">
        <f t="shared" si="68"/>
        <v>B</v>
      </c>
    </row>
    <row r="1458" spans="1:12" ht="14.25" customHeight="1">
      <c r="A1458" s="3">
        <v>1457</v>
      </c>
      <c r="B1458" s="3" t="s">
        <v>3438</v>
      </c>
      <c r="C1458" s="3" t="s">
        <v>534</v>
      </c>
      <c r="D1458" s="3">
        <v>9876543737</v>
      </c>
      <c r="E1458" s="3" t="s">
        <v>4418</v>
      </c>
      <c r="F1458" s="3" t="str" cm="1">
        <f t="array" ref="F1458">IF(E1458="","",_xlfn.XLOOKUP(E1458,{"FIRST","SECOND","THIRD","FOURTH"},{"SEM-1","SEM-2","SEM-3","SEM-4"},""))</f>
        <v>SEM-1</v>
      </c>
      <c r="G1458" s="3">
        <v>48</v>
      </c>
      <c r="H1458" s="3">
        <v>9</v>
      </c>
      <c r="I1458" s="3">
        <v>66</v>
      </c>
      <c r="J1458" s="3">
        <f t="shared" si="66"/>
        <v>123</v>
      </c>
      <c r="K1458" s="3" t="str">
        <f t="shared" si="67"/>
        <v>P</v>
      </c>
      <c r="L1458" s="3" t="str">
        <f t="shared" si="68"/>
        <v>C</v>
      </c>
    </row>
    <row r="1459" spans="1:12" ht="14.25" customHeight="1">
      <c r="A1459" s="3">
        <v>1458</v>
      </c>
      <c r="B1459" s="3" t="s">
        <v>4082</v>
      </c>
      <c r="C1459" s="3" t="s">
        <v>1168</v>
      </c>
      <c r="D1459" s="3">
        <v>9876544381</v>
      </c>
      <c r="E1459" s="3" t="s">
        <v>4419</v>
      </c>
      <c r="F1459" s="3" t="str" cm="1">
        <f t="array" ref="F1459">IF(E1459="","",_xlfn.XLOOKUP(E1459,{"FIRST","SECOND","THIRD","FOURTH"},{"SEM-1","SEM-2","SEM-3","SEM-4"},""))</f>
        <v>SEM-2</v>
      </c>
      <c r="G1459" s="3">
        <v>15</v>
      </c>
      <c r="H1459" s="3">
        <v>64</v>
      </c>
      <c r="I1459" s="3">
        <v>71</v>
      </c>
      <c r="J1459" s="3">
        <f t="shared" si="66"/>
        <v>150</v>
      </c>
      <c r="K1459" s="3" t="str">
        <f t="shared" si="67"/>
        <v>P</v>
      </c>
      <c r="L1459" s="3" t="str">
        <f t="shared" si="68"/>
        <v>B</v>
      </c>
    </row>
    <row r="1460" spans="1:12" ht="14.25" customHeight="1">
      <c r="A1460" s="3">
        <v>1459</v>
      </c>
      <c r="B1460" s="3" t="s">
        <v>4374</v>
      </c>
      <c r="C1460" s="3" t="s">
        <v>1453</v>
      </c>
      <c r="D1460" s="3">
        <v>9876544673</v>
      </c>
      <c r="E1460" s="3" t="s">
        <v>4420</v>
      </c>
      <c r="F1460" s="3" t="str" cm="1">
        <f t="array" ref="F1460">IF(E1460="","",_xlfn.XLOOKUP(E1460,{"FIRST","SECOND","THIRD","FOURTH"},{"SEM-1","SEM-2","SEM-3","SEM-4"},""))</f>
        <v>SEM-3</v>
      </c>
      <c r="G1460" s="3">
        <v>13</v>
      </c>
      <c r="H1460" s="3">
        <v>100</v>
      </c>
      <c r="I1460" s="3">
        <v>75</v>
      </c>
      <c r="J1460" s="3">
        <f t="shared" si="66"/>
        <v>188</v>
      </c>
      <c r="K1460" s="3" t="str">
        <f t="shared" si="67"/>
        <v>P</v>
      </c>
      <c r="L1460" s="3" t="str">
        <f t="shared" si="68"/>
        <v>B</v>
      </c>
    </row>
    <row r="1461" spans="1:12" ht="14.25" customHeight="1">
      <c r="A1461" s="3">
        <v>1460</v>
      </c>
      <c r="B1461" s="3" t="s">
        <v>3407</v>
      </c>
      <c r="C1461" s="3" t="s">
        <v>503</v>
      </c>
      <c r="D1461" s="3">
        <v>9876543706</v>
      </c>
      <c r="E1461" s="3" t="s">
        <v>4420</v>
      </c>
      <c r="F1461" s="3" t="str" cm="1">
        <f t="array" ref="F1461">IF(E1461="","",_xlfn.XLOOKUP(E1461,{"FIRST","SECOND","THIRD","FOURTH"},{"SEM-1","SEM-2","SEM-3","SEM-4"},""))</f>
        <v>SEM-3</v>
      </c>
      <c r="G1461" s="3">
        <v>92</v>
      </c>
      <c r="H1461" s="3">
        <v>10</v>
      </c>
      <c r="I1461" s="3">
        <v>85</v>
      </c>
      <c r="J1461" s="3">
        <f t="shared" si="66"/>
        <v>187</v>
      </c>
      <c r="K1461" s="3" t="str">
        <f t="shared" si="67"/>
        <v>P</v>
      </c>
      <c r="L1461" s="3" t="str">
        <f t="shared" si="68"/>
        <v>B</v>
      </c>
    </row>
    <row r="1462" spans="1:12" ht="14.25" customHeight="1">
      <c r="A1462" s="3">
        <v>1461</v>
      </c>
      <c r="B1462" s="3" t="s">
        <v>3112</v>
      </c>
      <c r="C1462" s="3" t="s">
        <v>210</v>
      </c>
      <c r="D1462" s="3">
        <v>9876543411</v>
      </c>
      <c r="E1462" s="3" t="s">
        <v>4419</v>
      </c>
      <c r="F1462" s="3" t="str" cm="1">
        <f t="array" ref="F1462">IF(E1462="","",_xlfn.XLOOKUP(E1462,{"FIRST","SECOND","THIRD","FOURTH"},{"SEM-1","SEM-2","SEM-3","SEM-4"},""))</f>
        <v>SEM-2</v>
      </c>
      <c r="G1462" s="3">
        <v>57</v>
      </c>
      <c r="H1462" s="3">
        <v>61</v>
      </c>
      <c r="I1462" s="3">
        <v>76</v>
      </c>
      <c r="J1462" s="3">
        <f t="shared" si="66"/>
        <v>194</v>
      </c>
      <c r="K1462" s="3" t="str">
        <f t="shared" si="67"/>
        <v>P</v>
      </c>
      <c r="L1462" s="3" t="str">
        <f t="shared" si="68"/>
        <v>A</v>
      </c>
    </row>
    <row r="1463" spans="1:12" ht="14.25" customHeight="1">
      <c r="A1463" s="3">
        <v>1462</v>
      </c>
      <c r="B1463" s="3" t="s">
        <v>3975</v>
      </c>
      <c r="C1463" s="3" t="s">
        <v>1065</v>
      </c>
      <c r="D1463" s="3">
        <v>9876544274</v>
      </c>
      <c r="E1463" s="3" t="s">
        <v>4418</v>
      </c>
      <c r="F1463" s="3" t="str" cm="1">
        <f t="array" ref="F1463">IF(E1463="","",_xlfn.XLOOKUP(E1463,{"FIRST","SECOND","THIRD","FOURTH"},{"SEM-1","SEM-2","SEM-3","SEM-4"},""))</f>
        <v>SEM-1</v>
      </c>
      <c r="G1463" s="3">
        <v>2</v>
      </c>
      <c r="H1463" s="3">
        <v>4</v>
      </c>
      <c r="I1463" s="3">
        <v>32</v>
      </c>
      <c r="J1463" s="3">
        <f t="shared" si="66"/>
        <v>38</v>
      </c>
      <c r="K1463" s="3" t="str">
        <f t="shared" si="67"/>
        <v>F</v>
      </c>
      <c r="L1463" s="3" t="str">
        <f t="shared" si="68"/>
        <v>FAIL</v>
      </c>
    </row>
    <row r="1464" spans="1:12" ht="14.25" customHeight="1">
      <c r="A1464" s="3">
        <v>1463</v>
      </c>
      <c r="B1464" s="3" t="s">
        <v>3409</v>
      </c>
      <c r="C1464" s="3" t="s">
        <v>505</v>
      </c>
      <c r="D1464" s="3">
        <v>9876543708</v>
      </c>
      <c r="E1464" s="3" t="s">
        <v>4419</v>
      </c>
      <c r="F1464" s="3" t="str" cm="1">
        <f t="array" ref="F1464">IF(E1464="","",_xlfn.XLOOKUP(E1464,{"FIRST","SECOND","THIRD","FOURTH"},{"SEM-1","SEM-2","SEM-3","SEM-4"},""))</f>
        <v>SEM-2</v>
      </c>
      <c r="G1464" s="3">
        <v>53</v>
      </c>
      <c r="H1464" s="3">
        <v>46</v>
      </c>
      <c r="I1464" s="3">
        <v>39</v>
      </c>
      <c r="J1464" s="3">
        <f t="shared" si="66"/>
        <v>138</v>
      </c>
      <c r="K1464" s="3" t="str">
        <f t="shared" si="67"/>
        <v>P</v>
      </c>
      <c r="L1464" s="3" t="str">
        <f t="shared" si="68"/>
        <v>C</v>
      </c>
    </row>
    <row r="1465" spans="1:12" ht="14.25" customHeight="1">
      <c r="A1465" s="3">
        <v>1464</v>
      </c>
      <c r="B1465" s="3" t="s">
        <v>3516</v>
      </c>
      <c r="C1465" s="3" t="s">
        <v>611</v>
      </c>
      <c r="D1465" s="3">
        <v>9876543815</v>
      </c>
      <c r="E1465" s="3" t="s">
        <v>4419</v>
      </c>
      <c r="F1465" s="3" t="str" cm="1">
        <f t="array" ref="F1465">IF(E1465="","",_xlfn.XLOOKUP(E1465,{"FIRST","SECOND","THIRD","FOURTH"},{"SEM-1","SEM-2","SEM-3","SEM-4"},""))</f>
        <v>SEM-2</v>
      </c>
      <c r="G1465" s="3">
        <v>72</v>
      </c>
      <c r="H1465" s="3">
        <v>90</v>
      </c>
      <c r="I1465" s="3">
        <v>87</v>
      </c>
      <c r="J1465" s="3">
        <f t="shared" si="66"/>
        <v>249</v>
      </c>
      <c r="K1465" s="3" t="str">
        <f t="shared" si="67"/>
        <v>P</v>
      </c>
      <c r="L1465" s="3" t="str">
        <f t="shared" si="68"/>
        <v>A</v>
      </c>
    </row>
    <row r="1466" spans="1:12" ht="14.25" customHeight="1">
      <c r="A1466" s="3">
        <v>1465</v>
      </c>
      <c r="B1466" s="3" t="s">
        <v>3698</v>
      </c>
      <c r="C1466" s="3" t="s">
        <v>791</v>
      </c>
      <c r="D1466" s="3">
        <v>9876543997</v>
      </c>
      <c r="E1466" s="3" t="s">
        <v>4418</v>
      </c>
      <c r="F1466" s="3" t="str" cm="1">
        <f t="array" ref="F1466">IF(E1466="","",_xlfn.XLOOKUP(E1466,{"FIRST","SECOND","THIRD","FOURTH"},{"SEM-1","SEM-2","SEM-3","SEM-4"},""))</f>
        <v>SEM-1</v>
      </c>
      <c r="G1466" s="3">
        <v>64</v>
      </c>
      <c r="H1466" s="3">
        <v>92</v>
      </c>
      <c r="I1466" s="3">
        <v>0</v>
      </c>
      <c r="J1466" s="3">
        <f t="shared" si="66"/>
        <v>156</v>
      </c>
      <c r="K1466" s="3" t="str">
        <f t="shared" si="67"/>
        <v>P</v>
      </c>
      <c r="L1466" s="3" t="str">
        <f t="shared" si="68"/>
        <v>B</v>
      </c>
    </row>
    <row r="1467" spans="1:12" ht="14.25" customHeight="1">
      <c r="A1467" s="3">
        <v>1466</v>
      </c>
      <c r="B1467" s="3" t="s">
        <v>3648</v>
      </c>
      <c r="C1467" s="3" t="s">
        <v>742</v>
      </c>
      <c r="D1467" s="3">
        <v>9876543947</v>
      </c>
      <c r="E1467" s="3" t="s">
        <v>4418</v>
      </c>
      <c r="F1467" s="3" t="str" cm="1">
        <f t="array" ref="F1467">IF(E1467="","",_xlfn.XLOOKUP(E1467,{"FIRST","SECOND","THIRD","FOURTH"},{"SEM-1","SEM-2","SEM-3","SEM-4"},""))</f>
        <v>SEM-1</v>
      </c>
      <c r="G1467" s="3">
        <v>1</v>
      </c>
      <c r="H1467" s="3">
        <v>31</v>
      </c>
      <c r="I1467" s="3">
        <v>8</v>
      </c>
      <c r="J1467" s="3">
        <f t="shared" si="66"/>
        <v>40</v>
      </c>
      <c r="K1467" s="3" t="str">
        <f t="shared" si="67"/>
        <v>F</v>
      </c>
      <c r="L1467" s="3" t="str">
        <f t="shared" si="68"/>
        <v>FAIL</v>
      </c>
    </row>
    <row r="1468" spans="1:12" ht="14.25" customHeight="1">
      <c r="A1468" s="3">
        <v>1467</v>
      </c>
      <c r="B1468" s="3" t="s">
        <v>3052</v>
      </c>
      <c r="C1468" s="3" t="s">
        <v>150</v>
      </c>
      <c r="D1468" s="3">
        <v>9876543351</v>
      </c>
      <c r="E1468" s="3" t="s">
        <v>4419</v>
      </c>
      <c r="F1468" s="3" t="str" cm="1">
        <f t="array" ref="F1468">IF(E1468="","",_xlfn.XLOOKUP(E1468,{"FIRST","SECOND","THIRD","FOURTH"},{"SEM-1","SEM-2","SEM-3","SEM-4"},""))</f>
        <v>SEM-2</v>
      </c>
      <c r="G1468" s="3">
        <v>21</v>
      </c>
      <c r="H1468" s="3">
        <v>92</v>
      </c>
      <c r="I1468" s="3">
        <v>97</v>
      </c>
      <c r="J1468" s="3">
        <f t="shared" si="66"/>
        <v>210</v>
      </c>
      <c r="K1468" s="3" t="str">
        <f t="shared" si="67"/>
        <v>P</v>
      </c>
      <c r="L1468" s="3" t="str">
        <f t="shared" si="68"/>
        <v>A</v>
      </c>
    </row>
    <row r="1469" spans="1:12" ht="14.25" customHeight="1">
      <c r="A1469" s="3">
        <v>1468</v>
      </c>
      <c r="B1469" s="3" t="s">
        <v>3673</v>
      </c>
      <c r="C1469" s="3" t="s">
        <v>766</v>
      </c>
      <c r="D1469" s="3">
        <v>9876543972</v>
      </c>
      <c r="E1469" s="3" t="s">
        <v>4419</v>
      </c>
      <c r="F1469" s="3" t="str" cm="1">
        <f t="array" ref="F1469">IF(E1469="","",_xlfn.XLOOKUP(E1469,{"FIRST","SECOND","THIRD","FOURTH"},{"SEM-1","SEM-2","SEM-3","SEM-4"},""))</f>
        <v>SEM-2</v>
      </c>
      <c r="G1469" s="3">
        <v>74</v>
      </c>
      <c r="H1469" s="3">
        <v>99</v>
      </c>
      <c r="I1469" s="3">
        <v>56</v>
      </c>
      <c r="J1469" s="3">
        <f t="shared" si="66"/>
        <v>229</v>
      </c>
      <c r="K1469" s="3" t="str">
        <f t="shared" si="67"/>
        <v>P</v>
      </c>
      <c r="L1469" s="3" t="str">
        <f t="shared" si="68"/>
        <v>A</v>
      </c>
    </row>
    <row r="1470" spans="1:12" ht="14.25" customHeight="1">
      <c r="A1470" s="3">
        <v>1469</v>
      </c>
      <c r="B1470" s="3" t="s">
        <v>3101</v>
      </c>
      <c r="C1470" s="3" t="s">
        <v>199</v>
      </c>
      <c r="D1470" s="3">
        <v>9876543400</v>
      </c>
      <c r="E1470" s="3" t="s">
        <v>4419</v>
      </c>
      <c r="F1470" s="3" t="str" cm="1">
        <f t="array" ref="F1470">IF(E1470="","",_xlfn.XLOOKUP(E1470,{"FIRST","SECOND","THIRD","FOURTH"},{"SEM-1","SEM-2","SEM-3","SEM-4"},""))</f>
        <v>SEM-2</v>
      </c>
      <c r="G1470" s="3">
        <v>0</v>
      </c>
      <c r="H1470" s="3">
        <v>84</v>
      </c>
      <c r="I1470" s="3">
        <v>58</v>
      </c>
      <c r="J1470" s="3">
        <f t="shared" si="66"/>
        <v>142</v>
      </c>
      <c r="K1470" s="3" t="str">
        <f t="shared" si="67"/>
        <v>P</v>
      </c>
      <c r="L1470" s="3" t="str">
        <f t="shared" si="68"/>
        <v>C</v>
      </c>
    </row>
    <row r="1471" spans="1:12" ht="14.25" customHeight="1">
      <c r="A1471" s="3">
        <v>1470</v>
      </c>
      <c r="B1471" s="3" t="s">
        <v>3115</v>
      </c>
      <c r="C1471" s="3" t="s">
        <v>213</v>
      </c>
      <c r="D1471" s="3">
        <v>9876543414</v>
      </c>
      <c r="E1471" s="3" t="s">
        <v>4420</v>
      </c>
      <c r="F1471" s="3" t="str" cm="1">
        <f t="array" ref="F1471">IF(E1471="","",_xlfn.XLOOKUP(E1471,{"FIRST","SECOND","THIRD","FOURTH"},{"SEM-1","SEM-2","SEM-3","SEM-4"},""))</f>
        <v>SEM-3</v>
      </c>
      <c r="G1471" s="3">
        <v>72</v>
      </c>
      <c r="H1471" s="3">
        <v>99</v>
      </c>
      <c r="I1471" s="3">
        <v>4</v>
      </c>
      <c r="J1471" s="3">
        <f t="shared" si="66"/>
        <v>175</v>
      </c>
      <c r="K1471" s="3" t="str">
        <f t="shared" si="67"/>
        <v>P</v>
      </c>
      <c r="L1471" s="3" t="str">
        <f t="shared" si="68"/>
        <v>B</v>
      </c>
    </row>
    <row r="1472" spans="1:12" ht="14.25" customHeight="1">
      <c r="A1472" s="3">
        <v>1471</v>
      </c>
      <c r="B1472" s="3" t="s">
        <v>3433</v>
      </c>
      <c r="C1472" s="3" t="s">
        <v>529</v>
      </c>
      <c r="D1472" s="3">
        <v>9876543732</v>
      </c>
      <c r="E1472" s="3" t="s">
        <v>4420</v>
      </c>
      <c r="F1472" s="3" t="str" cm="1">
        <f t="array" ref="F1472">IF(E1472="","",_xlfn.XLOOKUP(E1472,{"FIRST","SECOND","THIRD","FOURTH"},{"SEM-1","SEM-2","SEM-3","SEM-4"},""))</f>
        <v>SEM-3</v>
      </c>
      <c r="G1472" s="3">
        <v>71</v>
      </c>
      <c r="H1472" s="3">
        <v>8</v>
      </c>
      <c r="I1472" s="3">
        <v>2</v>
      </c>
      <c r="J1472" s="3">
        <f t="shared" si="66"/>
        <v>81</v>
      </c>
      <c r="K1472" s="3" t="str">
        <f t="shared" si="67"/>
        <v>P</v>
      </c>
      <c r="L1472" s="3" t="str">
        <f t="shared" si="68"/>
        <v>FAIL</v>
      </c>
    </row>
    <row r="1473" spans="1:12" ht="14.25" customHeight="1">
      <c r="A1473" s="3">
        <v>1472</v>
      </c>
      <c r="B1473" s="3" t="s">
        <v>4414</v>
      </c>
      <c r="C1473" s="3" t="s">
        <v>1493</v>
      </c>
      <c r="D1473" s="3">
        <v>9876544713</v>
      </c>
      <c r="E1473" s="3" t="s">
        <v>4418</v>
      </c>
      <c r="F1473" s="3" t="str" cm="1">
        <f t="array" ref="F1473">IF(E1473="","",_xlfn.XLOOKUP(E1473,{"FIRST","SECOND","THIRD","FOURTH"},{"SEM-1","SEM-2","SEM-3","SEM-4"},""))</f>
        <v>SEM-1</v>
      </c>
      <c r="G1473" s="3">
        <v>45</v>
      </c>
      <c r="H1473" s="3">
        <v>15</v>
      </c>
      <c r="I1473" s="3">
        <v>12</v>
      </c>
      <c r="J1473" s="3">
        <f t="shared" si="66"/>
        <v>72</v>
      </c>
      <c r="K1473" s="3" t="str">
        <f t="shared" si="67"/>
        <v>F</v>
      </c>
      <c r="L1473" s="3" t="str">
        <f t="shared" si="68"/>
        <v>FAIL</v>
      </c>
    </row>
    <row r="1474" spans="1:12" ht="14.25" customHeight="1">
      <c r="A1474" s="3">
        <v>1473</v>
      </c>
      <c r="B1474" s="3" t="s">
        <v>3217</v>
      </c>
      <c r="C1474" s="3" t="s">
        <v>314</v>
      </c>
      <c r="D1474" s="3">
        <v>9876543516</v>
      </c>
      <c r="E1474" s="3" t="s">
        <v>4420</v>
      </c>
      <c r="F1474" s="3" t="str" cm="1">
        <f t="array" ref="F1474">IF(E1474="","",_xlfn.XLOOKUP(E1474,{"FIRST","SECOND","THIRD","FOURTH"},{"SEM-1","SEM-2","SEM-3","SEM-4"},""))</f>
        <v>SEM-3</v>
      </c>
      <c r="G1474" s="3">
        <v>84</v>
      </c>
      <c r="H1474" s="3">
        <v>41</v>
      </c>
      <c r="I1474" s="3">
        <v>29</v>
      </c>
      <c r="J1474" s="3">
        <f t="shared" ref="J1474:J1537" si="69">SUM(G1474:I1474)</f>
        <v>154</v>
      </c>
      <c r="K1474" s="3" t="str">
        <f t="shared" ref="K1474:K1537" si="70">IF(OR(G1474&gt;=70,H1474&gt;=70,I1474&gt;=70,J1474&gt;=120),"P","F")</f>
        <v>P</v>
      </c>
      <c r="L1474" s="3" t="str">
        <f t="shared" ref="L1474:L1508" si="71">IF(J1474&gt;=190,"A",IF(J1474&gt;=150,"B",IF(J1474&gt;=120,"C","FAIL")))</f>
        <v>B</v>
      </c>
    </row>
    <row r="1475" spans="1:12" ht="14.25" customHeight="1">
      <c r="A1475" s="3">
        <v>1474</v>
      </c>
      <c r="B1475" s="3" t="s">
        <v>3880</v>
      </c>
      <c r="C1475" s="3" t="s">
        <v>971</v>
      </c>
      <c r="D1475" s="3">
        <v>9876544179</v>
      </c>
      <c r="E1475" s="3" t="s">
        <v>4420</v>
      </c>
      <c r="F1475" s="3" t="str" cm="1">
        <f t="array" ref="F1475">IF(E1475="","",_xlfn.XLOOKUP(E1475,{"FIRST","SECOND","THIRD","FOURTH"},{"SEM-1","SEM-2","SEM-3","SEM-4"},""))</f>
        <v>SEM-3</v>
      </c>
      <c r="G1475" s="3">
        <v>0</v>
      </c>
      <c r="H1475" s="3">
        <v>53</v>
      </c>
      <c r="I1475" s="3">
        <v>91</v>
      </c>
      <c r="J1475" s="3">
        <f t="shared" si="69"/>
        <v>144</v>
      </c>
      <c r="K1475" s="3" t="str">
        <f t="shared" si="70"/>
        <v>P</v>
      </c>
      <c r="L1475" s="3" t="str">
        <f t="shared" si="71"/>
        <v>C</v>
      </c>
    </row>
    <row r="1476" spans="1:12" ht="14.25" customHeight="1">
      <c r="A1476" s="3">
        <v>1475</v>
      </c>
      <c r="B1476" s="3" t="s">
        <v>3871</v>
      </c>
      <c r="C1476" s="3" t="s">
        <v>962</v>
      </c>
      <c r="D1476" s="3">
        <v>9876544170</v>
      </c>
      <c r="E1476" s="3" t="s">
        <v>4418</v>
      </c>
      <c r="F1476" s="3" t="str" cm="1">
        <f t="array" ref="F1476">IF(E1476="","",_xlfn.XLOOKUP(E1476,{"FIRST","SECOND","THIRD","FOURTH"},{"SEM-1","SEM-2","SEM-3","SEM-4"},""))</f>
        <v>SEM-1</v>
      </c>
      <c r="G1476" s="3">
        <v>40</v>
      </c>
      <c r="H1476" s="3">
        <v>6</v>
      </c>
      <c r="I1476" s="3">
        <v>8</v>
      </c>
      <c r="J1476" s="3">
        <f t="shared" si="69"/>
        <v>54</v>
      </c>
      <c r="K1476" s="3" t="str">
        <f t="shared" si="70"/>
        <v>F</v>
      </c>
      <c r="L1476" s="3" t="str">
        <f t="shared" si="71"/>
        <v>FAIL</v>
      </c>
    </row>
    <row r="1477" spans="1:12" ht="14.25" customHeight="1">
      <c r="A1477" s="3">
        <v>1476</v>
      </c>
      <c r="B1477" s="3" t="s">
        <v>4126</v>
      </c>
      <c r="C1477" s="3" t="s">
        <v>1211</v>
      </c>
      <c r="D1477" s="3">
        <v>9876544425</v>
      </c>
      <c r="E1477" s="3" t="s">
        <v>4418</v>
      </c>
      <c r="F1477" s="3" t="str" cm="1">
        <f t="array" ref="F1477">IF(E1477="","",_xlfn.XLOOKUP(E1477,{"FIRST","SECOND","THIRD","FOURTH"},{"SEM-1","SEM-2","SEM-3","SEM-4"},""))</f>
        <v>SEM-1</v>
      </c>
      <c r="G1477" s="3">
        <v>21</v>
      </c>
      <c r="H1477" s="3">
        <v>62</v>
      </c>
      <c r="I1477" s="3">
        <v>62</v>
      </c>
      <c r="J1477" s="3">
        <f t="shared" si="69"/>
        <v>145</v>
      </c>
      <c r="K1477" s="3" t="str">
        <f t="shared" si="70"/>
        <v>P</v>
      </c>
      <c r="L1477" s="3" t="str">
        <f t="shared" si="71"/>
        <v>C</v>
      </c>
    </row>
    <row r="1478" spans="1:12" ht="14.25" customHeight="1">
      <c r="A1478" s="3">
        <v>1477</v>
      </c>
      <c r="B1478" s="3" t="s">
        <v>3545</v>
      </c>
      <c r="C1478" s="3" t="s">
        <v>639</v>
      </c>
      <c r="D1478" s="3">
        <v>9876543844</v>
      </c>
      <c r="E1478" s="3" t="s">
        <v>4418</v>
      </c>
      <c r="F1478" s="3" t="str" cm="1">
        <f t="array" ref="F1478">IF(E1478="","",_xlfn.XLOOKUP(E1478,{"FIRST","SECOND","THIRD","FOURTH"},{"SEM-1","SEM-2","SEM-3","SEM-4"},""))</f>
        <v>SEM-1</v>
      </c>
      <c r="G1478" s="3">
        <v>21</v>
      </c>
      <c r="H1478" s="3">
        <v>61</v>
      </c>
      <c r="I1478" s="3">
        <v>90</v>
      </c>
      <c r="J1478" s="3">
        <f t="shared" si="69"/>
        <v>172</v>
      </c>
      <c r="K1478" s="3" t="str">
        <f t="shared" si="70"/>
        <v>P</v>
      </c>
      <c r="L1478" s="3" t="str">
        <f t="shared" si="71"/>
        <v>B</v>
      </c>
    </row>
    <row r="1479" spans="1:12" ht="14.25" customHeight="1">
      <c r="A1479" s="3">
        <v>1478</v>
      </c>
      <c r="B1479" s="3" t="s">
        <v>3611</v>
      </c>
      <c r="C1479" s="3" t="s">
        <v>705</v>
      </c>
      <c r="D1479" s="3">
        <v>9876543910</v>
      </c>
      <c r="E1479" s="3" t="s">
        <v>4420</v>
      </c>
      <c r="F1479" s="3" t="str" cm="1">
        <f t="array" ref="F1479">IF(E1479="","",_xlfn.XLOOKUP(E1479,{"FIRST","SECOND","THIRD","FOURTH"},{"SEM-1","SEM-2","SEM-3","SEM-4"},""))</f>
        <v>SEM-3</v>
      </c>
      <c r="G1479" s="3">
        <v>74</v>
      </c>
      <c r="H1479" s="3">
        <v>11</v>
      </c>
      <c r="I1479" s="3">
        <v>26</v>
      </c>
      <c r="J1479" s="3">
        <f t="shared" si="69"/>
        <v>111</v>
      </c>
      <c r="K1479" s="3" t="str">
        <f t="shared" si="70"/>
        <v>P</v>
      </c>
      <c r="L1479" s="3" t="str">
        <f t="shared" si="71"/>
        <v>FAIL</v>
      </c>
    </row>
    <row r="1480" spans="1:12" ht="14.25" customHeight="1">
      <c r="A1480" s="3">
        <v>1479</v>
      </c>
      <c r="B1480" s="3" t="s">
        <v>3620</v>
      </c>
      <c r="C1480" s="3" t="s">
        <v>714</v>
      </c>
      <c r="D1480" s="3">
        <v>9876543919</v>
      </c>
      <c r="E1480" s="3" t="s">
        <v>4420</v>
      </c>
      <c r="F1480" s="3" t="str" cm="1">
        <f t="array" ref="F1480">IF(E1480="","",_xlfn.XLOOKUP(E1480,{"FIRST","SECOND","THIRD","FOURTH"},{"SEM-1","SEM-2","SEM-3","SEM-4"},""))</f>
        <v>SEM-3</v>
      </c>
      <c r="G1480" s="3">
        <v>80</v>
      </c>
      <c r="H1480" s="3">
        <v>45</v>
      </c>
      <c r="I1480" s="3">
        <v>20</v>
      </c>
      <c r="J1480" s="3">
        <f t="shared" si="69"/>
        <v>145</v>
      </c>
      <c r="K1480" s="3" t="str">
        <f t="shared" si="70"/>
        <v>P</v>
      </c>
      <c r="L1480" s="3" t="str">
        <f t="shared" si="71"/>
        <v>C</v>
      </c>
    </row>
    <row r="1481" spans="1:12" ht="14.25" customHeight="1">
      <c r="A1481" s="3">
        <v>1480</v>
      </c>
      <c r="B1481" s="3" t="s">
        <v>3893</v>
      </c>
      <c r="C1481" s="3" t="s">
        <v>984</v>
      </c>
      <c r="D1481" s="3">
        <v>9876544192</v>
      </c>
      <c r="E1481" s="3" t="s">
        <v>4420</v>
      </c>
      <c r="F1481" s="3" t="str" cm="1">
        <f t="array" ref="F1481">IF(E1481="","",_xlfn.XLOOKUP(E1481,{"FIRST","SECOND","THIRD","FOURTH"},{"SEM-1","SEM-2","SEM-3","SEM-4"},""))</f>
        <v>SEM-3</v>
      </c>
      <c r="G1481" s="3">
        <v>91</v>
      </c>
      <c r="H1481" s="3">
        <v>1</v>
      </c>
      <c r="I1481" s="3">
        <v>26</v>
      </c>
      <c r="J1481" s="3">
        <f t="shared" si="69"/>
        <v>118</v>
      </c>
      <c r="K1481" s="3" t="str">
        <f t="shared" si="70"/>
        <v>P</v>
      </c>
      <c r="L1481" s="3" t="str">
        <f t="shared" si="71"/>
        <v>FAIL</v>
      </c>
    </row>
    <row r="1482" spans="1:12" ht="14.25" customHeight="1">
      <c r="A1482" s="3">
        <v>1481</v>
      </c>
      <c r="B1482" s="3" t="s">
        <v>3292</v>
      </c>
      <c r="C1482" s="3" t="s">
        <v>388</v>
      </c>
      <c r="D1482" s="3">
        <v>9876543591</v>
      </c>
      <c r="E1482" s="3" t="s">
        <v>4420</v>
      </c>
      <c r="F1482" s="3" t="str" cm="1">
        <f t="array" ref="F1482">IF(E1482="","",_xlfn.XLOOKUP(E1482,{"FIRST","SECOND","THIRD","FOURTH"},{"SEM-1","SEM-2","SEM-3","SEM-4"},""))</f>
        <v>SEM-3</v>
      </c>
      <c r="G1482" s="3">
        <v>47</v>
      </c>
      <c r="H1482" s="3">
        <v>34</v>
      </c>
      <c r="I1482" s="3">
        <v>88</v>
      </c>
      <c r="J1482" s="3">
        <f t="shared" si="69"/>
        <v>169</v>
      </c>
      <c r="K1482" s="3" t="str">
        <f t="shared" si="70"/>
        <v>P</v>
      </c>
      <c r="L1482" s="3" t="str">
        <f t="shared" si="71"/>
        <v>B</v>
      </c>
    </row>
    <row r="1483" spans="1:12" ht="14.25" customHeight="1">
      <c r="A1483" s="3">
        <v>1482</v>
      </c>
      <c r="B1483" s="3" t="s">
        <v>3336</v>
      </c>
      <c r="C1483" s="3" t="s">
        <v>432</v>
      </c>
      <c r="D1483" s="3">
        <v>9876543635</v>
      </c>
      <c r="E1483" s="3" t="s">
        <v>4418</v>
      </c>
      <c r="F1483" s="3" t="str" cm="1">
        <f t="array" ref="F1483">IF(E1483="","",_xlfn.XLOOKUP(E1483,{"FIRST","SECOND","THIRD","FOURTH"},{"SEM-1","SEM-2","SEM-3","SEM-4"},""))</f>
        <v>SEM-1</v>
      </c>
      <c r="G1483" s="3">
        <v>23</v>
      </c>
      <c r="H1483" s="3">
        <v>87</v>
      </c>
      <c r="I1483" s="3">
        <v>28</v>
      </c>
      <c r="J1483" s="3">
        <f t="shared" si="69"/>
        <v>138</v>
      </c>
      <c r="K1483" s="3" t="str">
        <f t="shared" si="70"/>
        <v>P</v>
      </c>
      <c r="L1483" s="3" t="str">
        <f t="shared" si="71"/>
        <v>C</v>
      </c>
    </row>
    <row r="1484" spans="1:12" ht="14.25" customHeight="1">
      <c r="A1484" s="3">
        <v>1483</v>
      </c>
      <c r="B1484" s="3" t="s">
        <v>3805</v>
      </c>
      <c r="C1484" s="3" t="s">
        <v>897</v>
      </c>
      <c r="D1484" s="3">
        <v>9876544104</v>
      </c>
      <c r="E1484" s="3" t="s">
        <v>4418</v>
      </c>
      <c r="F1484" s="3" t="str" cm="1">
        <f t="array" ref="F1484">IF(E1484="","",_xlfn.XLOOKUP(E1484,{"FIRST","SECOND","THIRD","FOURTH"},{"SEM-1","SEM-2","SEM-3","SEM-4"},""))</f>
        <v>SEM-1</v>
      </c>
      <c r="G1484" s="3">
        <v>5</v>
      </c>
      <c r="H1484" s="3">
        <v>66</v>
      </c>
      <c r="I1484" s="3">
        <v>9</v>
      </c>
      <c r="J1484" s="3">
        <f t="shared" si="69"/>
        <v>80</v>
      </c>
      <c r="K1484" s="3" t="str">
        <f t="shared" si="70"/>
        <v>F</v>
      </c>
      <c r="L1484" s="3" t="str">
        <f t="shared" si="71"/>
        <v>FAIL</v>
      </c>
    </row>
    <row r="1485" spans="1:12" ht="14.25" customHeight="1">
      <c r="A1485" s="3">
        <v>1484</v>
      </c>
      <c r="B1485" s="3" t="s">
        <v>4402</v>
      </c>
      <c r="C1485" s="3" t="s">
        <v>1481</v>
      </c>
      <c r="D1485" s="3">
        <v>9876544701</v>
      </c>
      <c r="E1485" s="3" t="s">
        <v>4419</v>
      </c>
      <c r="F1485" s="3" t="str" cm="1">
        <f t="array" ref="F1485">IF(E1485="","",_xlfn.XLOOKUP(E1485,{"FIRST","SECOND","THIRD","FOURTH"},{"SEM-1","SEM-2","SEM-3","SEM-4"},""))</f>
        <v>SEM-2</v>
      </c>
      <c r="G1485" s="3">
        <v>71</v>
      </c>
      <c r="H1485" s="3">
        <v>59</v>
      </c>
      <c r="I1485" s="3">
        <v>68</v>
      </c>
      <c r="J1485" s="3">
        <f t="shared" si="69"/>
        <v>198</v>
      </c>
      <c r="K1485" s="3" t="str">
        <f t="shared" si="70"/>
        <v>P</v>
      </c>
      <c r="L1485" s="3" t="str">
        <f t="shared" si="71"/>
        <v>A</v>
      </c>
    </row>
    <row r="1486" spans="1:12" ht="14.25" customHeight="1">
      <c r="A1486" s="3">
        <v>1485</v>
      </c>
      <c r="B1486" s="3" t="s">
        <v>3508</v>
      </c>
      <c r="C1486" s="3" t="s">
        <v>603</v>
      </c>
      <c r="D1486" s="3">
        <v>9876543807</v>
      </c>
      <c r="E1486" s="3" t="s">
        <v>4419</v>
      </c>
      <c r="F1486" s="3" t="str" cm="1">
        <f t="array" ref="F1486">IF(E1486="","",_xlfn.XLOOKUP(E1486,{"FIRST","SECOND","THIRD","FOURTH"},{"SEM-1","SEM-2","SEM-3","SEM-4"},""))</f>
        <v>SEM-2</v>
      </c>
      <c r="G1486" s="3">
        <v>8</v>
      </c>
      <c r="H1486" s="3">
        <v>50</v>
      </c>
      <c r="I1486" s="3">
        <v>30</v>
      </c>
      <c r="J1486" s="3">
        <f t="shared" si="69"/>
        <v>88</v>
      </c>
      <c r="K1486" s="3" t="str">
        <f t="shared" si="70"/>
        <v>F</v>
      </c>
      <c r="L1486" s="3" t="str">
        <f t="shared" si="71"/>
        <v>FAIL</v>
      </c>
    </row>
    <row r="1487" spans="1:12" ht="14.25" customHeight="1">
      <c r="A1487" s="3">
        <v>1486</v>
      </c>
      <c r="B1487" s="3" t="s">
        <v>3870</v>
      </c>
      <c r="C1487" s="3" t="s">
        <v>961</v>
      </c>
      <c r="D1487" s="3">
        <v>9876544169</v>
      </c>
      <c r="E1487" s="3" t="s">
        <v>4419</v>
      </c>
      <c r="F1487" s="3" t="str" cm="1">
        <f t="array" ref="F1487">IF(E1487="","",_xlfn.XLOOKUP(E1487,{"FIRST","SECOND","THIRD","FOURTH"},{"SEM-1","SEM-2","SEM-3","SEM-4"},""))</f>
        <v>SEM-2</v>
      </c>
      <c r="G1487" s="3">
        <v>54</v>
      </c>
      <c r="H1487" s="3">
        <v>95</v>
      </c>
      <c r="I1487" s="3">
        <v>86</v>
      </c>
      <c r="J1487" s="3">
        <f t="shared" si="69"/>
        <v>235</v>
      </c>
      <c r="K1487" s="3" t="str">
        <f t="shared" si="70"/>
        <v>P</v>
      </c>
      <c r="L1487" s="3" t="str">
        <f t="shared" si="71"/>
        <v>A</v>
      </c>
    </row>
    <row r="1488" spans="1:12" ht="14.25" customHeight="1">
      <c r="A1488" s="3">
        <v>1487</v>
      </c>
      <c r="B1488" s="3" t="s">
        <v>3940</v>
      </c>
      <c r="C1488" s="3" t="s">
        <v>1030</v>
      </c>
      <c r="D1488" s="3">
        <v>9876544239</v>
      </c>
      <c r="E1488" s="3" t="s">
        <v>4420</v>
      </c>
      <c r="F1488" s="3" t="str" cm="1">
        <f t="array" ref="F1488">IF(E1488="","",_xlfn.XLOOKUP(E1488,{"FIRST","SECOND","THIRD","FOURTH"},{"SEM-1","SEM-2","SEM-3","SEM-4"},""))</f>
        <v>SEM-3</v>
      </c>
      <c r="G1488" s="3">
        <v>66</v>
      </c>
      <c r="H1488" s="3">
        <v>81</v>
      </c>
      <c r="I1488" s="3">
        <v>59</v>
      </c>
      <c r="J1488" s="3">
        <f t="shared" si="69"/>
        <v>206</v>
      </c>
      <c r="K1488" s="3" t="str">
        <f t="shared" si="70"/>
        <v>P</v>
      </c>
      <c r="L1488" s="3" t="str">
        <f t="shared" si="71"/>
        <v>A</v>
      </c>
    </row>
    <row r="1489" spans="1:12" ht="14.25" customHeight="1">
      <c r="A1489" s="3">
        <v>1488</v>
      </c>
      <c r="B1489" s="3" t="s">
        <v>4202</v>
      </c>
      <c r="C1489" s="3" t="s">
        <v>1286</v>
      </c>
      <c r="D1489" s="3">
        <v>9876544501</v>
      </c>
      <c r="E1489" s="3" t="s">
        <v>4419</v>
      </c>
      <c r="F1489" s="3" t="str" cm="1">
        <f t="array" ref="F1489">IF(E1489="","",_xlfn.XLOOKUP(E1489,{"FIRST","SECOND","THIRD","FOURTH"},{"SEM-1","SEM-2","SEM-3","SEM-4"},""))</f>
        <v>SEM-2</v>
      </c>
      <c r="G1489" s="3">
        <v>69</v>
      </c>
      <c r="H1489" s="3">
        <v>98</v>
      </c>
      <c r="I1489" s="3">
        <v>27</v>
      </c>
      <c r="J1489" s="3">
        <f t="shared" si="69"/>
        <v>194</v>
      </c>
      <c r="K1489" s="3" t="str">
        <f t="shared" si="70"/>
        <v>P</v>
      </c>
      <c r="L1489" s="3" t="str">
        <f t="shared" si="71"/>
        <v>A</v>
      </c>
    </row>
    <row r="1490" spans="1:12" ht="14.25" customHeight="1">
      <c r="A1490" s="3">
        <v>1489</v>
      </c>
      <c r="B1490" s="3" t="s">
        <v>3267</v>
      </c>
      <c r="C1490" s="3" t="s">
        <v>364</v>
      </c>
      <c r="D1490" s="3">
        <v>9876543566</v>
      </c>
      <c r="E1490" s="3" t="s">
        <v>4418</v>
      </c>
      <c r="F1490" s="3" t="str" cm="1">
        <f t="array" ref="F1490">IF(E1490="","",_xlfn.XLOOKUP(E1490,{"FIRST","SECOND","THIRD","FOURTH"},{"SEM-1","SEM-2","SEM-3","SEM-4"},""))</f>
        <v>SEM-1</v>
      </c>
      <c r="G1490" s="3">
        <v>90</v>
      </c>
      <c r="H1490" s="3">
        <v>65</v>
      </c>
      <c r="I1490" s="3">
        <v>18</v>
      </c>
      <c r="J1490" s="3">
        <f t="shared" si="69"/>
        <v>173</v>
      </c>
      <c r="K1490" s="3" t="str">
        <f t="shared" si="70"/>
        <v>P</v>
      </c>
      <c r="L1490" s="3" t="str">
        <f t="shared" si="71"/>
        <v>B</v>
      </c>
    </row>
    <row r="1491" spans="1:12" ht="14.25" customHeight="1">
      <c r="A1491" s="3">
        <v>1490</v>
      </c>
      <c r="B1491" s="3" t="s">
        <v>3255</v>
      </c>
      <c r="C1491" s="3" t="s">
        <v>352</v>
      </c>
      <c r="D1491" s="3">
        <v>9876543554</v>
      </c>
      <c r="E1491" s="3" t="s">
        <v>4418</v>
      </c>
      <c r="F1491" s="3" t="str" cm="1">
        <f t="array" ref="F1491">IF(E1491="","",_xlfn.XLOOKUP(E1491,{"FIRST","SECOND","THIRD","FOURTH"},{"SEM-1","SEM-2","SEM-3","SEM-4"},""))</f>
        <v>SEM-1</v>
      </c>
      <c r="G1491" s="3">
        <v>6</v>
      </c>
      <c r="H1491" s="3">
        <v>87</v>
      </c>
      <c r="I1491" s="3">
        <v>24</v>
      </c>
      <c r="J1491" s="3">
        <f t="shared" si="69"/>
        <v>117</v>
      </c>
      <c r="K1491" s="3" t="str">
        <f t="shared" si="70"/>
        <v>P</v>
      </c>
      <c r="L1491" s="3" t="str">
        <f t="shared" si="71"/>
        <v>FAIL</v>
      </c>
    </row>
    <row r="1492" spans="1:12" ht="14.25" customHeight="1">
      <c r="A1492" s="3">
        <v>1491</v>
      </c>
      <c r="B1492" s="3" t="s">
        <v>3804</v>
      </c>
      <c r="C1492" s="3" t="s">
        <v>896</v>
      </c>
      <c r="D1492" s="3">
        <v>9876544103</v>
      </c>
      <c r="E1492" s="3" t="s">
        <v>4420</v>
      </c>
      <c r="F1492" s="3" t="str" cm="1">
        <f t="array" ref="F1492">IF(E1492="","",_xlfn.XLOOKUP(E1492,{"FIRST","SECOND","THIRD","FOURTH"},{"SEM-1","SEM-2","SEM-3","SEM-4"},""))</f>
        <v>SEM-3</v>
      </c>
      <c r="G1492" s="3">
        <v>22</v>
      </c>
      <c r="H1492" s="3">
        <v>86</v>
      </c>
      <c r="I1492" s="3">
        <v>50</v>
      </c>
      <c r="J1492" s="3">
        <f t="shared" si="69"/>
        <v>158</v>
      </c>
      <c r="K1492" s="3" t="str">
        <f t="shared" si="70"/>
        <v>P</v>
      </c>
      <c r="L1492" s="3" t="str">
        <f t="shared" si="71"/>
        <v>B</v>
      </c>
    </row>
    <row r="1493" spans="1:12" ht="14.25" customHeight="1">
      <c r="A1493" s="3">
        <v>1492</v>
      </c>
      <c r="B1493" s="3" t="s">
        <v>3934</v>
      </c>
      <c r="C1493" s="3" t="s">
        <v>1024</v>
      </c>
      <c r="D1493" s="3">
        <v>9876544233</v>
      </c>
      <c r="E1493" s="3" t="s">
        <v>4419</v>
      </c>
      <c r="F1493" s="3" t="str" cm="1">
        <f t="array" ref="F1493">IF(E1493="","",_xlfn.XLOOKUP(E1493,{"FIRST","SECOND","THIRD","FOURTH"},{"SEM-1","SEM-2","SEM-3","SEM-4"},""))</f>
        <v>SEM-2</v>
      </c>
      <c r="G1493" s="3">
        <v>26</v>
      </c>
      <c r="H1493" s="3">
        <v>2</v>
      </c>
      <c r="I1493" s="3">
        <v>69</v>
      </c>
      <c r="J1493" s="3">
        <f t="shared" si="69"/>
        <v>97</v>
      </c>
      <c r="K1493" s="3" t="str">
        <f t="shared" si="70"/>
        <v>F</v>
      </c>
      <c r="L1493" s="3" t="str">
        <f t="shared" si="71"/>
        <v>FAIL</v>
      </c>
    </row>
    <row r="1494" spans="1:12" ht="14.25" customHeight="1">
      <c r="A1494" s="3">
        <v>1493</v>
      </c>
      <c r="B1494" s="3" t="s">
        <v>3295</v>
      </c>
      <c r="C1494" s="3" t="s">
        <v>391</v>
      </c>
      <c r="D1494" s="3">
        <v>9876543594</v>
      </c>
      <c r="E1494" s="3" t="s">
        <v>4420</v>
      </c>
      <c r="F1494" s="3" t="str" cm="1">
        <f t="array" ref="F1494">IF(E1494="","",_xlfn.XLOOKUP(E1494,{"FIRST","SECOND","THIRD","FOURTH"},{"SEM-1","SEM-2","SEM-3","SEM-4"},""))</f>
        <v>SEM-3</v>
      </c>
      <c r="G1494" s="3">
        <v>4</v>
      </c>
      <c r="H1494" s="3">
        <v>91</v>
      </c>
      <c r="I1494" s="3">
        <v>16</v>
      </c>
      <c r="J1494" s="3">
        <f t="shared" si="69"/>
        <v>111</v>
      </c>
      <c r="K1494" s="3" t="str">
        <f t="shared" si="70"/>
        <v>P</v>
      </c>
      <c r="L1494" s="3" t="str">
        <f t="shared" si="71"/>
        <v>FAIL</v>
      </c>
    </row>
    <row r="1495" spans="1:12" ht="14.25" customHeight="1">
      <c r="A1495" s="3">
        <v>1494</v>
      </c>
      <c r="B1495" s="3" t="s">
        <v>3174</v>
      </c>
      <c r="C1495" s="3" t="s">
        <v>272</v>
      </c>
      <c r="D1495" s="3">
        <v>9876543473</v>
      </c>
      <c r="E1495" s="3" t="s">
        <v>4418</v>
      </c>
      <c r="F1495" s="3" t="str" cm="1">
        <f t="array" ref="F1495">IF(E1495="","",_xlfn.XLOOKUP(E1495,{"FIRST","SECOND","THIRD","FOURTH"},{"SEM-1","SEM-2","SEM-3","SEM-4"},""))</f>
        <v>SEM-1</v>
      </c>
      <c r="G1495" s="3">
        <v>7</v>
      </c>
      <c r="H1495" s="3">
        <v>36</v>
      </c>
      <c r="I1495" s="3">
        <v>90</v>
      </c>
      <c r="J1495" s="3">
        <f t="shared" si="69"/>
        <v>133</v>
      </c>
      <c r="K1495" s="3" t="str">
        <f t="shared" si="70"/>
        <v>P</v>
      </c>
      <c r="L1495" s="3" t="str">
        <f t="shared" si="71"/>
        <v>C</v>
      </c>
    </row>
    <row r="1496" spans="1:12" ht="14.25" customHeight="1">
      <c r="A1496" s="3">
        <v>1495</v>
      </c>
      <c r="B1496" s="3" t="s">
        <v>3644</v>
      </c>
      <c r="C1496" s="3" t="s">
        <v>738</v>
      </c>
      <c r="D1496" s="3">
        <v>9876543943</v>
      </c>
      <c r="E1496" s="3" t="s">
        <v>4419</v>
      </c>
      <c r="F1496" s="3" t="str" cm="1">
        <f t="array" ref="F1496">IF(E1496="","",_xlfn.XLOOKUP(E1496,{"FIRST","SECOND","THIRD","FOURTH"},{"SEM-1","SEM-2","SEM-3","SEM-4"},""))</f>
        <v>SEM-2</v>
      </c>
      <c r="G1496" s="3">
        <v>62</v>
      </c>
      <c r="H1496" s="3">
        <v>5</v>
      </c>
      <c r="I1496" s="3">
        <v>57</v>
      </c>
      <c r="J1496" s="3">
        <f t="shared" si="69"/>
        <v>124</v>
      </c>
      <c r="K1496" s="3" t="str">
        <f t="shared" si="70"/>
        <v>P</v>
      </c>
      <c r="L1496" s="3" t="str">
        <f t="shared" si="71"/>
        <v>C</v>
      </c>
    </row>
    <row r="1497" spans="1:12" ht="14.25" customHeight="1">
      <c r="A1497" s="3">
        <v>1496</v>
      </c>
      <c r="B1497" s="3" t="s">
        <v>4182</v>
      </c>
      <c r="C1497" s="3" t="s">
        <v>1267</v>
      </c>
      <c r="D1497" s="3">
        <v>9876544481</v>
      </c>
      <c r="E1497" s="3" t="s">
        <v>4420</v>
      </c>
      <c r="F1497" s="3" t="str" cm="1">
        <f t="array" ref="F1497">IF(E1497="","",_xlfn.XLOOKUP(E1497,{"FIRST","SECOND","THIRD","FOURTH"},{"SEM-1","SEM-2","SEM-3","SEM-4"},""))</f>
        <v>SEM-3</v>
      </c>
      <c r="G1497" s="3">
        <v>46</v>
      </c>
      <c r="H1497" s="3">
        <v>27</v>
      </c>
      <c r="I1497" s="3">
        <v>81</v>
      </c>
      <c r="J1497" s="3">
        <f t="shared" si="69"/>
        <v>154</v>
      </c>
      <c r="K1497" s="3" t="str">
        <f t="shared" si="70"/>
        <v>P</v>
      </c>
      <c r="L1497" s="3" t="str">
        <f t="shared" si="71"/>
        <v>B</v>
      </c>
    </row>
    <row r="1498" spans="1:12" ht="14.25" customHeight="1">
      <c r="A1498" s="3">
        <v>1497</v>
      </c>
      <c r="B1498" s="3" t="s">
        <v>4247</v>
      </c>
      <c r="C1498" s="3" t="s">
        <v>1330</v>
      </c>
      <c r="D1498" s="3">
        <v>9876544546</v>
      </c>
      <c r="E1498" s="3" t="s">
        <v>4420</v>
      </c>
      <c r="F1498" s="3" t="str" cm="1">
        <f t="array" ref="F1498">IF(E1498="","",_xlfn.XLOOKUP(E1498,{"FIRST","SECOND","THIRD","FOURTH"},{"SEM-1","SEM-2","SEM-3","SEM-4"},""))</f>
        <v>SEM-3</v>
      </c>
      <c r="G1498" s="3">
        <v>11</v>
      </c>
      <c r="H1498" s="3">
        <v>3</v>
      </c>
      <c r="I1498" s="3">
        <v>12</v>
      </c>
      <c r="J1498" s="3">
        <f t="shared" si="69"/>
        <v>26</v>
      </c>
      <c r="K1498" s="3" t="str">
        <f t="shared" si="70"/>
        <v>F</v>
      </c>
      <c r="L1498" s="3" t="str">
        <f t="shared" si="71"/>
        <v>FAIL</v>
      </c>
    </row>
    <row r="1499" spans="1:12" ht="14.25" customHeight="1">
      <c r="A1499" s="3">
        <v>1498</v>
      </c>
      <c r="B1499" s="3" t="s">
        <v>4378</v>
      </c>
      <c r="C1499" s="3" t="s">
        <v>1457</v>
      </c>
      <c r="D1499" s="3">
        <v>9876544677</v>
      </c>
      <c r="E1499" s="3" t="s">
        <v>4419</v>
      </c>
      <c r="F1499" s="3" t="str" cm="1">
        <f t="array" ref="F1499">IF(E1499="","",_xlfn.XLOOKUP(E1499,{"FIRST","SECOND","THIRD","FOURTH"},{"SEM-1","SEM-2","SEM-3","SEM-4"},""))</f>
        <v>SEM-2</v>
      </c>
      <c r="G1499" s="3">
        <v>24</v>
      </c>
      <c r="H1499" s="3">
        <v>32</v>
      </c>
      <c r="I1499" s="3">
        <v>95</v>
      </c>
      <c r="J1499" s="3">
        <f t="shared" si="69"/>
        <v>151</v>
      </c>
      <c r="K1499" s="3" t="str">
        <f t="shared" si="70"/>
        <v>P</v>
      </c>
      <c r="L1499" s="3" t="str">
        <f t="shared" si="71"/>
        <v>B</v>
      </c>
    </row>
    <row r="1500" spans="1:12" ht="14.25" customHeight="1">
      <c r="A1500" s="3">
        <v>1499</v>
      </c>
      <c r="B1500" s="3" t="s">
        <v>3208</v>
      </c>
      <c r="C1500" s="3" t="s">
        <v>306</v>
      </c>
      <c r="D1500" s="3">
        <v>9876543507</v>
      </c>
      <c r="E1500" s="3" t="s">
        <v>4418</v>
      </c>
      <c r="F1500" s="3" t="str" cm="1">
        <f t="array" ref="F1500">IF(E1500="","",_xlfn.XLOOKUP(E1500,{"FIRST","SECOND","THIRD","FOURTH"},{"SEM-1","SEM-2","SEM-3","SEM-4"},""))</f>
        <v>SEM-1</v>
      </c>
      <c r="G1500" s="3">
        <v>86</v>
      </c>
      <c r="H1500" s="3">
        <v>34</v>
      </c>
      <c r="I1500" s="3">
        <v>52</v>
      </c>
      <c r="J1500" s="3">
        <f t="shared" si="69"/>
        <v>172</v>
      </c>
      <c r="K1500" s="3" t="str">
        <f t="shared" si="70"/>
        <v>P</v>
      </c>
      <c r="L1500" s="3" t="str">
        <f t="shared" si="71"/>
        <v>B</v>
      </c>
    </row>
    <row r="1501" spans="1:12" ht="14.25" customHeight="1">
      <c r="A1501" s="3">
        <v>1500</v>
      </c>
      <c r="B1501" s="3" t="s">
        <v>3177</v>
      </c>
      <c r="C1501" s="3" t="s">
        <v>275</v>
      </c>
      <c r="D1501" s="3">
        <v>9876543476</v>
      </c>
      <c r="E1501" s="3" t="s">
        <v>4420</v>
      </c>
      <c r="F1501" s="3" t="str" cm="1">
        <f t="array" ref="F1501">IF(E1501="","",_xlfn.XLOOKUP(E1501,{"FIRST","SECOND","THIRD","FOURTH"},{"SEM-1","SEM-2","SEM-3","SEM-4"},""))</f>
        <v>SEM-3</v>
      </c>
      <c r="G1501" s="3">
        <v>31</v>
      </c>
      <c r="H1501" s="3">
        <v>97</v>
      </c>
      <c r="I1501" s="3">
        <v>82</v>
      </c>
      <c r="J1501" s="3">
        <f t="shared" si="69"/>
        <v>210</v>
      </c>
      <c r="K1501" s="3" t="str">
        <f t="shared" si="70"/>
        <v>P</v>
      </c>
      <c r="L1501" s="3" t="str">
        <f t="shared" si="71"/>
        <v>A</v>
      </c>
    </row>
    <row r="1502" spans="1:12" ht="14.25" customHeight="1">
      <c r="A1502" s="3">
        <v>1501</v>
      </c>
      <c r="B1502" s="3" t="s">
        <v>3296</v>
      </c>
      <c r="C1502" s="3" t="s">
        <v>392</v>
      </c>
      <c r="D1502" s="3">
        <v>9876543595</v>
      </c>
      <c r="E1502" s="3" t="s">
        <v>4420</v>
      </c>
      <c r="F1502" s="3" t="str" cm="1">
        <f t="array" ref="F1502">IF(E1502="","",_xlfn.XLOOKUP(E1502,{"FIRST","SECOND","THIRD","FOURTH"},{"SEM-1","SEM-2","SEM-3","SEM-4"},""))</f>
        <v>SEM-3</v>
      </c>
      <c r="G1502" s="3">
        <v>78</v>
      </c>
      <c r="H1502" s="3">
        <v>53</v>
      </c>
      <c r="I1502" s="3">
        <v>44</v>
      </c>
      <c r="J1502" s="3">
        <f t="shared" si="69"/>
        <v>175</v>
      </c>
      <c r="K1502" s="3" t="str">
        <f t="shared" si="70"/>
        <v>P</v>
      </c>
      <c r="L1502" s="3" t="str">
        <f t="shared" si="71"/>
        <v>B</v>
      </c>
    </row>
    <row r="1503" spans="1:12" ht="14.25" customHeight="1">
      <c r="A1503" s="3">
        <v>1502</v>
      </c>
      <c r="B1503" s="3" t="s">
        <v>4026</v>
      </c>
      <c r="C1503" s="3" t="s">
        <v>1115</v>
      </c>
      <c r="D1503" s="3">
        <v>9876544325</v>
      </c>
      <c r="E1503" s="3" t="s">
        <v>4418</v>
      </c>
      <c r="F1503" s="3" t="str" cm="1">
        <f t="array" ref="F1503">IF(E1503="","",_xlfn.XLOOKUP(E1503,{"FIRST","SECOND","THIRD","FOURTH"},{"SEM-1","SEM-2","SEM-3","SEM-4"},""))</f>
        <v>SEM-1</v>
      </c>
      <c r="G1503" s="3">
        <v>48</v>
      </c>
      <c r="H1503" s="3">
        <v>50</v>
      </c>
      <c r="I1503" s="3">
        <v>10</v>
      </c>
      <c r="J1503" s="3">
        <f t="shared" si="69"/>
        <v>108</v>
      </c>
      <c r="K1503" s="3" t="str">
        <f t="shared" si="70"/>
        <v>F</v>
      </c>
      <c r="L1503" s="3" t="str">
        <f t="shared" si="71"/>
        <v>FAIL</v>
      </c>
    </row>
    <row r="1504" spans="1:12" ht="14.25" customHeight="1">
      <c r="A1504" s="3">
        <v>1503</v>
      </c>
      <c r="B1504" s="3" t="s">
        <v>2981</v>
      </c>
      <c r="C1504" s="3" t="s">
        <v>79</v>
      </c>
      <c r="D1504" s="3">
        <v>9876543280</v>
      </c>
      <c r="E1504" s="3" t="s">
        <v>4419</v>
      </c>
      <c r="F1504" s="3" t="str" cm="1">
        <f t="array" ref="F1504">IF(E1504="","",_xlfn.XLOOKUP(E1504,{"FIRST","SECOND","THIRD","FOURTH"},{"SEM-1","SEM-2","SEM-3","SEM-4"},""))</f>
        <v>SEM-2</v>
      </c>
      <c r="G1504" s="3">
        <v>22</v>
      </c>
      <c r="H1504" s="3">
        <v>23</v>
      </c>
      <c r="I1504" s="3">
        <v>69</v>
      </c>
      <c r="J1504" s="3">
        <f t="shared" si="69"/>
        <v>114</v>
      </c>
      <c r="K1504" s="3" t="str">
        <f t="shared" si="70"/>
        <v>F</v>
      </c>
      <c r="L1504" s="3" t="str">
        <f t="shared" si="71"/>
        <v>FAIL</v>
      </c>
    </row>
    <row r="1505" spans="1:12" ht="14.25" customHeight="1">
      <c r="A1505" s="3">
        <v>1504</v>
      </c>
      <c r="B1505" s="3" t="s">
        <v>3792</v>
      </c>
      <c r="C1505" s="3" t="s">
        <v>884</v>
      </c>
      <c r="D1505" s="3">
        <v>9876544091</v>
      </c>
      <c r="E1505" s="3" t="s">
        <v>4418</v>
      </c>
      <c r="F1505" s="3" t="str" cm="1">
        <f t="array" ref="F1505">IF(E1505="","",_xlfn.XLOOKUP(E1505,{"FIRST","SECOND","THIRD","FOURTH"},{"SEM-1","SEM-2","SEM-3","SEM-4"},""))</f>
        <v>SEM-1</v>
      </c>
      <c r="G1505" s="3">
        <v>77</v>
      </c>
      <c r="H1505" s="3">
        <v>50</v>
      </c>
      <c r="I1505" s="3">
        <v>5</v>
      </c>
      <c r="J1505" s="3">
        <f t="shared" si="69"/>
        <v>132</v>
      </c>
      <c r="K1505" s="3" t="str">
        <f t="shared" si="70"/>
        <v>P</v>
      </c>
      <c r="L1505" s="3" t="str">
        <f t="shared" si="71"/>
        <v>C</v>
      </c>
    </row>
    <row r="1506" spans="1:12" ht="14.25" customHeight="1">
      <c r="A1506" s="3">
        <v>1505</v>
      </c>
      <c r="B1506" s="3" t="s">
        <v>3447</v>
      </c>
      <c r="C1506" s="3" t="s">
        <v>543</v>
      </c>
      <c r="D1506" s="3">
        <v>9876543746</v>
      </c>
      <c r="E1506" s="3" t="s">
        <v>4418</v>
      </c>
      <c r="F1506" s="3" t="str" cm="1">
        <f t="array" ref="F1506">IF(E1506="","",_xlfn.XLOOKUP(E1506,{"FIRST","SECOND","THIRD","FOURTH"},{"SEM-1","SEM-2","SEM-3","SEM-4"},""))</f>
        <v>SEM-1</v>
      </c>
      <c r="G1506" s="3">
        <v>45</v>
      </c>
      <c r="H1506" s="3">
        <v>75</v>
      </c>
      <c r="I1506" s="3">
        <v>63</v>
      </c>
      <c r="J1506" s="3">
        <f t="shared" si="69"/>
        <v>183</v>
      </c>
      <c r="K1506" s="3" t="str">
        <f t="shared" si="70"/>
        <v>P</v>
      </c>
      <c r="L1506" s="3" t="str">
        <f t="shared" si="71"/>
        <v>B</v>
      </c>
    </row>
    <row r="1507" spans="1:12" ht="14.25" customHeight="1">
      <c r="A1507" s="3">
        <v>1506</v>
      </c>
      <c r="B1507" s="3" t="s">
        <v>3486</v>
      </c>
      <c r="C1507" s="3" t="s">
        <v>582</v>
      </c>
      <c r="D1507" s="3">
        <v>9876543785</v>
      </c>
      <c r="E1507" s="3" t="s">
        <v>4419</v>
      </c>
      <c r="F1507" s="3" t="str" cm="1">
        <f t="array" ref="F1507">IF(E1507="","",_xlfn.XLOOKUP(E1507,{"FIRST","SECOND","THIRD","FOURTH"},{"SEM-1","SEM-2","SEM-3","SEM-4"},""))</f>
        <v>SEM-2</v>
      </c>
      <c r="G1507" s="3">
        <v>13</v>
      </c>
      <c r="H1507" s="3">
        <v>31</v>
      </c>
      <c r="I1507" s="3">
        <v>62</v>
      </c>
      <c r="J1507" s="3">
        <f t="shared" si="69"/>
        <v>106</v>
      </c>
      <c r="K1507" s="3" t="str">
        <f t="shared" si="70"/>
        <v>F</v>
      </c>
      <c r="L1507" s="3" t="str">
        <f t="shared" si="71"/>
        <v>FAIL</v>
      </c>
    </row>
    <row r="1508" spans="1:12" ht="14.25" customHeight="1">
      <c r="A1508" s="3">
        <v>1507</v>
      </c>
      <c r="B1508" s="3" t="s">
        <v>3183</v>
      </c>
      <c r="C1508" s="3" t="s">
        <v>281</v>
      </c>
      <c r="D1508" s="3">
        <v>9876543482</v>
      </c>
      <c r="E1508" s="3" t="s">
        <v>4420</v>
      </c>
      <c r="F1508" s="3" t="str" cm="1">
        <f t="array" ref="F1508">IF(E1508="","",_xlfn.XLOOKUP(E1508,{"FIRST","SECOND","THIRD","FOURTH"},{"SEM-1","SEM-2","SEM-3","SEM-4"},""))</f>
        <v>SEM-3</v>
      </c>
      <c r="G1508" s="3">
        <v>34</v>
      </c>
      <c r="H1508" s="3">
        <v>17</v>
      </c>
      <c r="I1508" s="3">
        <v>92</v>
      </c>
      <c r="J1508" s="3">
        <f t="shared" si="69"/>
        <v>143</v>
      </c>
      <c r="K1508" s="3" t="str">
        <f t="shared" si="70"/>
        <v>P</v>
      </c>
      <c r="L1508" s="3" t="str">
        <f t="shared" si="71"/>
        <v>C</v>
      </c>
    </row>
  </sheetData>
  <sortState xmlns:xlrd2="http://schemas.microsoft.com/office/spreadsheetml/2017/richdata2" ref="A2:L1636">
    <sortCondition ref="C1:C1636"/>
  </sortState>
  <conditionalFormatting sqref="K1:K1509 K1637:K1048576">
    <cfRule type="containsText" dxfId="1" priority="1" operator="containsText" text="F">
      <formula>NOT(ISERROR(SEARCH("F",K1)))</formula>
    </cfRule>
  </conditionalFormatting>
  <dataValidations count="3">
    <dataValidation type="whole" allowBlank="1" showInputMessage="1" showErrorMessage="1" sqref="O21" xr:uid="{6FF7261C-4B88-47EB-AF35-6A1751BDAD03}">
      <formula1>6000000000</formula1>
      <formula2>9999999999</formula2>
    </dataValidation>
    <dataValidation type="whole" allowBlank="1" showInputMessage="1" showErrorMessage="1" sqref="N18" xr:uid="{C59ABA64-C15F-484E-90DB-EB335B8AD965}">
      <formula1>6000000000</formula1>
      <formula2>10000000000</formula2>
    </dataValidation>
    <dataValidation type="list" allowBlank="1" showInputMessage="1" showErrorMessage="1" sqref="E2:E409 E411:E818 E820:E1227 E1229:E1508" xr:uid="{E9FBDD66-EAE8-4C4C-98BF-E2F5E8B5200D}">
      <formula1>#REF!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45799-3F00-4893-AC7B-19F9CC834F77}">
  <dimension ref="A1:U29"/>
  <sheetViews>
    <sheetView tabSelected="1" workbookViewId="0">
      <selection activeCell="N9" sqref="N9"/>
    </sheetView>
  </sheetViews>
  <sheetFormatPr defaultRowHeight="13.8"/>
  <cols>
    <col min="1" max="1" width="4.3984375" customWidth="1"/>
    <col min="2" max="2" width="13" bestFit="1" customWidth="1"/>
    <col min="3" max="3" width="14.5" bestFit="1" customWidth="1"/>
    <col min="9" max="9" width="9.3984375" bestFit="1" customWidth="1"/>
    <col min="13" max="13" width="13.59765625" bestFit="1" customWidth="1"/>
  </cols>
  <sheetData>
    <row r="1" spans="1:2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>
      <c r="A6" s="1"/>
      <c r="B6" s="6" t="s">
        <v>2</v>
      </c>
      <c r="C6" s="5" t="s">
        <v>3752</v>
      </c>
      <c r="D6" s="1"/>
      <c r="E6" s="4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>
      <c r="A7" s="1"/>
      <c r="B7" s="6" t="s">
        <v>1</v>
      </c>
      <c r="C7" s="5" t="str">
        <f>VLOOKUP($C$6,'STUDENT DATA'!$B$1:$L$1508,MATCH('REPORT CARD'!$B7,'STUDENT DATA'!$B$1:$F$1,0),0)</f>
        <v>Aanchal Shaw</v>
      </c>
      <c r="D7" s="1"/>
      <c r="E7" s="7" t="s">
        <v>4430</v>
      </c>
      <c r="F7" s="7" t="s">
        <v>4433</v>
      </c>
      <c r="G7" s="7" t="s">
        <v>4434</v>
      </c>
      <c r="H7" s="7" t="s">
        <v>4435</v>
      </c>
      <c r="I7" s="7" t="s">
        <v>4436</v>
      </c>
      <c r="J7" s="7" t="s">
        <v>4437</v>
      </c>
      <c r="K7" s="7" t="s">
        <v>4428</v>
      </c>
      <c r="L7" s="1"/>
      <c r="M7" s="7" t="s">
        <v>4438</v>
      </c>
      <c r="N7" s="8">
        <f>SUM(H8:H10)</f>
        <v>73</v>
      </c>
      <c r="O7" s="1"/>
      <c r="P7" s="1"/>
      <c r="Q7" s="1"/>
      <c r="R7" s="1"/>
      <c r="S7" s="1"/>
      <c r="T7" s="1"/>
      <c r="U7" s="1"/>
    </row>
    <row r="8" spans="1:21">
      <c r="A8" s="1"/>
      <c r="B8" s="6" t="s">
        <v>3</v>
      </c>
      <c r="C8" s="5">
        <f>VLOOKUP($C$6,'STUDENT DATA'!$B$1:$L$1508,MATCH('REPORT CARD'!$B8,'STUDENT DATA'!$B$1:$F$1,0),0)</f>
        <v>9876544051</v>
      </c>
      <c r="D8" s="1"/>
      <c r="E8" s="7" t="s">
        <v>4431</v>
      </c>
      <c r="F8" s="8">
        <v>100</v>
      </c>
      <c r="G8" s="8">
        <v>40</v>
      </c>
      <c r="H8" s="8">
        <f>VLOOKUP($C$6,'STUDENT DATA'!$B$1:$L$1508,6,0)</f>
        <v>16</v>
      </c>
      <c r="I8" s="9">
        <f>AVERAGE('STUDENT DATA'!$G$2:$G$1508)</f>
        <v>49.994027869940275</v>
      </c>
      <c r="J8" s="8">
        <f>MAX('STUDENT DATA'!$G$2:$G$1508)</f>
        <v>100</v>
      </c>
      <c r="K8" s="8" t="str">
        <f>IF(H8&gt;=40,"P","F")</f>
        <v>F</v>
      </c>
      <c r="L8" s="1"/>
      <c r="M8" s="7" t="s">
        <v>4439</v>
      </c>
      <c r="N8" s="10">
        <f>N7/300</f>
        <v>0.24333333333333335</v>
      </c>
      <c r="O8" s="1"/>
      <c r="P8" s="1"/>
      <c r="Q8" s="1"/>
      <c r="R8" s="1"/>
      <c r="S8" s="1"/>
      <c r="T8" s="1"/>
      <c r="U8" s="1"/>
    </row>
    <row r="9" spans="1:21">
      <c r="A9" s="1"/>
      <c r="B9" s="6" t="s">
        <v>4</v>
      </c>
      <c r="C9" s="5" t="str">
        <f>VLOOKUP($C$6,'STUDENT DATA'!$B$1:$L$1508,MATCH('REPORT CARD'!$B9,'STUDENT DATA'!$B$1:$F$1,0),0)</f>
        <v>FIRST</v>
      </c>
      <c r="D9" s="1"/>
      <c r="E9" s="7" t="s">
        <v>7</v>
      </c>
      <c r="F9" s="8">
        <v>100</v>
      </c>
      <c r="G9" s="8">
        <v>40</v>
      </c>
      <c r="H9" s="8">
        <f>VLOOKUP($C$6,'STUDENT DATA'!$B$2:$L$1508,7,0)</f>
        <v>4</v>
      </c>
      <c r="I9" s="9">
        <f>AVERAGE('STUDENT DATA'!H2:H1508)</f>
        <v>50.337757133377572</v>
      </c>
      <c r="J9" s="8">
        <f>MAX('STUDENT DATA'!H2:$H$1508)</f>
        <v>100</v>
      </c>
      <c r="K9" s="8" t="str">
        <f t="shared" ref="K9:K10" si="0">IF(H9&gt;=40,"P","F")</f>
        <v>F</v>
      </c>
      <c r="L9" s="1"/>
      <c r="M9" s="7" t="s">
        <v>4429</v>
      </c>
      <c r="N9" s="8" t="str">
        <f>VLOOKUP('REPORT CARD'!$C$6,'STUDENT DATA'!$B$1:$L$1508,11,0)</f>
        <v>FAIL</v>
      </c>
      <c r="O9" s="1"/>
      <c r="P9" s="1"/>
      <c r="Q9" s="1"/>
      <c r="R9" s="1"/>
      <c r="S9" s="1"/>
      <c r="T9" s="1"/>
      <c r="U9" s="1"/>
    </row>
    <row r="10" spans="1:21">
      <c r="A10" s="1"/>
      <c r="B10" s="6" t="s">
        <v>5</v>
      </c>
      <c r="C10" s="5" t="str">
        <f>VLOOKUP($C$6,'STUDENT DATA'!$B$1:$L$1508,MATCH('REPORT CARD'!$B10,'STUDENT DATA'!$B$1:$F$1,0),0)</f>
        <v>SEM-1</v>
      </c>
      <c r="D10" s="1"/>
      <c r="E10" s="7" t="s">
        <v>4432</v>
      </c>
      <c r="F10" s="8">
        <v>100</v>
      </c>
      <c r="G10" s="8">
        <v>40</v>
      </c>
      <c r="H10" s="8">
        <f>VLOOKUP($C$6,'STUDENT DATA'!$B$2:$L$1508,8,0)</f>
        <v>53</v>
      </c>
      <c r="I10" s="9">
        <f>AVERAGE('STUDENT DATA'!$I$2:$I$1508)</f>
        <v>50.001327140013274</v>
      </c>
      <c r="J10" s="8">
        <f>MAX('STUDENT DATA'!$I$2:$I$1508)</f>
        <v>100</v>
      </c>
      <c r="K10" s="8" t="str">
        <f t="shared" si="0"/>
        <v>P</v>
      </c>
      <c r="L10" s="1"/>
      <c r="M10" s="7" t="s">
        <v>4440</v>
      </c>
      <c r="N10" s="8" t="str">
        <f>IF(N9="FAIL","SNQ","SQ")</f>
        <v>SNQ</v>
      </c>
      <c r="O10" s="1"/>
      <c r="P10" s="1"/>
      <c r="Q10" s="1"/>
      <c r="R10" s="1"/>
      <c r="S10" s="1"/>
      <c r="T10" s="1"/>
      <c r="U10" s="1"/>
    </row>
    <row r="11" spans="1:2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</sheetData>
  <conditionalFormatting sqref="K8:K10">
    <cfRule type="containsText" dxfId="0" priority="1" operator="containsText" text="F">
      <formula>NOT(ISERROR(SEARCH("F",K8)))</formula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348D08C-50C1-4524-95A5-06E9E70A3CC0}">
          <x14:formula1>
            <xm:f>'STUDENT DATA'!$B$2:$B$1508</xm:f>
          </x14:formula1>
          <xm:sqref>C6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38ADC-F740-4307-B625-C396E889813D}">
  <dimension ref="A1:D3"/>
  <sheetViews>
    <sheetView workbookViewId="0">
      <selection activeCell="L15" sqref="L15"/>
    </sheetView>
  </sheetViews>
  <sheetFormatPr defaultRowHeight="13.8"/>
  <sheetData>
    <row r="1" spans="1:4">
      <c r="A1" t="s">
        <v>4418</v>
      </c>
      <c r="B1" t="s">
        <v>4421</v>
      </c>
      <c r="C1" t="s">
        <v>4423</v>
      </c>
      <c r="D1" t="s">
        <v>4425</v>
      </c>
    </row>
    <row r="2" spans="1:4">
      <c r="A2" t="s">
        <v>4419</v>
      </c>
      <c r="B2" t="s">
        <v>4422</v>
      </c>
      <c r="C2" t="s">
        <v>4424</v>
      </c>
      <c r="D2" t="s">
        <v>4426</v>
      </c>
    </row>
    <row r="3" spans="1:4">
      <c r="A3" t="s">
        <v>4420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UID GENERATION</vt:lpstr>
      <vt:lpstr>STUDENT DATA</vt:lpstr>
      <vt:lpstr>REPORT CARD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PATWARI</dc:creator>
  <cp:lastModifiedBy>BhagyaLakshmi</cp:lastModifiedBy>
  <dcterms:created xsi:type="dcterms:W3CDTF">2025-11-25T05:17:25Z</dcterms:created>
  <dcterms:modified xsi:type="dcterms:W3CDTF">2026-03-23T15:07:25Z</dcterms:modified>
</cp:coreProperties>
</file>